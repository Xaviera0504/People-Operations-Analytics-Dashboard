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avieraxu/Downloads/"/>
    </mc:Choice>
  </mc:AlternateContent>
  <xr:revisionPtr revIDLastSave="0" documentId="13_ncr:9_{9E3351D5-1132-2449-BA8A-87E1656AA4DD}" xr6:coauthVersionLast="47" xr6:coauthVersionMax="47" xr10:uidLastSave="{00000000-0000-0000-0000-000000000000}"/>
  <bookViews>
    <workbookView xWindow="2960" yWindow="620" windowWidth="22560" windowHeight="14760" activeTab="2" xr2:uid="{7AB7CA97-B3F5-6645-B9A9-4D07E38C68A6}"/>
  </bookViews>
  <sheets>
    <sheet name="Cleaned_HR_Data_Analysis" sheetId="1" r:id="rId1"/>
    <sheet name="Dashboards" sheetId="2" r:id="rId2"/>
    <sheet name="Insights &amp; Recommendations" sheetId="3" r:id="rId3"/>
  </sheets>
  <calcPr calcId="0"/>
</workbook>
</file>

<file path=xl/calcChain.xml><?xml version="1.0" encoding="utf-8"?>
<calcChain xmlns="http://schemas.openxmlformats.org/spreadsheetml/2006/main">
  <c r="B33" i="2" l="1"/>
  <c r="B32" i="2"/>
  <c r="B31" i="2"/>
  <c r="B30" i="2"/>
  <c r="B25" i="2"/>
  <c r="B24" i="2"/>
  <c r="B23" i="2"/>
  <c r="D18" i="2"/>
  <c r="D17" i="2"/>
  <c r="D16" i="2"/>
  <c r="C18" i="2"/>
  <c r="C17" i="2"/>
  <c r="C16" i="2"/>
  <c r="B16" i="2"/>
  <c r="B18" i="2"/>
  <c r="B17" i="2"/>
  <c r="B11" i="2"/>
  <c r="B10" i="2"/>
  <c r="B5" i="2"/>
  <c r="B4" i="2"/>
  <c r="B3" i="2"/>
</calcChain>
</file>

<file path=xl/sharedStrings.xml><?xml version="1.0" encoding="utf-8"?>
<sst xmlns="http://schemas.openxmlformats.org/spreadsheetml/2006/main" count="45598" uniqueCount="197">
  <si>
    <t>Employee ID</t>
  </si>
  <si>
    <t>StartDate</t>
  </si>
  <si>
    <t>Title</t>
  </si>
  <si>
    <t>BusinessUnit</t>
  </si>
  <si>
    <t>EmployeeStatus</t>
  </si>
  <si>
    <t>EmployeeType</t>
  </si>
  <si>
    <t>PayZone</t>
  </si>
  <si>
    <t>EmployeeClassificationType</t>
  </si>
  <si>
    <t>DepartmentType</t>
  </si>
  <si>
    <t>Division</t>
  </si>
  <si>
    <t>DOB</t>
  </si>
  <si>
    <t>State</t>
  </si>
  <si>
    <t>GenderCode</t>
  </si>
  <si>
    <t>RaceDesc</t>
  </si>
  <si>
    <t>MaritalDesc</t>
  </si>
  <si>
    <t>Performance Score</t>
  </si>
  <si>
    <t>Current Employee Rating</t>
  </si>
  <si>
    <t>Survey Date</t>
  </si>
  <si>
    <t>Engagement Score</t>
  </si>
  <si>
    <t>Satisfaction Score</t>
  </si>
  <si>
    <t>Work-Life Balance Score</t>
  </si>
  <si>
    <t>Training Date</t>
  </si>
  <si>
    <t>Training Program Name</t>
  </si>
  <si>
    <t>Training Type</t>
  </si>
  <si>
    <t>Training Outcome</t>
  </si>
  <si>
    <t>Training Duration(Days)</t>
  </si>
  <si>
    <t>Training Cost</t>
  </si>
  <si>
    <t>Age</t>
  </si>
  <si>
    <t>Production Technician I</t>
  </si>
  <si>
    <t>CCDR</t>
  </si>
  <si>
    <t>Active</t>
  </si>
  <si>
    <t>Contract</t>
  </si>
  <si>
    <t>Zone C</t>
  </si>
  <si>
    <t>Temporary</t>
  </si>
  <si>
    <t xml:space="preserve">Production       </t>
  </si>
  <si>
    <t>Finance &amp; Accounting</t>
  </si>
  <si>
    <t>MA</t>
  </si>
  <si>
    <t>Female</t>
  </si>
  <si>
    <t>White</t>
  </si>
  <si>
    <t>Widowed</t>
  </si>
  <si>
    <t>Fully Meets</t>
  </si>
  <si>
    <t>Leadership Development</t>
  </si>
  <si>
    <t>Internal</t>
  </si>
  <si>
    <t>Failed</t>
  </si>
  <si>
    <t>EW</t>
  </si>
  <si>
    <t>Zone A</t>
  </si>
  <si>
    <t>Part-Time</t>
  </si>
  <si>
    <t>Aerial</t>
  </si>
  <si>
    <t>Male</t>
  </si>
  <si>
    <t>Hispanic</t>
  </si>
  <si>
    <t>Customer Service</t>
  </si>
  <si>
    <t>External</t>
  </si>
  <si>
    <t>Incomplete</t>
  </si>
  <si>
    <t>Area Sales Manager</t>
  </si>
  <si>
    <t>PL</t>
  </si>
  <si>
    <t>Full-Time</t>
  </si>
  <si>
    <t>Zone B</t>
  </si>
  <si>
    <t>Sales</t>
  </si>
  <si>
    <t>General - Sga</t>
  </si>
  <si>
    <t>ND</t>
  </si>
  <si>
    <t>Other</t>
  </si>
  <si>
    <t>Single</t>
  </si>
  <si>
    <t>Project Management</t>
  </si>
  <si>
    <t>Completed</t>
  </si>
  <si>
    <t>TNS</t>
  </si>
  <si>
    <t>General - Con</t>
  </si>
  <si>
    <t>FL</t>
  </si>
  <si>
    <t>Married</t>
  </si>
  <si>
    <t>Technical Skills</t>
  </si>
  <si>
    <t>BPC</t>
  </si>
  <si>
    <t>Field Operations</t>
  </si>
  <si>
    <t>CT</t>
  </si>
  <si>
    <t>Black</t>
  </si>
  <si>
    <t>Passed</t>
  </si>
  <si>
    <t>WBL</t>
  </si>
  <si>
    <t>General - Eng</t>
  </si>
  <si>
    <t>CA</t>
  </si>
  <si>
    <t>Divorced</t>
  </si>
  <si>
    <t>Exceeds</t>
  </si>
  <si>
    <t>Engineers</t>
  </si>
  <si>
    <t>OR</t>
  </si>
  <si>
    <t>NEL</t>
  </si>
  <si>
    <t>Executive</t>
  </si>
  <si>
    <t>TX</t>
  </si>
  <si>
    <t>Asian</t>
  </si>
  <si>
    <t>SVG</t>
  </si>
  <si>
    <t>IN</t>
  </si>
  <si>
    <t>MSC</t>
  </si>
  <si>
    <t>GA</t>
  </si>
  <si>
    <t>Splicing</t>
  </si>
  <si>
    <t>CO</t>
  </si>
  <si>
    <t>KY</t>
  </si>
  <si>
    <t>Communication Skills</t>
  </si>
  <si>
    <t>NV</t>
  </si>
  <si>
    <t>PYZ</t>
  </si>
  <si>
    <t>IT/IS</t>
  </si>
  <si>
    <t>Project Management - Con</t>
  </si>
  <si>
    <t>Fielders</t>
  </si>
  <si>
    <t>Needs Improvement</t>
  </si>
  <si>
    <t>Project Management - Eng</t>
  </si>
  <si>
    <t>Shop (Fleet)</t>
  </si>
  <si>
    <t>Wireline Construction</t>
  </si>
  <si>
    <t>Catv</t>
  </si>
  <si>
    <t>Wireless</t>
  </si>
  <si>
    <t>People Services</t>
  </si>
  <si>
    <t>Yard (Material Handling)</t>
  </si>
  <si>
    <t>Production Technician II</t>
  </si>
  <si>
    <t>PIP</t>
  </si>
  <si>
    <t>Terminated</t>
  </si>
  <si>
    <t>Billable Consultants</t>
  </si>
  <si>
    <t>Technology / It</t>
  </si>
  <si>
    <t>Underground</t>
  </si>
  <si>
    <t>IT Support</t>
  </si>
  <si>
    <t>Network Engineer</t>
  </si>
  <si>
    <t>Sr. Network Engineer</t>
  </si>
  <si>
    <t>Executive Office</t>
  </si>
  <si>
    <t>Principal Data Architect</t>
  </si>
  <si>
    <t>Enterprise Architect</t>
  </si>
  <si>
    <t>Sales &amp; Marketing</t>
  </si>
  <si>
    <t>Database Administrator</t>
  </si>
  <si>
    <t>Data Analyst</t>
  </si>
  <si>
    <t>Sr. DBA</t>
  </si>
  <si>
    <t xml:space="preserve">Data Analyst </t>
  </si>
  <si>
    <t>Data Architect</t>
  </si>
  <si>
    <t>CIO</t>
  </si>
  <si>
    <t>BI Director</t>
  </si>
  <si>
    <t>Sr. Accountant</t>
  </si>
  <si>
    <t>Software Engineering Manager</t>
  </si>
  <si>
    <t>Software Engineer</t>
  </si>
  <si>
    <t>Software Engineering</t>
  </si>
  <si>
    <t>Shared Services Manager</t>
  </si>
  <si>
    <t>Senior BI Developer</t>
  </si>
  <si>
    <t>Admin Offices</t>
  </si>
  <si>
    <t>Production Manager</t>
  </si>
  <si>
    <t>Isp</t>
  </si>
  <si>
    <t>Safety</t>
  </si>
  <si>
    <t>President &amp; CEO</t>
  </si>
  <si>
    <t>Administrative Assistant</t>
  </si>
  <si>
    <t>Accountant I</t>
  </si>
  <si>
    <t>BI Developer</t>
  </si>
  <si>
    <t>Sales Manager</t>
  </si>
  <si>
    <t>VT</t>
  </si>
  <si>
    <t>PA</t>
  </si>
  <si>
    <t>IT Manager - Support</t>
  </si>
  <si>
    <t>IT Manager - Infra</t>
  </si>
  <si>
    <t>IT Manager - DB</t>
  </si>
  <si>
    <t>Director of Sales</t>
  </si>
  <si>
    <t>RI</t>
  </si>
  <si>
    <t>Director of Operations</t>
  </si>
  <si>
    <t>Corp Operations</t>
  </si>
  <si>
    <t>IT Director</t>
  </si>
  <si>
    <t>VA</t>
  </si>
  <si>
    <t>UT</t>
  </si>
  <si>
    <t>ID</t>
  </si>
  <si>
    <t>MT</t>
  </si>
  <si>
    <t>WA</t>
  </si>
  <si>
    <t>AZ</t>
  </si>
  <si>
    <t>NH</t>
  </si>
  <si>
    <t>AL</t>
  </si>
  <si>
    <t>OH</t>
  </si>
  <si>
    <t>NY</t>
  </si>
  <si>
    <t>ME</t>
  </si>
  <si>
    <t>TN</t>
  </si>
  <si>
    <t>NC</t>
  </si>
  <si>
    <t>Production</t>
  </si>
  <si>
    <t>Department</t>
  </si>
  <si>
    <t>Headcount</t>
  </si>
  <si>
    <t>1. Headcount by department</t>
  </si>
  <si>
    <t>2. Employee status</t>
  </si>
  <si>
    <t>3. Average Engagement &amp; Satisfaction by Department</t>
  </si>
  <si>
    <t>Status</t>
  </si>
  <si>
    <t>Count</t>
  </si>
  <si>
    <t>Engagement</t>
  </si>
  <si>
    <t>Avg Satisfaction</t>
  </si>
  <si>
    <t>Avg Work-Life Balance</t>
  </si>
  <si>
    <t>Performance Level</t>
  </si>
  <si>
    <t>Employee Type</t>
  </si>
  <si>
    <t>5. Employee Type Mix</t>
  </si>
  <si>
    <t>4.  Performance Distribution</t>
  </si>
  <si>
    <t>KEY INSIGHTS &amp; RECOMMENDATIONS</t>
  </si>
  <si>
    <t>Internal People Operations Dashboard Analysis</t>
  </si>
  <si>
    <t>Finding 1: Departmental Headcount Distribution</t>
  </si>
  <si>
    <t>Production represents 70% of headcount (1,910 employees), with Sales (311, 11%) and IT/IS (409, 15%) as smaller divisions. Understanding workforce distribution is critical for allocating People Ops resources proportionally and identifying where operational challenges will emerge.</t>
  </si>
  <si>
    <t>Finding 2: Retention &amp; Attrition Health</t>
  </si>
  <si>
    <t>86.4% of employees are active; 13.6% have separated. This baseline metric is essential for tracking organizational health. Combined with the staffing composition (65% contract/part-time), it highlights potential retention vulnerabilities if non-full-time workers lack advancement opportunities.</t>
  </si>
  <si>
    <t>Finding 3: Engagement &amp; Satisfaction Baseline</t>
  </si>
  <si>
    <t>All departments cluster around 2.9-3.0 engagement on a 1-5 scale. When engagement is uniformly moderate across divisions, it signals a broad opportunity for company-wide initiatives (wellness, career development, recognition programs) rather than targeted interventions.</t>
  </si>
  <si>
    <t>Finding 4: Performance Distribution</t>
  </si>
  <si>
    <t>90% of workforce meets or exceeds expectations (12% "Exceeds", 77.9% "Fully Meets"), with only 5.6% needing improvement. This indicates strong talent quality and effective performance management. The high-performer group (12% "Exceeds") represents critical retention and development priorities.</t>
  </si>
  <si>
    <t>Finding 5: Employment Type Composition</t>
  </si>
  <si>
    <t>Balanced distribution: 34.5% Full-Time, 32.9% Contract, 31% Part-Time. This flexible staffing model requires People Ops strategies that work across multiple employment types—benefits design, career pathing, and engagement initiatives must be inclusive of all populations.</t>
  </si>
  <si>
    <t>RECOMMENDATIONS:</t>
  </si>
  <si>
    <t>Allocate People Ops resources proportional to headcount distribution</t>
  </si>
  <si>
    <t>Implement engagement initiatives to lift moderate baseline across all departments</t>
  </si>
  <si>
    <t>Develop retention strategies for non-full-time workers</t>
  </si>
  <si>
    <t>Create career development pathways for the 12% high-performer group</t>
  </si>
  <si>
    <t>Establish ongoing engagement measurement to track People Ops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</si>
</sst>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5" fontId="0" fillId="0" borderId="0" xfId="0" applyNumberFormat="1"/>
    <xf numFmtId="14" fontId="0" fillId="0" borderId="0" xfId="0" applyNumberFormat="1"/>
    <xf numFmtId="2" fontId="0" fillId="0" borderId="0" xfId="0" applyNumberFormat="1"/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1. Headcount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Dashboards!$B$2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Dashboards!$A$3:$A$5</c:f>
              <c:strCache>
                <c:ptCount val="3"/>
                <c:pt idx="0">
                  <c:v>Production</c:v>
                </c:pt>
                <c:pt idx="1">
                  <c:v>Sales</c:v>
                </c:pt>
                <c:pt idx="2">
                  <c:v>IT/IS</c:v>
                </c:pt>
              </c:strCache>
            </c:strRef>
          </c:cat>
          <c:val>
            <c:numRef>
              <c:f>Dashboards!$B$3:$B$5</c:f>
              <c:numCache>
                <c:formatCode>General</c:formatCode>
                <c:ptCount val="3"/>
                <c:pt idx="0">
                  <c:v>1910</c:v>
                </c:pt>
                <c:pt idx="1">
                  <c:v>311</c:v>
                </c:pt>
                <c:pt idx="2">
                  <c:v>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A-964B-BDFB-34EF0CDCB2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06320528"/>
        <c:axId val="1206322240"/>
      </c:barChart>
      <c:catAx>
        <c:axId val="1206320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322240"/>
        <c:crosses val="autoZero"/>
        <c:auto val="1"/>
        <c:lblAlgn val="ctr"/>
        <c:lblOffset val="100"/>
        <c:noMultiLvlLbl val="0"/>
      </c:catAx>
      <c:valAx>
        <c:axId val="120632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32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2. Employee Status (Active vs. Terminated)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Dashboards!$B$9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Dashboards!$A$10:$A$11</c:f>
              <c:strCache>
                <c:ptCount val="2"/>
                <c:pt idx="0">
                  <c:v>Active</c:v>
                </c:pt>
                <c:pt idx="1">
                  <c:v>Terminated</c:v>
                </c:pt>
              </c:strCache>
            </c:strRef>
          </c:cat>
          <c:val>
            <c:numRef>
              <c:f>Dashboards!$B$10:$B$11</c:f>
              <c:numCache>
                <c:formatCode>General</c:formatCode>
                <c:ptCount val="2"/>
                <c:pt idx="0">
                  <c:v>2458</c:v>
                </c:pt>
                <c:pt idx="1">
                  <c:v>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7-234E-B55C-AD3226158B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3. Engagement &amp; Satisfaction by Department</a:t>
            </a:r>
            <a:endParaRPr lang="en-GB"/>
          </a:p>
        </c:rich>
      </c:tx>
      <c:layout>
        <c:manualLayout>
          <c:xMode val="edge"/>
          <c:yMode val="edge"/>
          <c:x val="0.1532558139534883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Dashboards!$A$16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Dashboards!$B$15:$D$15</c:f>
              <c:strCache>
                <c:ptCount val="3"/>
                <c:pt idx="0">
                  <c:v>Engagement</c:v>
                </c:pt>
                <c:pt idx="1">
                  <c:v>Avg Satisfaction</c:v>
                </c:pt>
                <c:pt idx="2">
                  <c:v>Avg Work-Life Balance</c:v>
                </c:pt>
              </c:strCache>
            </c:strRef>
          </c:cat>
          <c:val>
            <c:numRef>
              <c:f>Dashboards!$B$16:$D$16</c:f>
              <c:numCache>
                <c:formatCode>0.00</c:formatCode>
                <c:ptCount val="3"/>
                <c:pt idx="0">
                  <c:v>2.9104712041884815</c:v>
                </c:pt>
                <c:pt idx="1">
                  <c:v>3.0314136125654452</c:v>
                </c:pt>
                <c:pt idx="2">
                  <c:v>2.9717277486910993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E-424F-8984-628131C32A9E}"/>
            </c:ext>
          </c:extLst>
        </c:ser>
        <c:ser>
          <c:idx val="1"/>
          <c:order val="1"/>
          <c:tx>
            <c:strRef>
              <c:f>Dashboards!$A$17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Dashboards!$B$15:$D$15</c:f>
              <c:strCache>
                <c:ptCount val="3"/>
                <c:pt idx="0">
                  <c:v>Engagement</c:v>
                </c:pt>
                <c:pt idx="1">
                  <c:v>Avg Satisfaction</c:v>
                </c:pt>
                <c:pt idx="2">
                  <c:v>Avg Work-Life Balance</c:v>
                </c:pt>
              </c:strCache>
            </c:strRef>
          </c:cat>
          <c:val>
            <c:numRef>
              <c:f>Dashboards!$B$17:$D$17</c:f>
              <c:numCache>
                <c:formatCode>0.00</c:formatCode>
                <c:ptCount val="3"/>
                <c:pt idx="0">
                  <c:v>2.9839228295819935</c:v>
                </c:pt>
                <c:pt idx="1">
                  <c:v>3.135048231511254</c:v>
                </c:pt>
                <c:pt idx="2">
                  <c:v>3.0289389067524115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7E-424F-8984-628131C32A9E}"/>
            </c:ext>
          </c:extLst>
        </c:ser>
        <c:ser>
          <c:idx val="2"/>
          <c:order val="2"/>
          <c:tx>
            <c:strRef>
              <c:f>Dashboards!$A$18</c:f>
              <c:strCache>
                <c:ptCount val="1"/>
                <c:pt idx="0">
                  <c:v>IT/IS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Dashboards!$B$15:$D$15</c:f>
              <c:strCache>
                <c:ptCount val="3"/>
                <c:pt idx="0">
                  <c:v>Engagement</c:v>
                </c:pt>
                <c:pt idx="1">
                  <c:v>Avg Satisfaction</c:v>
                </c:pt>
                <c:pt idx="2">
                  <c:v>Avg Work-Life Balance</c:v>
                </c:pt>
              </c:strCache>
            </c:strRef>
          </c:cat>
          <c:val>
            <c:numRef>
              <c:f>Dashboards!$B$18:$D$18</c:f>
              <c:numCache>
                <c:formatCode>0.00</c:formatCode>
                <c:ptCount val="3"/>
                <c:pt idx="0">
                  <c:v>3.024449877750611</c:v>
                </c:pt>
                <c:pt idx="1">
                  <c:v>3.0122249388753057</c:v>
                </c:pt>
                <c:pt idx="2">
                  <c:v>2.9804400977995109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7E-424F-8984-628131C32A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47805952"/>
        <c:axId val="1347607168"/>
      </c:barChart>
      <c:catAx>
        <c:axId val="1347805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607168"/>
        <c:crosses val="autoZero"/>
        <c:auto val="1"/>
        <c:lblAlgn val="ctr"/>
        <c:lblOffset val="100"/>
        <c:noMultiLvlLbl val="0"/>
      </c:catAx>
      <c:valAx>
        <c:axId val="134760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80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4. Performance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Dashboards!$B$22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Dashboards!$A$23:$A$25</c:f>
              <c:strCache>
                <c:ptCount val="3"/>
                <c:pt idx="0">
                  <c:v>Needs Improvement</c:v>
                </c:pt>
                <c:pt idx="1">
                  <c:v>Fully Meets</c:v>
                </c:pt>
                <c:pt idx="2">
                  <c:v>Exceeds</c:v>
                </c:pt>
              </c:strCache>
            </c:strRef>
          </c:cat>
          <c:val>
            <c:numRef>
              <c:f>Dashboards!$B$23:$B$25</c:f>
              <c:numCache>
                <c:formatCode>General</c:formatCode>
                <c:ptCount val="3"/>
                <c:pt idx="0">
                  <c:v>162</c:v>
                </c:pt>
                <c:pt idx="1">
                  <c:v>2251</c:v>
                </c:pt>
                <c:pt idx="2">
                  <c:v>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3-FA43-9083-DC7AC1A4EF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9431855"/>
        <c:axId val="549133279"/>
      </c:barChart>
      <c:catAx>
        <c:axId val="54943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133279"/>
        <c:crosses val="autoZero"/>
        <c:auto val="1"/>
        <c:lblAlgn val="ctr"/>
        <c:lblOffset val="100"/>
        <c:noMultiLvlLbl val="0"/>
      </c:catAx>
      <c:valAx>
        <c:axId val="54913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43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5. Employee Type Mix (Full-Time vs. Contract vs. Part-Time vs. Temporary)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Dashboards!$B$29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Dashboards!$A$30:$A$33</c:f>
              <c:strCache>
                <c:ptCount val="4"/>
                <c:pt idx="0">
                  <c:v>Full-Time</c:v>
                </c:pt>
                <c:pt idx="1">
                  <c:v>Contract</c:v>
                </c:pt>
                <c:pt idx="2">
                  <c:v>Part-Time</c:v>
                </c:pt>
                <c:pt idx="3">
                  <c:v>Temporary</c:v>
                </c:pt>
              </c:strCache>
            </c:strRef>
          </c:cat>
          <c:val>
            <c:numRef>
              <c:f>Dashboards!$B$30:$B$33</c:f>
              <c:numCache>
                <c:formatCode>General</c:formatCode>
                <c:ptCount val="4"/>
                <c:pt idx="0">
                  <c:v>997</c:v>
                </c:pt>
                <c:pt idx="1">
                  <c:v>951</c:v>
                </c:pt>
                <c:pt idx="2">
                  <c:v>897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B-C14A-84AF-694BB65081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0</xdr:row>
      <xdr:rowOff>12700</xdr:rowOff>
    </xdr:from>
    <xdr:to>
      <xdr:col>9</xdr:col>
      <xdr:colOff>812800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DCE2AE-326F-F98C-D82E-939650EEE1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203200</xdr:colOff>
      <xdr:row>0</xdr:row>
      <xdr:rowOff>114300</xdr:rowOff>
    </xdr:from>
    <xdr:to>
      <xdr:col>15</xdr:col>
      <xdr:colOff>482600</xdr:colOff>
      <xdr:row>11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800D92-9149-DD0E-07D4-1F0AA5B03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25400</xdr:colOff>
      <xdr:row>12</xdr:row>
      <xdr:rowOff>0</xdr:rowOff>
    </xdr:from>
    <xdr:to>
      <xdr:col>10</xdr:col>
      <xdr:colOff>0</xdr:colOff>
      <xdr:row>21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5718F7-51BE-9975-8379-E426BCF2D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215900</xdr:colOff>
      <xdr:row>12</xdr:row>
      <xdr:rowOff>25400</xdr:rowOff>
    </xdr:from>
    <xdr:to>
      <xdr:col>15</xdr:col>
      <xdr:colOff>508000</xdr:colOff>
      <xdr:row>22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F881CE-F0F1-53C3-B1B9-BF0DEECEC9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12700</xdr:colOff>
      <xdr:row>23</xdr:row>
      <xdr:rowOff>12700</xdr:rowOff>
    </xdr:from>
    <xdr:to>
      <xdr:col>15</xdr:col>
      <xdr:colOff>546100</xdr:colOff>
      <xdr:row>33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519293-20D0-F83D-236A-D5C9332C7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A6ECB-4B0E-1049-953E-291658517BEA}">
  <dimension ref="A1:AB2846"/>
  <sheetViews>
    <sheetView topLeftCell="K1" workbookViewId="0">
      <selection activeCell="E1" sqref="E1"/>
    </sheetView>
  </sheetViews>
  <sheetFormatPr baseColWidth="10" defaultRowHeight="16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>
        <v>3427</v>
      </c>
      <c r="B2" s="1">
        <v>43728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s="2">
        <v>25483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>
        <v>4</v>
      </c>
      <c r="R2" s="2">
        <v>44940</v>
      </c>
      <c r="S2">
        <v>1</v>
      </c>
      <c r="T2">
        <v>2</v>
      </c>
      <c r="U2">
        <v>3</v>
      </c>
      <c r="V2" s="1">
        <v>45122</v>
      </c>
      <c r="W2" t="s">
        <v>41</v>
      </c>
      <c r="X2" t="s">
        <v>42</v>
      </c>
      <c r="Y2" t="s">
        <v>43</v>
      </c>
      <c r="Z2">
        <v>2</v>
      </c>
      <c r="AA2">
        <v>606.11</v>
      </c>
      <c r="AB2">
        <v>50</v>
      </c>
    </row>
    <row r="3" spans="1:28" x14ac:dyDescent="0.2">
      <c r="A3">
        <v>3428</v>
      </c>
      <c r="B3" s="1">
        <v>44968</v>
      </c>
      <c r="C3" t="s">
        <v>28</v>
      </c>
      <c r="D3" t="s">
        <v>44</v>
      </c>
      <c r="E3" t="s">
        <v>30</v>
      </c>
      <c r="F3" t="s">
        <v>31</v>
      </c>
      <c r="G3" t="s">
        <v>45</v>
      </c>
      <c r="H3" t="s">
        <v>46</v>
      </c>
      <c r="I3" t="s">
        <v>34</v>
      </c>
      <c r="J3" t="s">
        <v>47</v>
      </c>
      <c r="K3" s="2">
        <v>23984</v>
      </c>
      <c r="L3" t="s">
        <v>36</v>
      </c>
      <c r="M3" t="s">
        <v>48</v>
      </c>
      <c r="N3" t="s">
        <v>49</v>
      </c>
      <c r="O3" t="s">
        <v>39</v>
      </c>
      <c r="P3" t="s">
        <v>40</v>
      </c>
      <c r="Q3">
        <v>3</v>
      </c>
      <c r="R3" s="2">
        <v>44813</v>
      </c>
      <c r="S3">
        <v>2</v>
      </c>
      <c r="T3">
        <v>1</v>
      </c>
      <c r="U3">
        <v>5</v>
      </c>
      <c r="V3" s="1">
        <v>44816</v>
      </c>
      <c r="W3" t="s">
        <v>50</v>
      </c>
      <c r="X3" t="s">
        <v>51</v>
      </c>
      <c r="Y3" t="s">
        <v>52</v>
      </c>
      <c r="Z3">
        <v>4</v>
      </c>
      <c r="AA3">
        <v>673.02</v>
      </c>
      <c r="AB3">
        <v>58</v>
      </c>
    </row>
    <row r="4" spans="1:28" x14ac:dyDescent="0.2">
      <c r="A4">
        <v>3429</v>
      </c>
      <c r="B4" s="1">
        <v>43444</v>
      </c>
      <c r="C4" t="s">
        <v>53</v>
      </c>
      <c r="D4" t="s">
        <v>54</v>
      </c>
      <c r="E4" t="s">
        <v>30</v>
      </c>
      <c r="F4" t="s">
        <v>55</v>
      </c>
      <c r="G4" t="s">
        <v>56</v>
      </c>
      <c r="H4" t="s">
        <v>46</v>
      </c>
      <c r="I4" t="s">
        <v>57</v>
      </c>
      <c r="J4" t="s">
        <v>58</v>
      </c>
      <c r="K4" s="2">
        <v>33517</v>
      </c>
      <c r="L4" t="s">
        <v>36</v>
      </c>
      <c r="M4" t="s">
        <v>48</v>
      </c>
      <c r="N4" t="s">
        <v>49</v>
      </c>
      <c r="O4" t="s">
        <v>39</v>
      </c>
      <c r="P4" t="s">
        <v>40</v>
      </c>
      <c r="Q4">
        <v>4</v>
      </c>
      <c r="R4" s="2">
        <v>45073</v>
      </c>
      <c r="S4">
        <v>1</v>
      </c>
      <c r="T4">
        <v>2</v>
      </c>
      <c r="U4">
        <v>1</v>
      </c>
      <c r="V4" s="1">
        <v>44786</v>
      </c>
      <c r="W4" t="s">
        <v>41</v>
      </c>
      <c r="X4" t="s">
        <v>51</v>
      </c>
      <c r="Y4" t="s">
        <v>43</v>
      </c>
      <c r="Z4">
        <v>2</v>
      </c>
      <c r="AA4">
        <v>413.28</v>
      </c>
      <c r="AB4">
        <v>27</v>
      </c>
    </row>
    <row r="5" spans="1:28" x14ac:dyDescent="0.2">
      <c r="A5">
        <v>3430</v>
      </c>
      <c r="B5" s="1">
        <v>44368</v>
      </c>
      <c r="C5" t="s">
        <v>53</v>
      </c>
      <c r="D5" t="s">
        <v>29</v>
      </c>
      <c r="E5" t="s">
        <v>30</v>
      </c>
      <c r="F5" t="s">
        <v>31</v>
      </c>
      <c r="G5" t="s">
        <v>45</v>
      </c>
      <c r="H5" t="s">
        <v>55</v>
      </c>
      <c r="I5" t="s">
        <v>57</v>
      </c>
      <c r="J5" t="s">
        <v>35</v>
      </c>
      <c r="K5" s="2">
        <v>35889</v>
      </c>
      <c r="L5" t="s">
        <v>59</v>
      </c>
      <c r="M5" t="s">
        <v>48</v>
      </c>
      <c r="N5" t="s">
        <v>60</v>
      </c>
      <c r="O5" t="s">
        <v>61</v>
      </c>
      <c r="P5" t="s">
        <v>40</v>
      </c>
      <c r="Q5">
        <v>2</v>
      </c>
      <c r="R5" s="2">
        <v>45093</v>
      </c>
      <c r="S5">
        <v>5</v>
      </c>
      <c r="T5">
        <v>5</v>
      </c>
      <c r="U5">
        <v>4</v>
      </c>
      <c r="V5" s="1">
        <v>44910</v>
      </c>
      <c r="W5" t="s">
        <v>62</v>
      </c>
      <c r="X5" t="s">
        <v>51</v>
      </c>
      <c r="Y5" t="s">
        <v>63</v>
      </c>
      <c r="Z5">
        <v>3</v>
      </c>
      <c r="AA5">
        <v>663.78</v>
      </c>
      <c r="AB5">
        <v>23</v>
      </c>
    </row>
    <row r="6" spans="1:28" x14ac:dyDescent="0.2">
      <c r="A6">
        <v>3431</v>
      </c>
      <c r="B6" s="1">
        <v>43645</v>
      </c>
      <c r="C6" t="s">
        <v>53</v>
      </c>
      <c r="D6" t="s">
        <v>64</v>
      </c>
      <c r="E6" t="s">
        <v>30</v>
      </c>
      <c r="F6" t="s">
        <v>31</v>
      </c>
      <c r="G6" t="s">
        <v>45</v>
      </c>
      <c r="H6" t="s">
        <v>33</v>
      </c>
      <c r="I6" t="s">
        <v>57</v>
      </c>
      <c r="J6" t="s">
        <v>65</v>
      </c>
      <c r="K6" s="2">
        <v>25444</v>
      </c>
      <c r="L6" t="s">
        <v>66</v>
      </c>
      <c r="M6" t="s">
        <v>37</v>
      </c>
      <c r="N6" t="s">
        <v>60</v>
      </c>
      <c r="O6" t="s">
        <v>67</v>
      </c>
      <c r="P6" t="s">
        <v>40</v>
      </c>
      <c r="Q6">
        <v>3</v>
      </c>
      <c r="R6" s="2">
        <v>44890</v>
      </c>
      <c r="S6">
        <v>2</v>
      </c>
      <c r="T6">
        <v>5</v>
      </c>
      <c r="U6">
        <v>3</v>
      </c>
      <c r="V6" s="1">
        <v>45120</v>
      </c>
      <c r="W6" t="s">
        <v>68</v>
      </c>
      <c r="X6" t="s">
        <v>51</v>
      </c>
      <c r="Y6" t="s">
        <v>43</v>
      </c>
      <c r="Z6">
        <v>5</v>
      </c>
      <c r="AA6">
        <v>399.03</v>
      </c>
      <c r="AB6">
        <v>50</v>
      </c>
    </row>
    <row r="7" spans="1:28" x14ac:dyDescent="0.2">
      <c r="A7">
        <v>3432</v>
      </c>
      <c r="B7" s="1">
        <v>43847</v>
      </c>
      <c r="C7" t="s">
        <v>53</v>
      </c>
      <c r="D7" t="s">
        <v>69</v>
      </c>
      <c r="E7" t="s">
        <v>30</v>
      </c>
      <c r="F7" t="s">
        <v>31</v>
      </c>
      <c r="G7" t="s">
        <v>56</v>
      </c>
      <c r="H7" t="s">
        <v>55</v>
      </c>
      <c r="I7" t="s">
        <v>57</v>
      </c>
      <c r="J7" t="s">
        <v>70</v>
      </c>
      <c r="K7" s="2">
        <v>17991</v>
      </c>
      <c r="L7" t="s">
        <v>71</v>
      </c>
      <c r="M7" t="s">
        <v>48</v>
      </c>
      <c r="N7" t="s">
        <v>72</v>
      </c>
      <c r="O7" t="s">
        <v>67</v>
      </c>
      <c r="P7" t="s">
        <v>40</v>
      </c>
      <c r="Q7">
        <v>3</v>
      </c>
      <c r="R7" s="2">
        <v>44907</v>
      </c>
      <c r="S7">
        <v>2</v>
      </c>
      <c r="T7">
        <v>3</v>
      </c>
      <c r="U7">
        <v>5</v>
      </c>
      <c r="V7" s="1">
        <v>45034</v>
      </c>
      <c r="W7" t="s">
        <v>62</v>
      </c>
      <c r="X7" t="s">
        <v>42</v>
      </c>
      <c r="Y7" t="s">
        <v>73</v>
      </c>
      <c r="Z7">
        <v>2</v>
      </c>
      <c r="AA7">
        <v>820.33</v>
      </c>
      <c r="AB7">
        <v>71</v>
      </c>
    </row>
    <row r="8" spans="1:28" x14ac:dyDescent="0.2">
      <c r="A8">
        <v>3433</v>
      </c>
      <c r="B8" s="1">
        <v>44657</v>
      </c>
      <c r="C8" t="s">
        <v>53</v>
      </c>
      <c r="D8" t="s">
        <v>74</v>
      </c>
      <c r="E8" t="s">
        <v>30</v>
      </c>
      <c r="F8" t="s">
        <v>55</v>
      </c>
      <c r="G8" t="s">
        <v>56</v>
      </c>
      <c r="H8" t="s">
        <v>33</v>
      </c>
      <c r="I8" t="s">
        <v>57</v>
      </c>
      <c r="J8" t="s">
        <v>75</v>
      </c>
      <c r="K8" s="2">
        <v>15523</v>
      </c>
      <c r="L8" t="s">
        <v>76</v>
      </c>
      <c r="M8" t="s">
        <v>37</v>
      </c>
      <c r="N8" t="s">
        <v>49</v>
      </c>
      <c r="O8" t="s">
        <v>77</v>
      </c>
      <c r="P8" t="s">
        <v>78</v>
      </c>
      <c r="Q8">
        <v>4</v>
      </c>
      <c r="R8" s="2">
        <v>45010</v>
      </c>
      <c r="S8">
        <v>1</v>
      </c>
      <c r="T8">
        <v>5</v>
      </c>
      <c r="U8">
        <v>2</v>
      </c>
      <c r="V8" s="1">
        <v>44779</v>
      </c>
      <c r="W8" t="s">
        <v>50</v>
      </c>
      <c r="X8" t="s">
        <v>51</v>
      </c>
      <c r="Y8" t="s">
        <v>73</v>
      </c>
      <c r="Z8">
        <v>5</v>
      </c>
      <c r="AA8">
        <v>295.08</v>
      </c>
      <c r="AB8">
        <v>80</v>
      </c>
    </row>
    <row r="9" spans="1:28" x14ac:dyDescent="0.2">
      <c r="A9">
        <v>3434</v>
      </c>
      <c r="B9" s="1">
        <v>44141</v>
      </c>
      <c r="C9" t="s">
        <v>53</v>
      </c>
      <c r="D9" t="s">
        <v>29</v>
      </c>
      <c r="E9" t="s">
        <v>30</v>
      </c>
      <c r="F9" t="s">
        <v>31</v>
      </c>
      <c r="G9" t="s">
        <v>32</v>
      </c>
      <c r="H9" t="s">
        <v>55</v>
      </c>
      <c r="I9" t="s">
        <v>57</v>
      </c>
      <c r="J9" t="s">
        <v>79</v>
      </c>
      <c r="K9" s="2">
        <v>20886</v>
      </c>
      <c r="L9" t="s">
        <v>80</v>
      </c>
      <c r="M9" t="s">
        <v>37</v>
      </c>
      <c r="N9" t="s">
        <v>38</v>
      </c>
      <c r="O9" t="s">
        <v>77</v>
      </c>
      <c r="P9" t="s">
        <v>40</v>
      </c>
      <c r="Q9">
        <v>2</v>
      </c>
      <c r="R9" s="2">
        <v>45037</v>
      </c>
      <c r="S9">
        <v>1</v>
      </c>
      <c r="T9">
        <v>4</v>
      </c>
      <c r="U9">
        <v>2</v>
      </c>
      <c r="V9" s="1">
        <v>44841</v>
      </c>
      <c r="W9" t="s">
        <v>41</v>
      </c>
      <c r="X9" t="s">
        <v>42</v>
      </c>
      <c r="Y9" t="s">
        <v>73</v>
      </c>
      <c r="Z9">
        <v>3</v>
      </c>
      <c r="AA9">
        <v>790.15</v>
      </c>
      <c r="AB9">
        <v>63</v>
      </c>
    </row>
    <row r="10" spans="1:28" x14ac:dyDescent="0.2">
      <c r="A10">
        <v>3435</v>
      </c>
      <c r="B10" s="1">
        <v>43330</v>
      </c>
      <c r="C10" t="s">
        <v>53</v>
      </c>
      <c r="D10" t="s">
        <v>81</v>
      </c>
      <c r="E10" t="s">
        <v>30</v>
      </c>
      <c r="F10" t="s">
        <v>31</v>
      </c>
      <c r="G10" t="s">
        <v>56</v>
      </c>
      <c r="H10" t="s">
        <v>46</v>
      </c>
      <c r="I10" t="s">
        <v>57</v>
      </c>
      <c r="J10" t="s">
        <v>82</v>
      </c>
      <c r="K10" s="2">
        <v>27164</v>
      </c>
      <c r="L10" t="s">
        <v>83</v>
      </c>
      <c r="M10" t="s">
        <v>48</v>
      </c>
      <c r="N10" t="s">
        <v>72</v>
      </c>
      <c r="O10" t="s">
        <v>39</v>
      </c>
      <c r="P10" t="s">
        <v>78</v>
      </c>
      <c r="Q10">
        <v>3</v>
      </c>
      <c r="R10" s="2">
        <v>44904</v>
      </c>
      <c r="S10">
        <v>4</v>
      </c>
      <c r="T10">
        <v>3</v>
      </c>
      <c r="U10">
        <v>3</v>
      </c>
      <c r="V10" s="1">
        <v>45126</v>
      </c>
      <c r="W10" t="s">
        <v>50</v>
      </c>
      <c r="X10" t="s">
        <v>42</v>
      </c>
      <c r="Y10" t="s">
        <v>73</v>
      </c>
      <c r="Z10">
        <v>3</v>
      </c>
      <c r="AA10">
        <v>798.4</v>
      </c>
      <c r="AB10">
        <v>44</v>
      </c>
    </row>
    <row r="11" spans="1:28" x14ac:dyDescent="0.2">
      <c r="A11">
        <v>3436</v>
      </c>
      <c r="B11" s="1">
        <v>44582</v>
      </c>
      <c r="C11" t="s">
        <v>53</v>
      </c>
      <c r="D11" t="s">
        <v>69</v>
      </c>
      <c r="E11" t="s">
        <v>30</v>
      </c>
      <c r="F11" t="s">
        <v>46</v>
      </c>
      <c r="G11" t="s">
        <v>56</v>
      </c>
      <c r="H11" t="s">
        <v>33</v>
      </c>
      <c r="I11" t="s">
        <v>57</v>
      </c>
      <c r="J11" t="s">
        <v>79</v>
      </c>
      <c r="K11" s="2">
        <v>18213</v>
      </c>
      <c r="L11" t="s">
        <v>83</v>
      </c>
      <c r="M11" t="s">
        <v>48</v>
      </c>
      <c r="N11" t="s">
        <v>84</v>
      </c>
      <c r="O11" t="s">
        <v>39</v>
      </c>
      <c r="P11" t="s">
        <v>40</v>
      </c>
      <c r="Q11">
        <v>5</v>
      </c>
      <c r="R11" s="2">
        <v>45137</v>
      </c>
      <c r="S11">
        <v>5</v>
      </c>
      <c r="T11">
        <v>5</v>
      </c>
      <c r="U11">
        <v>2</v>
      </c>
      <c r="V11" s="1">
        <v>45025</v>
      </c>
      <c r="W11" t="s">
        <v>41</v>
      </c>
      <c r="X11" t="s">
        <v>42</v>
      </c>
      <c r="Y11" t="s">
        <v>43</v>
      </c>
      <c r="Z11">
        <v>5</v>
      </c>
      <c r="AA11">
        <v>192.61</v>
      </c>
      <c r="AB11">
        <v>73</v>
      </c>
    </row>
    <row r="12" spans="1:28" x14ac:dyDescent="0.2">
      <c r="A12">
        <v>3437</v>
      </c>
      <c r="B12" s="1">
        <v>45142</v>
      </c>
      <c r="C12" t="s">
        <v>53</v>
      </c>
      <c r="D12" t="s">
        <v>85</v>
      </c>
      <c r="E12" t="s">
        <v>30</v>
      </c>
      <c r="F12" t="s">
        <v>31</v>
      </c>
      <c r="G12" t="s">
        <v>56</v>
      </c>
      <c r="H12" t="s">
        <v>33</v>
      </c>
      <c r="I12" t="s">
        <v>57</v>
      </c>
      <c r="J12" t="s">
        <v>70</v>
      </c>
      <c r="K12" s="2">
        <v>23402</v>
      </c>
      <c r="L12" t="s">
        <v>86</v>
      </c>
      <c r="M12" t="s">
        <v>37</v>
      </c>
      <c r="N12" t="s">
        <v>60</v>
      </c>
      <c r="O12" t="s">
        <v>61</v>
      </c>
      <c r="P12" t="s">
        <v>40</v>
      </c>
      <c r="Q12">
        <v>5</v>
      </c>
      <c r="R12" s="2">
        <v>44849</v>
      </c>
      <c r="S12">
        <v>3</v>
      </c>
      <c r="T12">
        <v>2</v>
      </c>
      <c r="U12">
        <v>5</v>
      </c>
      <c r="V12" s="1">
        <v>44854</v>
      </c>
      <c r="W12" t="s">
        <v>68</v>
      </c>
      <c r="X12" t="s">
        <v>42</v>
      </c>
      <c r="Y12" t="s">
        <v>43</v>
      </c>
      <c r="Z12">
        <v>1</v>
      </c>
      <c r="AA12">
        <v>455.68</v>
      </c>
      <c r="AB12">
        <v>59</v>
      </c>
    </row>
    <row r="13" spans="1:28" x14ac:dyDescent="0.2">
      <c r="A13">
        <v>3438</v>
      </c>
      <c r="B13" s="1">
        <v>43322</v>
      </c>
      <c r="C13" t="s">
        <v>53</v>
      </c>
      <c r="D13" t="s">
        <v>87</v>
      </c>
      <c r="E13" t="s">
        <v>30</v>
      </c>
      <c r="F13" t="s">
        <v>55</v>
      </c>
      <c r="G13" t="s">
        <v>32</v>
      </c>
      <c r="H13" t="s">
        <v>33</v>
      </c>
      <c r="I13" t="s">
        <v>57</v>
      </c>
      <c r="J13" t="s">
        <v>65</v>
      </c>
      <c r="K13" s="2">
        <v>17629</v>
      </c>
      <c r="L13" t="s">
        <v>88</v>
      </c>
      <c r="M13" t="s">
        <v>37</v>
      </c>
      <c r="N13" t="s">
        <v>84</v>
      </c>
      <c r="O13" t="s">
        <v>67</v>
      </c>
      <c r="P13" t="s">
        <v>40</v>
      </c>
      <c r="Q13">
        <v>3</v>
      </c>
      <c r="R13" s="2">
        <v>44862</v>
      </c>
      <c r="S13">
        <v>4</v>
      </c>
      <c r="T13">
        <v>2</v>
      </c>
      <c r="U13">
        <v>5</v>
      </c>
      <c r="V13" s="1">
        <v>44839</v>
      </c>
      <c r="W13" t="s">
        <v>68</v>
      </c>
      <c r="X13" t="s">
        <v>42</v>
      </c>
      <c r="Y13" t="s">
        <v>43</v>
      </c>
      <c r="Z13">
        <v>2</v>
      </c>
      <c r="AA13">
        <v>208.17</v>
      </c>
      <c r="AB13">
        <v>70</v>
      </c>
    </row>
    <row r="14" spans="1:28" x14ac:dyDescent="0.2">
      <c r="A14">
        <v>3439</v>
      </c>
      <c r="B14" s="1">
        <v>44706</v>
      </c>
      <c r="C14" t="s">
        <v>53</v>
      </c>
      <c r="D14" t="s">
        <v>44</v>
      </c>
      <c r="E14" t="s">
        <v>30</v>
      </c>
      <c r="F14" t="s">
        <v>55</v>
      </c>
      <c r="G14" t="s">
        <v>45</v>
      </c>
      <c r="H14" t="s">
        <v>33</v>
      </c>
      <c r="I14" t="s">
        <v>57</v>
      </c>
      <c r="J14" t="s">
        <v>89</v>
      </c>
      <c r="K14" s="2">
        <v>29914</v>
      </c>
      <c r="L14" t="s">
        <v>90</v>
      </c>
      <c r="M14" t="s">
        <v>48</v>
      </c>
      <c r="N14" t="s">
        <v>60</v>
      </c>
      <c r="O14" t="s">
        <v>61</v>
      </c>
      <c r="P14" t="s">
        <v>40</v>
      </c>
      <c r="Q14">
        <v>3</v>
      </c>
      <c r="R14" s="2">
        <v>44864</v>
      </c>
      <c r="S14">
        <v>1</v>
      </c>
      <c r="T14">
        <v>2</v>
      </c>
      <c r="U14">
        <v>5</v>
      </c>
      <c r="V14" s="1">
        <v>44994</v>
      </c>
      <c r="W14" t="s">
        <v>68</v>
      </c>
      <c r="X14" t="s">
        <v>51</v>
      </c>
      <c r="Y14" t="s">
        <v>52</v>
      </c>
      <c r="Z14">
        <v>1</v>
      </c>
      <c r="AA14">
        <v>421.07</v>
      </c>
      <c r="AB14">
        <v>41</v>
      </c>
    </row>
    <row r="15" spans="1:28" x14ac:dyDescent="0.2">
      <c r="A15">
        <v>3440</v>
      </c>
      <c r="B15" s="1">
        <v>43804</v>
      </c>
      <c r="C15" t="s">
        <v>53</v>
      </c>
      <c r="D15" t="s">
        <v>29</v>
      </c>
      <c r="E15" t="s">
        <v>30</v>
      </c>
      <c r="F15" t="s">
        <v>31</v>
      </c>
      <c r="G15" t="s">
        <v>45</v>
      </c>
      <c r="H15" t="s">
        <v>55</v>
      </c>
      <c r="I15" t="s">
        <v>57</v>
      </c>
      <c r="J15" t="s">
        <v>35</v>
      </c>
      <c r="K15" s="2">
        <v>18938</v>
      </c>
      <c r="L15" t="s">
        <v>91</v>
      </c>
      <c r="M15" t="s">
        <v>37</v>
      </c>
      <c r="N15" t="s">
        <v>38</v>
      </c>
      <c r="O15" t="s">
        <v>77</v>
      </c>
      <c r="P15" t="s">
        <v>40</v>
      </c>
      <c r="Q15">
        <v>3</v>
      </c>
      <c r="R15" s="2">
        <v>44828</v>
      </c>
      <c r="S15">
        <v>1</v>
      </c>
      <c r="T15">
        <v>4</v>
      </c>
      <c r="U15">
        <v>5</v>
      </c>
      <c r="V15" s="1">
        <v>45075</v>
      </c>
      <c r="W15" t="s">
        <v>92</v>
      </c>
      <c r="X15" t="s">
        <v>51</v>
      </c>
      <c r="Y15" t="s">
        <v>43</v>
      </c>
      <c r="Z15">
        <v>1</v>
      </c>
      <c r="AA15">
        <v>649.03</v>
      </c>
      <c r="AB15">
        <v>68</v>
      </c>
    </row>
    <row r="16" spans="1:28" x14ac:dyDescent="0.2">
      <c r="A16">
        <v>3441</v>
      </c>
      <c r="B16" s="1">
        <v>43583</v>
      </c>
      <c r="C16" t="s">
        <v>53</v>
      </c>
      <c r="D16" t="s">
        <v>69</v>
      </c>
      <c r="E16" t="s">
        <v>30</v>
      </c>
      <c r="F16" t="s">
        <v>46</v>
      </c>
      <c r="G16" t="s">
        <v>45</v>
      </c>
      <c r="H16" t="s">
        <v>46</v>
      </c>
      <c r="I16" t="s">
        <v>57</v>
      </c>
      <c r="J16" t="s">
        <v>65</v>
      </c>
      <c r="K16" s="2">
        <v>32833</v>
      </c>
      <c r="L16" t="s">
        <v>93</v>
      </c>
      <c r="M16" t="s">
        <v>48</v>
      </c>
      <c r="N16" t="s">
        <v>84</v>
      </c>
      <c r="O16" t="s">
        <v>39</v>
      </c>
      <c r="P16" t="s">
        <v>78</v>
      </c>
      <c r="Q16">
        <v>4</v>
      </c>
      <c r="R16" s="2">
        <v>44864</v>
      </c>
      <c r="S16">
        <v>4</v>
      </c>
      <c r="T16">
        <v>2</v>
      </c>
      <c r="U16">
        <v>5</v>
      </c>
      <c r="V16" s="1">
        <v>44934</v>
      </c>
      <c r="W16" t="s">
        <v>62</v>
      </c>
      <c r="X16" t="s">
        <v>42</v>
      </c>
      <c r="Y16" t="s">
        <v>73</v>
      </c>
      <c r="Z16">
        <v>4</v>
      </c>
      <c r="AA16">
        <v>450.2</v>
      </c>
      <c r="AB16">
        <v>30</v>
      </c>
    </row>
    <row r="17" spans="1:28" x14ac:dyDescent="0.2">
      <c r="A17">
        <v>3442</v>
      </c>
      <c r="B17" s="1">
        <v>43655</v>
      </c>
      <c r="C17" t="s">
        <v>53</v>
      </c>
      <c r="D17" t="s">
        <v>94</v>
      </c>
      <c r="E17" t="s">
        <v>30</v>
      </c>
      <c r="F17" t="s">
        <v>55</v>
      </c>
      <c r="G17" t="s">
        <v>45</v>
      </c>
      <c r="H17" t="s">
        <v>55</v>
      </c>
      <c r="I17" t="s">
        <v>95</v>
      </c>
      <c r="J17" t="s">
        <v>70</v>
      </c>
      <c r="K17" s="2">
        <v>19322</v>
      </c>
      <c r="L17" t="s">
        <v>36</v>
      </c>
      <c r="M17" t="s">
        <v>48</v>
      </c>
      <c r="N17" t="s">
        <v>72</v>
      </c>
      <c r="O17" t="s">
        <v>61</v>
      </c>
      <c r="P17" t="s">
        <v>78</v>
      </c>
      <c r="Q17">
        <v>2</v>
      </c>
      <c r="R17" s="2">
        <v>44865</v>
      </c>
      <c r="S17">
        <v>2</v>
      </c>
      <c r="T17">
        <v>5</v>
      </c>
      <c r="U17">
        <v>3</v>
      </c>
      <c r="V17" s="1">
        <v>44991</v>
      </c>
      <c r="W17" t="s">
        <v>62</v>
      </c>
      <c r="X17" t="s">
        <v>51</v>
      </c>
      <c r="Y17" t="s">
        <v>43</v>
      </c>
      <c r="Z17">
        <v>4</v>
      </c>
      <c r="AA17">
        <v>286.87</v>
      </c>
      <c r="AB17">
        <v>67</v>
      </c>
    </row>
    <row r="18" spans="1:28" x14ac:dyDescent="0.2">
      <c r="A18">
        <v>3443</v>
      </c>
      <c r="B18" s="1">
        <v>44291</v>
      </c>
      <c r="C18" t="s">
        <v>53</v>
      </c>
      <c r="D18" t="s">
        <v>74</v>
      </c>
      <c r="E18" t="s">
        <v>30</v>
      </c>
      <c r="F18" t="s">
        <v>55</v>
      </c>
      <c r="G18" t="s">
        <v>32</v>
      </c>
      <c r="H18" t="s">
        <v>46</v>
      </c>
      <c r="I18" t="s">
        <v>95</v>
      </c>
      <c r="J18" t="s">
        <v>96</v>
      </c>
      <c r="K18" s="2">
        <v>34432</v>
      </c>
      <c r="L18" t="s">
        <v>91</v>
      </c>
      <c r="M18" t="s">
        <v>48</v>
      </c>
      <c r="N18" t="s">
        <v>84</v>
      </c>
      <c r="O18" t="s">
        <v>39</v>
      </c>
      <c r="P18" t="s">
        <v>40</v>
      </c>
      <c r="Q18">
        <v>3</v>
      </c>
      <c r="R18" s="2">
        <v>45045</v>
      </c>
      <c r="S18">
        <v>2</v>
      </c>
      <c r="T18">
        <v>2</v>
      </c>
      <c r="U18">
        <v>4</v>
      </c>
      <c r="V18" s="1">
        <v>44975</v>
      </c>
      <c r="W18" t="s">
        <v>68</v>
      </c>
      <c r="X18" t="s">
        <v>51</v>
      </c>
      <c r="Y18" t="s">
        <v>43</v>
      </c>
      <c r="Z18">
        <v>3</v>
      </c>
      <c r="AA18">
        <v>402.13</v>
      </c>
      <c r="AB18">
        <v>27</v>
      </c>
    </row>
    <row r="19" spans="1:28" x14ac:dyDescent="0.2">
      <c r="A19">
        <v>3444</v>
      </c>
      <c r="B19" s="1">
        <v>44528</v>
      </c>
      <c r="C19" t="s">
        <v>53</v>
      </c>
      <c r="D19" t="s">
        <v>81</v>
      </c>
      <c r="E19" t="s">
        <v>30</v>
      </c>
      <c r="F19" t="s">
        <v>31</v>
      </c>
      <c r="G19" t="s">
        <v>45</v>
      </c>
      <c r="H19" t="s">
        <v>46</v>
      </c>
      <c r="I19" t="s">
        <v>57</v>
      </c>
      <c r="J19" t="s">
        <v>79</v>
      </c>
      <c r="K19" s="2">
        <v>30635</v>
      </c>
      <c r="L19" t="s">
        <v>91</v>
      </c>
      <c r="M19" t="s">
        <v>48</v>
      </c>
      <c r="N19" t="s">
        <v>60</v>
      </c>
      <c r="O19" t="s">
        <v>39</v>
      </c>
      <c r="P19" t="s">
        <v>40</v>
      </c>
      <c r="Q19">
        <v>3</v>
      </c>
      <c r="R19" s="2">
        <v>44909</v>
      </c>
      <c r="S19">
        <v>1</v>
      </c>
      <c r="T19">
        <v>2</v>
      </c>
      <c r="U19">
        <v>4</v>
      </c>
      <c r="V19" s="1">
        <v>44867</v>
      </c>
      <c r="W19" t="s">
        <v>68</v>
      </c>
      <c r="X19" t="s">
        <v>51</v>
      </c>
      <c r="Y19" t="s">
        <v>43</v>
      </c>
      <c r="Z19">
        <v>2</v>
      </c>
      <c r="AA19">
        <v>388.84</v>
      </c>
      <c r="AB19">
        <v>38</v>
      </c>
    </row>
    <row r="20" spans="1:28" x14ac:dyDescent="0.2">
      <c r="A20">
        <v>3445</v>
      </c>
      <c r="B20" s="1">
        <v>44212</v>
      </c>
      <c r="C20" t="s">
        <v>53</v>
      </c>
      <c r="D20" t="s">
        <v>54</v>
      </c>
      <c r="E20" t="s">
        <v>30</v>
      </c>
      <c r="F20" t="s">
        <v>31</v>
      </c>
      <c r="G20" t="s">
        <v>32</v>
      </c>
      <c r="H20" t="s">
        <v>55</v>
      </c>
      <c r="I20" t="s">
        <v>57</v>
      </c>
      <c r="J20" t="s">
        <v>96</v>
      </c>
      <c r="K20" s="2">
        <v>31388</v>
      </c>
      <c r="L20" t="s">
        <v>91</v>
      </c>
      <c r="M20" t="s">
        <v>37</v>
      </c>
      <c r="N20" t="s">
        <v>60</v>
      </c>
      <c r="O20" t="s">
        <v>67</v>
      </c>
      <c r="P20" t="s">
        <v>78</v>
      </c>
      <c r="Q20">
        <v>4</v>
      </c>
      <c r="R20" s="2">
        <v>45053</v>
      </c>
      <c r="S20">
        <v>4</v>
      </c>
      <c r="T20">
        <v>5</v>
      </c>
      <c r="U20">
        <v>2</v>
      </c>
      <c r="V20" s="1">
        <v>45121</v>
      </c>
      <c r="W20" t="s">
        <v>62</v>
      </c>
      <c r="X20" t="s">
        <v>51</v>
      </c>
      <c r="Y20" t="s">
        <v>63</v>
      </c>
      <c r="Z20">
        <v>2</v>
      </c>
      <c r="AA20">
        <v>879.64</v>
      </c>
      <c r="AB20">
        <v>36</v>
      </c>
    </row>
    <row r="21" spans="1:28" x14ac:dyDescent="0.2">
      <c r="A21">
        <v>3446</v>
      </c>
      <c r="B21" s="1">
        <v>44432</v>
      </c>
      <c r="C21" t="s">
        <v>53</v>
      </c>
      <c r="D21" t="s">
        <v>69</v>
      </c>
      <c r="E21" t="s">
        <v>30</v>
      </c>
      <c r="F21" t="s">
        <v>46</v>
      </c>
      <c r="G21" t="s">
        <v>45</v>
      </c>
      <c r="H21" t="s">
        <v>46</v>
      </c>
      <c r="I21" t="s">
        <v>57</v>
      </c>
      <c r="J21" t="s">
        <v>70</v>
      </c>
      <c r="K21" s="2">
        <v>35186</v>
      </c>
      <c r="L21" t="s">
        <v>83</v>
      </c>
      <c r="M21" t="s">
        <v>37</v>
      </c>
      <c r="N21" t="s">
        <v>38</v>
      </c>
      <c r="O21" t="s">
        <v>77</v>
      </c>
      <c r="P21" t="s">
        <v>78</v>
      </c>
      <c r="Q21">
        <v>2</v>
      </c>
      <c r="R21" s="2">
        <v>45067</v>
      </c>
      <c r="S21">
        <v>4</v>
      </c>
      <c r="T21">
        <v>3</v>
      </c>
      <c r="U21">
        <v>5</v>
      </c>
      <c r="V21" s="1">
        <v>44906</v>
      </c>
      <c r="W21" t="s">
        <v>68</v>
      </c>
      <c r="X21" t="s">
        <v>42</v>
      </c>
      <c r="Y21" t="s">
        <v>43</v>
      </c>
      <c r="Z21">
        <v>5</v>
      </c>
      <c r="AA21">
        <v>701.13</v>
      </c>
      <c r="AB21">
        <v>25</v>
      </c>
    </row>
    <row r="22" spans="1:28" x14ac:dyDescent="0.2">
      <c r="A22">
        <v>3450</v>
      </c>
      <c r="B22" s="1">
        <v>44075</v>
      </c>
      <c r="C22" t="s">
        <v>53</v>
      </c>
      <c r="D22" t="s">
        <v>87</v>
      </c>
      <c r="E22" t="s">
        <v>30</v>
      </c>
      <c r="F22" t="s">
        <v>31</v>
      </c>
      <c r="G22" t="s">
        <v>32</v>
      </c>
      <c r="H22" t="s">
        <v>33</v>
      </c>
      <c r="I22" t="s">
        <v>57</v>
      </c>
      <c r="J22" t="s">
        <v>70</v>
      </c>
      <c r="K22" s="2">
        <v>34557</v>
      </c>
      <c r="L22" t="s">
        <v>90</v>
      </c>
      <c r="M22" t="s">
        <v>48</v>
      </c>
      <c r="N22" t="s">
        <v>60</v>
      </c>
      <c r="O22" t="s">
        <v>61</v>
      </c>
      <c r="P22" t="s">
        <v>78</v>
      </c>
      <c r="Q22">
        <v>2</v>
      </c>
      <c r="R22" s="2">
        <v>44944</v>
      </c>
      <c r="S22">
        <v>4</v>
      </c>
      <c r="T22">
        <v>3</v>
      </c>
      <c r="U22">
        <v>5</v>
      </c>
      <c r="V22" s="1">
        <v>44938</v>
      </c>
      <c r="W22" t="s">
        <v>68</v>
      </c>
      <c r="X22" t="s">
        <v>42</v>
      </c>
      <c r="Y22" t="s">
        <v>63</v>
      </c>
      <c r="Z22">
        <v>4</v>
      </c>
      <c r="AA22">
        <v>186.07</v>
      </c>
      <c r="AB22">
        <v>26</v>
      </c>
    </row>
    <row r="23" spans="1:28" x14ac:dyDescent="0.2">
      <c r="A23">
        <v>3451</v>
      </c>
      <c r="B23" s="1">
        <v>44245</v>
      </c>
      <c r="C23" t="s">
        <v>53</v>
      </c>
      <c r="D23" t="s">
        <v>64</v>
      </c>
      <c r="E23" t="s">
        <v>30</v>
      </c>
      <c r="F23" t="s">
        <v>31</v>
      </c>
      <c r="G23" t="s">
        <v>32</v>
      </c>
      <c r="H23" t="s">
        <v>55</v>
      </c>
      <c r="I23" t="s">
        <v>57</v>
      </c>
      <c r="J23" t="s">
        <v>65</v>
      </c>
      <c r="K23" s="2">
        <v>24852</v>
      </c>
      <c r="L23" t="s">
        <v>90</v>
      </c>
      <c r="M23" t="s">
        <v>48</v>
      </c>
      <c r="N23" t="s">
        <v>60</v>
      </c>
      <c r="O23" t="s">
        <v>77</v>
      </c>
      <c r="P23" t="s">
        <v>78</v>
      </c>
      <c r="Q23">
        <v>3</v>
      </c>
      <c r="R23" s="2">
        <v>45045</v>
      </c>
      <c r="S23">
        <v>5</v>
      </c>
      <c r="T23">
        <v>1</v>
      </c>
      <c r="U23">
        <v>2</v>
      </c>
      <c r="V23" s="1">
        <v>45007</v>
      </c>
      <c r="W23" t="s">
        <v>68</v>
      </c>
      <c r="X23" t="s">
        <v>51</v>
      </c>
      <c r="Y23" t="s">
        <v>63</v>
      </c>
      <c r="Z23">
        <v>1</v>
      </c>
      <c r="AA23">
        <v>921.97</v>
      </c>
      <c r="AB23">
        <v>53</v>
      </c>
    </row>
    <row r="24" spans="1:28" x14ac:dyDescent="0.2">
      <c r="A24">
        <v>3452</v>
      </c>
      <c r="B24" s="1">
        <v>44873</v>
      </c>
      <c r="C24" t="s">
        <v>53</v>
      </c>
      <c r="D24" t="s">
        <v>94</v>
      </c>
      <c r="E24" t="s">
        <v>30</v>
      </c>
      <c r="F24" t="s">
        <v>46</v>
      </c>
      <c r="G24" t="s">
        <v>45</v>
      </c>
      <c r="H24" t="s">
        <v>46</v>
      </c>
      <c r="I24" t="s">
        <v>57</v>
      </c>
      <c r="J24" t="s">
        <v>65</v>
      </c>
      <c r="K24" s="2">
        <v>17174</v>
      </c>
      <c r="L24" t="s">
        <v>86</v>
      </c>
      <c r="M24" t="s">
        <v>48</v>
      </c>
      <c r="N24" t="s">
        <v>72</v>
      </c>
      <c r="O24" t="s">
        <v>77</v>
      </c>
      <c r="P24" t="s">
        <v>40</v>
      </c>
      <c r="Q24">
        <v>2</v>
      </c>
      <c r="R24" s="2">
        <v>44945</v>
      </c>
      <c r="S24">
        <v>5</v>
      </c>
      <c r="T24">
        <v>5</v>
      </c>
      <c r="U24">
        <v>2</v>
      </c>
      <c r="V24" s="1">
        <v>44817</v>
      </c>
      <c r="W24" t="s">
        <v>50</v>
      </c>
      <c r="X24" t="s">
        <v>42</v>
      </c>
      <c r="Y24" t="s">
        <v>43</v>
      </c>
      <c r="Z24">
        <v>1</v>
      </c>
      <c r="AA24">
        <v>691.04</v>
      </c>
      <c r="AB24">
        <v>75</v>
      </c>
    </row>
    <row r="25" spans="1:28" x14ac:dyDescent="0.2">
      <c r="A25">
        <v>3453</v>
      </c>
      <c r="B25" s="1">
        <v>44847</v>
      </c>
      <c r="C25" t="s">
        <v>53</v>
      </c>
      <c r="D25" t="s">
        <v>74</v>
      </c>
      <c r="E25" t="s">
        <v>30</v>
      </c>
      <c r="F25" t="s">
        <v>31</v>
      </c>
      <c r="G25" t="s">
        <v>32</v>
      </c>
      <c r="H25" t="s">
        <v>46</v>
      </c>
      <c r="I25" t="s">
        <v>57</v>
      </c>
      <c r="J25" t="s">
        <v>97</v>
      </c>
      <c r="K25" s="2">
        <v>30048</v>
      </c>
      <c r="L25" t="s">
        <v>36</v>
      </c>
      <c r="M25" t="s">
        <v>48</v>
      </c>
      <c r="N25" t="s">
        <v>38</v>
      </c>
      <c r="O25" t="s">
        <v>39</v>
      </c>
      <c r="P25" t="s">
        <v>40</v>
      </c>
      <c r="Q25">
        <v>4</v>
      </c>
      <c r="R25" s="2">
        <v>44821</v>
      </c>
      <c r="S25">
        <v>5</v>
      </c>
      <c r="T25">
        <v>5</v>
      </c>
      <c r="U25">
        <v>3</v>
      </c>
      <c r="V25" s="1">
        <v>44798</v>
      </c>
      <c r="W25" t="s">
        <v>50</v>
      </c>
      <c r="X25" t="s">
        <v>51</v>
      </c>
      <c r="Y25" t="s">
        <v>63</v>
      </c>
      <c r="Z25">
        <v>5</v>
      </c>
      <c r="AA25">
        <v>964.44</v>
      </c>
      <c r="AB25">
        <v>40</v>
      </c>
    </row>
    <row r="26" spans="1:28" x14ac:dyDescent="0.2">
      <c r="A26">
        <v>3454</v>
      </c>
      <c r="B26" s="1">
        <v>44815</v>
      </c>
      <c r="C26" t="s">
        <v>53</v>
      </c>
      <c r="D26" t="s">
        <v>94</v>
      </c>
      <c r="E26" t="s">
        <v>30</v>
      </c>
      <c r="F26" t="s">
        <v>55</v>
      </c>
      <c r="G26" t="s">
        <v>32</v>
      </c>
      <c r="H26" t="s">
        <v>55</v>
      </c>
      <c r="I26" t="s">
        <v>95</v>
      </c>
      <c r="J26" t="s">
        <v>65</v>
      </c>
      <c r="K26" s="2">
        <v>25597</v>
      </c>
      <c r="L26" t="s">
        <v>91</v>
      </c>
      <c r="M26" t="s">
        <v>48</v>
      </c>
      <c r="N26" t="s">
        <v>49</v>
      </c>
      <c r="O26" t="s">
        <v>67</v>
      </c>
      <c r="P26" t="s">
        <v>98</v>
      </c>
      <c r="Q26">
        <v>4</v>
      </c>
      <c r="R26" s="2">
        <v>44999</v>
      </c>
      <c r="S26">
        <v>4</v>
      </c>
      <c r="T26">
        <v>4</v>
      </c>
      <c r="U26">
        <v>2</v>
      </c>
      <c r="V26" s="1">
        <v>44964</v>
      </c>
      <c r="W26" t="s">
        <v>92</v>
      </c>
      <c r="X26" t="s">
        <v>42</v>
      </c>
      <c r="Y26" t="s">
        <v>73</v>
      </c>
      <c r="Z26">
        <v>3</v>
      </c>
      <c r="AA26">
        <v>184.9</v>
      </c>
      <c r="AB26">
        <v>52</v>
      </c>
    </row>
    <row r="27" spans="1:28" x14ac:dyDescent="0.2">
      <c r="A27">
        <v>3455</v>
      </c>
      <c r="B27" s="1">
        <v>44376</v>
      </c>
      <c r="C27" t="s">
        <v>53</v>
      </c>
      <c r="D27" t="s">
        <v>74</v>
      </c>
      <c r="E27" t="s">
        <v>30</v>
      </c>
      <c r="F27" t="s">
        <v>55</v>
      </c>
      <c r="G27" t="s">
        <v>32</v>
      </c>
      <c r="H27" t="s">
        <v>33</v>
      </c>
      <c r="I27" t="s">
        <v>57</v>
      </c>
      <c r="J27" t="s">
        <v>99</v>
      </c>
      <c r="K27" s="2">
        <v>36178</v>
      </c>
      <c r="L27" t="s">
        <v>91</v>
      </c>
      <c r="M27" t="s">
        <v>48</v>
      </c>
      <c r="N27" t="s">
        <v>60</v>
      </c>
      <c r="O27" t="s">
        <v>39</v>
      </c>
      <c r="P27" t="s">
        <v>78</v>
      </c>
      <c r="Q27">
        <v>4</v>
      </c>
      <c r="R27" s="2">
        <v>44785</v>
      </c>
      <c r="S27">
        <v>2</v>
      </c>
      <c r="T27">
        <v>1</v>
      </c>
      <c r="U27">
        <v>1</v>
      </c>
      <c r="V27" s="1">
        <v>45002</v>
      </c>
      <c r="W27" t="s">
        <v>62</v>
      </c>
      <c r="X27" t="s">
        <v>51</v>
      </c>
      <c r="Y27" t="s">
        <v>73</v>
      </c>
      <c r="Z27">
        <v>1</v>
      </c>
      <c r="AA27">
        <v>220.41</v>
      </c>
      <c r="AB27">
        <v>22</v>
      </c>
    </row>
    <row r="28" spans="1:28" x14ac:dyDescent="0.2">
      <c r="A28">
        <v>3456</v>
      </c>
      <c r="B28" s="1">
        <v>44991</v>
      </c>
      <c r="C28" t="s">
        <v>53</v>
      </c>
      <c r="D28" t="s">
        <v>81</v>
      </c>
      <c r="E28" t="s">
        <v>30</v>
      </c>
      <c r="F28" t="s">
        <v>55</v>
      </c>
      <c r="G28" t="s">
        <v>45</v>
      </c>
      <c r="H28" t="s">
        <v>33</v>
      </c>
      <c r="I28" t="s">
        <v>57</v>
      </c>
      <c r="J28" t="s">
        <v>70</v>
      </c>
      <c r="K28" s="2">
        <v>17070</v>
      </c>
      <c r="L28" t="s">
        <v>91</v>
      </c>
      <c r="M28" t="s">
        <v>37</v>
      </c>
      <c r="N28" t="s">
        <v>72</v>
      </c>
      <c r="O28" t="s">
        <v>77</v>
      </c>
      <c r="P28" t="s">
        <v>40</v>
      </c>
      <c r="Q28">
        <v>3</v>
      </c>
      <c r="R28" s="2">
        <v>45015</v>
      </c>
      <c r="S28">
        <v>4</v>
      </c>
      <c r="T28">
        <v>3</v>
      </c>
      <c r="U28">
        <v>4</v>
      </c>
      <c r="V28" s="1">
        <v>45085</v>
      </c>
      <c r="W28" t="s">
        <v>68</v>
      </c>
      <c r="X28" t="s">
        <v>51</v>
      </c>
      <c r="Y28" t="s">
        <v>73</v>
      </c>
      <c r="Z28">
        <v>2</v>
      </c>
      <c r="AA28">
        <v>336.82</v>
      </c>
      <c r="AB28">
        <v>77</v>
      </c>
    </row>
    <row r="29" spans="1:28" x14ac:dyDescent="0.2">
      <c r="A29">
        <v>3457</v>
      </c>
      <c r="B29" s="1">
        <v>44099</v>
      </c>
      <c r="C29" t="s">
        <v>53</v>
      </c>
      <c r="D29" t="s">
        <v>54</v>
      </c>
      <c r="E29" t="s">
        <v>30</v>
      </c>
      <c r="F29" t="s">
        <v>55</v>
      </c>
      <c r="G29" t="s">
        <v>56</v>
      </c>
      <c r="H29" t="s">
        <v>33</v>
      </c>
      <c r="I29" t="s">
        <v>57</v>
      </c>
      <c r="J29" t="s">
        <v>79</v>
      </c>
      <c r="K29" s="2">
        <v>17402</v>
      </c>
      <c r="L29" t="s">
        <v>91</v>
      </c>
      <c r="M29" t="s">
        <v>37</v>
      </c>
      <c r="N29" t="s">
        <v>38</v>
      </c>
      <c r="O29" t="s">
        <v>77</v>
      </c>
      <c r="P29" t="s">
        <v>98</v>
      </c>
      <c r="Q29">
        <v>3</v>
      </c>
      <c r="R29" s="2">
        <v>45037</v>
      </c>
      <c r="S29">
        <v>5</v>
      </c>
      <c r="T29">
        <v>1</v>
      </c>
      <c r="U29">
        <v>4</v>
      </c>
      <c r="V29" s="1">
        <v>45031</v>
      </c>
      <c r="W29" t="s">
        <v>50</v>
      </c>
      <c r="X29" t="s">
        <v>51</v>
      </c>
      <c r="Y29" t="s">
        <v>63</v>
      </c>
      <c r="Z29">
        <v>4</v>
      </c>
      <c r="AA29">
        <v>485.73</v>
      </c>
      <c r="AB29">
        <v>73</v>
      </c>
    </row>
    <row r="30" spans="1:28" x14ac:dyDescent="0.2">
      <c r="A30">
        <v>3460</v>
      </c>
      <c r="B30" s="1">
        <v>43880</v>
      </c>
      <c r="C30" t="s">
        <v>53</v>
      </c>
      <c r="D30" t="s">
        <v>85</v>
      </c>
      <c r="E30" t="s">
        <v>30</v>
      </c>
      <c r="F30" t="s">
        <v>55</v>
      </c>
      <c r="G30" t="s">
        <v>45</v>
      </c>
      <c r="H30" t="s">
        <v>55</v>
      </c>
      <c r="I30" t="s">
        <v>57</v>
      </c>
      <c r="J30" t="s">
        <v>47</v>
      </c>
      <c r="K30" s="2">
        <v>16112</v>
      </c>
      <c r="L30" t="s">
        <v>83</v>
      </c>
      <c r="M30" t="s">
        <v>48</v>
      </c>
      <c r="N30" t="s">
        <v>84</v>
      </c>
      <c r="O30" t="s">
        <v>67</v>
      </c>
      <c r="P30" t="s">
        <v>40</v>
      </c>
      <c r="Q30">
        <v>3</v>
      </c>
      <c r="R30" s="2">
        <v>44881</v>
      </c>
      <c r="S30">
        <v>4</v>
      </c>
      <c r="T30">
        <v>3</v>
      </c>
      <c r="U30">
        <v>3</v>
      </c>
      <c r="V30" s="1">
        <v>45115</v>
      </c>
      <c r="W30" t="s">
        <v>92</v>
      </c>
      <c r="X30" t="s">
        <v>51</v>
      </c>
      <c r="Y30" t="s">
        <v>52</v>
      </c>
      <c r="Z30">
        <v>5</v>
      </c>
      <c r="AA30">
        <v>919.52</v>
      </c>
      <c r="AB30">
        <v>76</v>
      </c>
    </row>
    <row r="31" spans="1:28" x14ac:dyDescent="0.2">
      <c r="A31">
        <v>3462</v>
      </c>
      <c r="B31" s="1">
        <v>43356</v>
      </c>
      <c r="C31" t="s">
        <v>53</v>
      </c>
      <c r="D31" t="s">
        <v>87</v>
      </c>
      <c r="E31" t="s">
        <v>30</v>
      </c>
      <c r="F31" t="s">
        <v>31</v>
      </c>
      <c r="G31" t="s">
        <v>45</v>
      </c>
      <c r="H31" t="s">
        <v>55</v>
      </c>
      <c r="I31" t="s">
        <v>57</v>
      </c>
      <c r="J31" t="s">
        <v>70</v>
      </c>
      <c r="K31" s="2">
        <v>15562</v>
      </c>
      <c r="L31" t="s">
        <v>90</v>
      </c>
      <c r="M31" t="s">
        <v>48</v>
      </c>
      <c r="N31" t="s">
        <v>49</v>
      </c>
      <c r="O31" t="s">
        <v>77</v>
      </c>
      <c r="P31" t="s">
        <v>98</v>
      </c>
      <c r="Q31">
        <v>3</v>
      </c>
      <c r="R31" s="2">
        <v>44873</v>
      </c>
      <c r="S31">
        <v>3</v>
      </c>
      <c r="T31">
        <v>3</v>
      </c>
      <c r="U31">
        <v>1</v>
      </c>
      <c r="V31" s="1">
        <v>45126</v>
      </c>
      <c r="W31" t="s">
        <v>62</v>
      </c>
      <c r="X31" t="s">
        <v>51</v>
      </c>
      <c r="Y31" t="s">
        <v>63</v>
      </c>
      <c r="Z31">
        <v>1</v>
      </c>
      <c r="AA31">
        <v>320.01</v>
      </c>
      <c r="AB31">
        <v>76</v>
      </c>
    </row>
    <row r="32" spans="1:28" x14ac:dyDescent="0.2">
      <c r="A32">
        <v>3463</v>
      </c>
      <c r="B32" s="1">
        <v>43951</v>
      </c>
      <c r="C32" t="s">
        <v>53</v>
      </c>
      <c r="D32" t="s">
        <v>64</v>
      </c>
      <c r="E32" t="s">
        <v>30</v>
      </c>
      <c r="F32" t="s">
        <v>46</v>
      </c>
      <c r="G32" t="s">
        <v>45</v>
      </c>
      <c r="H32" t="s">
        <v>33</v>
      </c>
      <c r="I32" t="s">
        <v>57</v>
      </c>
      <c r="J32" t="s">
        <v>70</v>
      </c>
      <c r="K32" s="2">
        <v>18800</v>
      </c>
      <c r="L32" t="s">
        <v>86</v>
      </c>
      <c r="M32" t="s">
        <v>48</v>
      </c>
      <c r="N32" t="s">
        <v>49</v>
      </c>
      <c r="O32" t="s">
        <v>61</v>
      </c>
      <c r="P32" t="s">
        <v>40</v>
      </c>
      <c r="Q32">
        <v>1</v>
      </c>
      <c r="R32" s="2">
        <v>44822</v>
      </c>
      <c r="S32">
        <v>4</v>
      </c>
      <c r="T32">
        <v>3</v>
      </c>
      <c r="U32">
        <v>4</v>
      </c>
      <c r="V32" s="1">
        <v>44802</v>
      </c>
      <c r="W32" t="s">
        <v>68</v>
      </c>
      <c r="X32" t="s">
        <v>42</v>
      </c>
      <c r="Y32" t="s">
        <v>52</v>
      </c>
      <c r="Z32">
        <v>4</v>
      </c>
      <c r="AA32">
        <v>926.19</v>
      </c>
      <c r="AB32">
        <v>69</v>
      </c>
    </row>
    <row r="33" spans="1:28" x14ac:dyDescent="0.2">
      <c r="A33">
        <v>3464</v>
      </c>
      <c r="B33" s="1">
        <v>43437</v>
      </c>
      <c r="C33" t="s">
        <v>53</v>
      </c>
      <c r="D33" t="s">
        <v>94</v>
      </c>
      <c r="E33" t="s">
        <v>30</v>
      </c>
      <c r="F33" t="s">
        <v>31</v>
      </c>
      <c r="G33" t="s">
        <v>56</v>
      </c>
      <c r="H33" t="s">
        <v>55</v>
      </c>
      <c r="I33" t="s">
        <v>57</v>
      </c>
      <c r="J33" t="s">
        <v>100</v>
      </c>
      <c r="K33" s="2">
        <v>35963</v>
      </c>
      <c r="L33" t="s">
        <v>36</v>
      </c>
      <c r="M33" t="s">
        <v>48</v>
      </c>
      <c r="N33" t="s">
        <v>72</v>
      </c>
      <c r="O33" t="s">
        <v>39</v>
      </c>
      <c r="P33" t="s">
        <v>98</v>
      </c>
      <c r="Q33">
        <v>5</v>
      </c>
      <c r="R33" s="2">
        <v>44924</v>
      </c>
      <c r="S33">
        <v>2</v>
      </c>
      <c r="T33">
        <v>5</v>
      </c>
      <c r="U33">
        <v>3</v>
      </c>
      <c r="V33" s="1">
        <v>44878</v>
      </c>
      <c r="W33" t="s">
        <v>50</v>
      </c>
      <c r="X33" t="s">
        <v>51</v>
      </c>
      <c r="Y33" t="s">
        <v>73</v>
      </c>
      <c r="Z33">
        <v>2</v>
      </c>
      <c r="AA33">
        <v>290.47000000000003</v>
      </c>
      <c r="AB33">
        <v>20</v>
      </c>
    </row>
    <row r="34" spans="1:28" x14ac:dyDescent="0.2">
      <c r="A34">
        <v>3465</v>
      </c>
      <c r="B34" s="1">
        <v>44508</v>
      </c>
      <c r="C34" t="s">
        <v>53</v>
      </c>
      <c r="D34" t="s">
        <v>74</v>
      </c>
      <c r="E34" t="s">
        <v>30</v>
      </c>
      <c r="F34" t="s">
        <v>55</v>
      </c>
      <c r="G34" t="s">
        <v>56</v>
      </c>
      <c r="H34" t="s">
        <v>55</v>
      </c>
      <c r="I34" t="s">
        <v>57</v>
      </c>
      <c r="J34" t="s">
        <v>65</v>
      </c>
      <c r="K34" s="2">
        <v>22653</v>
      </c>
      <c r="L34" t="s">
        <v>36</v>
      </c>
      <c r="M34" t="s">
        <v>48</v>
      </c>
      <c r="N34" t="s">
        <v>84</v>
      </c>
      <c r="O34" t="s">
        <v>77</v>
      </c>
      <c r="P34" t="s">
        <v>98</v>
      </c>
      <c r="Q34">
        <v>3</v>
      </c>
      <c r="R34" s="2">
        <v>45065</v>
      </c>
      <c r="S34">
        <v>5</v>
      </c>
      <c r="T34">
        <v>4</v>
      </c>
      <c r="U34">
        <v>3</v>
      </c>
      <c r="V34" s="1">
        <v>45081</v>
      </c>
      <c r="W34" t="s">
        <v>92</v>
      </c>
      <c r="X34" t="s">
        <v>51</v>
      </c>
      <c r="Y34" t="s">
        <v>52</v>
      </c>
      <c r="Z34">
        <v>1</v>
      </c>
      <c r="AA34">
        <v>706.1</v>
      </c>
      <c r="AB34">
        <v>59</v>
      </c>
    </row>
    <row r="35" spans="1:28" x14ac:dyDescent="0.2">
      <c r="A35">
        <v>3466</v>
      </c>
      <c r="B35" s="1">
        <v>44664</v>
      </c>
      <c r="C35" t="s">
        <v>53</v>
      </c>
      <c r="D35" t="s">
        <v>94</v>
      </c>
      <c r="E35" t="s">
        <v>30</v>
      </c>
      <c r="F35" t="s">
        <v>46</v>
      </c>
      <c r="G35" t="s">
        <v>32</v>
      </c>
      <c r="H35" t="s">
        <v>55</v>
      </c>
      <c r="I35" t="s">
        <v>95</v>
      </c>
      <c r="J35" t="s">
        <v>47</v>
      </c>
      <c r="K35" s="2">
        <v>28881</v>
      </c>
      <c r="L35" t="s">
        <v>91</v>
      </c>
      <c r="M35" t="s">
        <v>48</v>
      </c>
      <c r="N35" t="s">
        <v>60</v>
      </c>
      <c r="O35" t="s">
        <v>67</v>
      </c>
      <c r="P35" t="s">
        <v>78</v>
      </c>
      <c r="Q35">
        <v>4</v>
      </c>
      <c r="R35" s="2">
        <v>45142</v>
      </c>
      <c r="S35">
        <v>1</v>
      </c>
      <c r="T35">
        <v>3</v>
      </c>
      <c r="U35">
        <v>4</v>
      </c>
      <c r="V35" s="1">
        <v>44902</v>
      </c>
      <c r="W35" t="s">
        <v>50</v>
      </c>
      <c r="X35" t="s">
        <v>51</v>
      </c>
      <c r="Y35" t="s">
        <v>73</v>
      </c>
      <c r="Z35">
        <v>3</v>
      </c>
      <c r="AA35">
        <v>447.66</v>
      </c>
      <c r="AB35">
        <v>43</v>
      </c>
    </row>
    <row r="36" spans="1:28" x14ac:dyDescent="0.2">
      <c r="A36">
        <v>3467</v>
      </c>
      <c r="B36" s="1">
        <v>43957</v>
      </c>
      <c r="C36" t="s">
        <v>53</v>
      </c>
      <c r="D36" t="s">
        <v>74</v>
      </c>
      <c r="E36" t="s">
        <v>30</v>
      </c>
      <c r="F36" t="s">
        <v>31</v>
      </c>
      <c r="G36" t="s">
        <v>45</v>
      </c>
      <c r="H36" t="s">
        <v>46</v>
      </c>
      <c r="I36" t="s">
        <v>57</v>
      </c>
      <c r="J36" t="s">
        <v>97</v>
      </c>
      <c r="K36" s="2">
        <v>31911</v>
      </c>
      <c r="L36" t="s">
        <v>91</v>
      </c>
      <c r="M36" t="s">
        <v>37</v>
      </c>
      <c r="N36" t="s">
        <v>84</v>
      </c>
      <c r="O36" t="s">
        <v>77</v>
      </c>
      <c r="P36" t="s">
        <v>78</v>
      </c>
      <c r="Q36">
        <v>1</v>
      </c>
      <c r="R36" s="2">
        <v>45104</v>
      </c>
      <c r="S36">
        <v>4</v>
      </c>
      <c r="T36">
        <v>3</v>
      </c>
      <c r="U36">
        <v>2</v>
      </c>
      <c r="V36" s="1">
        <v>44981</v>
      </c>
      <c r="W36" t="s">
        <v>68</v>
      </c>
      <c r="X36" t="s">
        <v>42</v>
      </c>
      <c r="Y36" t="s">
        <v>52</v>
      </c>
      <c r="Z36">
        <v>1</v>
      </c>
      <c r="AA36">
        <v>759.7</v>
      </c>
      <c r="AB36">
        <v>33</v>
      </c>
    </row>
    <row r="37" spans="1:28" x14ac:dyDescent="0.2">
      <c r="A37">
        <v>3468</v>
      </c>
      <c r="B37" s="1">
        <v>43717</v>
      </c>
      <c r="C37" t="s">
        <v>53</v>
      </c>
      <c r="D37" t="s">
        <v>81</v>
      </c>
      <c r="E37" t="s">
        <v>30</v>
      </c>
      <c r="F37" t="s">
        <v>31</v>
      </c>
      <c r="G37" t="s">
        <v>56</v>
      </c>
      <c r="H37" t="s">
        <v>33</v>
      </c>
      <c r="I37" t="s">
        <v>57</v>
      </c>
      <c r="J37" t="s">
        <v>101</v>
      </c>
      <c r="K37" s="2">
        <v>35911</v>
      </c>
      <c r="L37" t="s">
        <v>91</v>
      </c>
      <c r="M37" t="s">
        <v>37</v>
      </c>
      <c r="N37" t="s">
        <v>72</v>
      </c>
      <c r="O37" t="s">
        <v>61</v>
      </c>
      <c r="P37" t="s">
        <v>40</v>
      </c>
      <c r="Q37">
        <v>4</v>
      </c>
      <c r="R37" s="2">
        <v>44962</v>
      </c>
      <c r="S37">
        <v>3</v>
      </c>
      <c r="T37">
        <v>1</v>
      </c>
      <c r="U37">
        <v>3</v>
      </c>
      <c r="V37" s="1">
        <v>45056</v>
      </c>
      <c r="W37" t="s">
        <v>50</v>
      </c>
      <c r="X37" t="s">
        <v>42</v>
      </c>
      <c r="Y37" t="s">
        <v>63</v>
      </c>
      <c r="Z37">
        <v>3</v>
      </c>
      <c r="AA37">
        <v>180.63</v>
      </c>
      <c r="AB37">
        <v>21</v>
      </c>
    </row>
    <row r="38" spans="1:28" x14ac:dyDescent="0.2">
      <c r="A38">
        <v>3471</v>
      </c>
      <c r="B38" s="1">
        <v>43890</v>
      </c>
      <c r="C38" t="s">
        <v>53</v>
      </c>
      <c r="D38" t="s">
        <v>29</v>
      </c>
      <c r="E38" t="s">
        <v>30</v>
      </c>
      <c r="F38" t="s">
        <v>46</v>
      </c>
      <c r="G38" t="s">
        <v>32</v>
      </c>
      <c r="H38" t="s">
        <v>33</v>
      </c>
      <c r="I38" t="s">
        <v>57</v>
      </c>
      <c r="J38" t="s">
        <v>70</v>
      </c>
      <c r="K38" s="2">
        <v>24475</v>
      </c>
      <c r="L38" t="s">
        <v>83</v>
      </c>
      <c r="M38" t="s">
        <v>48</v>
      </c>
      <c r="N38" t="s">
        <v>84</v>
      </c>
      <c r="O38" t="s">
        <v>67</v>
      </c>
      <c r="P38" t="s">
        <v>40</v>
      </c>
      <c r="Q38">
        <v>4</v>
      </c>
      <c r="R38" s="2">
        <v>45046</v>
      </c>
      <c r="S38">
        <v>2</v>
      </c>
      <c r="T38">
        <v>4</v>
      </c>
      <c r="U38">
        <v>1</v>
      </c>
      <c r="V38" s="1">
        <v>45008</v>
      </c>
      <c r="W38" t="s">
        <v>50</v>
      </c>
      <c r="X38" t="s">
        <v>51</v>
      </c>
      <c r="Y38" t="s">
        <v>73</v>
      </c>
      <c r="Z38">
        <v>3</v>
      </c>
      <c r="AA38">
        <v>109.98</v>
      </c>
      <c r="AB38">
        <v>53</v>
      </c>
    </row>
    <row r="39" spans="1:28" x14ac:dyDescent="0.2">
      <c r="A39">
        <v>3472</v>
      </c>
      <c r="B39" s="1">
        <v>44941</v>
      </c>
      <c r="C39" t="s">
        <v>53</v>
      </c>
      <c r="D39" t="s">
        <v>85</v>
      </c>
      <c r="E39" t="s">
        <v>30</v>
      </c>
      <c r="F39" t="s">
        <v>31</v>
      </c>
      <c r="G39" t="s">
        <v>32</v>
      </c>
      <c r="H39" t="s">
        <v>55</v>
      </c>
      <c r="I39" t="s">
        <v>57</v>
      </c>
      <c r="J39" t="s">
        <v>96</v>
      </c>
      <c r="K39" s="2">
        <v>29963</v>
      </c>
      <c r="L39" t="s">
        <v>83</v>
      </c>
      <c r="M39" t="s">
        <v>48</v>
      </c>
      <c r="N39" t="s">
        <v>60</v>
      </c>
      <c r="O39" t="s">
        <v>67</v>
      </c>
      <c r="P39" t="s">
        <v>78</v>
      </c>
      <c r="Q39">
        <v>4</v>
      </c>
      <c r="R39" s="2">
        <v>45133</v>
      </c>
      <c r="S39">
        <v>5</v>
      </c>
      <c r="T39">
        <v>5</v>
      </c>
      <c r="U39">
        <v>4</v>
      </c>
      <c r="V39" s="1">
        <v>44969</v>
      </c>
      <c r="W39" t="s">
        <v>68</v>
      </c>
      <c r="X39" t="s">
        <v>51</v>
      </c>
      <c r="Y39" t="s">
        <v>63</v>
      </c>
      <c r="Z39">
        <v>5</v>
      </c>
      <c r="AA39">
        <v>537.24</v>
      </c>
      <c r="AB39">
        <v>41</v>
      </c>
    </row>
    <row r="40" spans="1:28" x14ac:dyDescent="0.2">
      <c r="A40">
        <v>3473</v>
      </c>
      <c r="B40" s="1">
        <v>45106</v>
      </c>
      <c r="C40" t="s">
        <v>53</v>
      </c>
      <c r="D40" t="s">
        <v>44</v>
      </c>
      <c r="E40" t="s">
        <v>30</v>
      </c>
      <c r="F40" t="s">
        <v>46</v>
      </c>
      <c r="G40" t="s">
        <v>45</v>
      </c>
      <c r="H40" t="s">
        <v>33</v>
      </c>
      <c r="I40" t="s">
        <v>57</v>
      </c>
      <c r="J40" t="s">
        <v>100</v>
      </c>
      <c r="K40" s="2">
        <v>18537</v>
      </c>
      <c r="L40" t="s">
        <v>90</v>
      </c>
      <c r="M40" t="s">
        <v>48</v>
      </c>
      <c r="N40" t="s">
        <v>49</v>
      </c>
      <c r="O40" t="s">
        <v>39</v>
      </c>
      <c r="P40" t="s">
        <v>78</v>
      </c>
      <c r="Q40">
        <v>2</v>
      </c>
      <c r="R40" s="2">
        <v>45105</v>
      </c>
      <c r="S40">
        <v>3</v>
      </c>
      <c r="T40">
        <v>4</v>
      </c>
      <c r="U40">
        <v>4</v>
      </c>
      <c r="V40" s="1">
        <v>44901</v>
      </c>
      <c r="W40" t="s">
        <v>92</v>
      </c>
      <c r="X40" t="s">
        <v>51</v>
      </c>
      <c r="Y40" t="s">
        <v>43</v>
      </c>
      <c r="Z40">
        <v>5</v>
      </c>
      <c r="AA40">
        <v>789.99</v>
      </c>
      <c r="AB40">
        <v>73</v>
      </c>
    </row>
    <row r="41" spans="1:28" x14ac:dyDescent="0.2">
      <c r="A41">
        <v>3474</v>
      </c>
      <c r="B41" s="1">
        <v>43899</v>
      </c>
      <c r="C41" t="s">
        <v>53</v>
      </c>
      <c r="D41" t="s">
        <v>87</v>
      </c>
      <c r="E41" t="s">
        <v>30</v>
      </c>
      <c r="F41" t="s">
        <v>55</v>
      </c>
      <c r="G41" t="s">
        <v>45</v>
      </c>
      <c r="H41" t="s">
        <v>33</v>
      </c>
      <c r="I41" t="s">
        <v>57</v>
      </c>
      <c r="J41" t="s">
        <v>102</v>
      </c>
      <c r="K41" s="2">
        <v>24092</v>
      </c>
      <c r="L41" t="s">
        <v>90</v>
      </c>
      <c r="M41" t="s">
        <v>48</v>
      </c>
      <c r="N41" t="s">
        <v>60</v>
      </c>
      <c r="O41" t="s">
        <v>77</v>
      </c>
      <c r="P41" t="s">
        <v>40</v>
      </c>
      <c r="Q41">
        <v>2</v>
      </c>
      <c r="R41" s="2">
        <v>45055</v>
      </c>
      <c r="S41">
        <v>3</v>
      </c>
      <c r="T41">
        <v>1</v>
      </c>
      <c r="U41">
        <v>2</v>
      </c>
      <c r="V41" s="1">
        <v>44805</v>
      </c>
      <c r="W41" t="s">
        <v>50</v>
      </c>
      <c r="X41" t="s">
        <v>51</v>
      </c>
      <c r="Y41" t="s">
        <v>52</v>
      </c>
      <c r="Z41">
        <v>5</v>
      </c>
      <c r="AA41">
        <v>155.51</v>
      </c>
      <c r="AB41">
        <v>55</v>
      </c>
    </row>
    <row r="42" spans="1:28" x14ac:dyDescent="0.2">
      <c r="A42">
        <v>3475</v>
      </c>
      <c r="B42" s="1">
        <v>44460</v>
      </c>
      <c r="C42" t="s">
        <v>53</v>
      </c>
      <c r="D42" t="s">
        <v>64</v>
      </c>
      <c r="E42" t="s">
        <v>30</v>
      </c>
      <c r="F42" t="s">
        <v>55</v>
      </c>
      <c r="G42" t="s">
        <v>32</v>
      </c>
      <c r="H42" t="s">
        <v>33</v>
      </c>
      <c r="I42" t="s">
        <v>57</v>
      </c>
      <c r="J42" t="s">
        <v>65</v>
      </c>
      <c r="K42" s="2">
        <v>21179</v>
      </c>
      <c r="L42" t="s">
        <v>86</v>
      </c>
      <c r="M42" t="s">
        <v>48</v>
      </c>
      <c r="N42" t="s">
        <v>84</v>
      </c>
      <c r="O42" t="s">
        <v>39</v>
      </c>
      <c r="P42" t="s">
        <v>40</v>
      </c>
      <c r="Q42">
        <v>2</v>
      </c>
      <c r="R42" s="2">
        <v>44951</v>
      </c>
      <c r="S42">
        <v>4</v>
      </c>
      <c r="T42">
        <v>3</v>
      </c>
      <c r="U42">
        <v>4</v>
      </c>
      <c r="V42" s="1">
        <v>44867</v>
      </c>
      <c r="W42" t="s">
        <v>50</v>
      </c>
      <c r="X42" t="s">
        <v>42</v>
      </c>
      <c r="Y42" t="s">
        <v>73</v>
      </c>
      <c r="Z42">
        <v>2</v>
      </c>
      <c r="AA42">
        <v>648.76</v>
      </c>
      <c r="AB42">
        <v>64</v>
      </c>
    </row>
    <row r="43" spans="1:28" x14ac:dyDescent="0.2">
      <c r="A43">
        <v>3476</v>
      </c>
      <c r="B43" s="1">
        <v>45089</v>
      </c>
      <c r="C43" t="s">
        <v>53</v>
      </c>
      <c r="D43" t="s">
        <v>94</v>
      </c>
      <c r="E43" t="s">
        <v>30</v>
      </c>
      <c r="F43" t="s">
        <v>46</v>
      </c>
      <c r="G43" t="s">
        <v>45</v>
      </c>
      <c r="H43" t="s">
        <v>33</v>
      </c>
      <c r="I43" t="s">
        <v>57</v>
      </c>
      <c r="J43" t="s">
        <v>97</v>
      </c>
      <c r="K43" s="2">
        <v>16608</v>
      </c>
      <c r="L43" t="s">
        <v>36</v>
      </c>
      <c r="M43" t="s">
        <v>48</v>
      </c>
      <c r="N43" t="s">
        <v>84</v>
      </c>
      <c r="O43" t="s">
        <v>77</v>
      </c>
      <c r="P43" t="s">
        <v>98</v>
      </c>
      <c r="Q43">
        <v>2</v>
      </c>
      <c r="R43" s="2">
        <v>44988</v>
      </c>
      <c r="S43">
        <v>5</v>
      </c>
      <c r="T43">
        <v>5</v>
      </c>
      <c r="U43">
        <v>3</v>
      </c>
      <c r="V43" s="1">
        <v>44883</v>
      </c>
      <c r="W43" t="s">
        <v>41</v>
      </c>
      <c r="X43" t="s">
        <v>42</v>
      </c>
      <c r="Y43" t="s">
        <v>52</v>
      </c>
      <c r="Z43">
        <v>4</v>
      </c>
      <c r="AA43">
        <v>533.5</v>
      </c>
      <c r="AB43">
        <v>78</v>
      </c>
    </row>
    <row r="44" spans="1:28" x14ac:dyDescent="0.2">
      <c r="A44">
        <v>3477</v>
      </c>
      <c r="B44" s="1">
        <v>43562</v>
      </c>
      <c r="C44" t="s">
        <v>53</v>
      </c>
      <c r="D44" t="s">
        <v>94</v>
      </c>
      <c r="E44" t="s">
        <v>30</v>
      </c>
      <c r="F44" t="s">
        <v>46</v>
      </c>
      <c r="G44" t="s">
        <v>45</v>
      </c>
      <c r="H44" t="s">
        <v>55</v>
      </c>
      <c r="I44" t="s">
        <v>95</v>
      </c>
      <c r="J44" t="s">
        <v>47</v>
      </c>
      <c r="K44" s="2">
        <v>25540</v>
      </c>
      <c r="L44" t="s">
        <v>91</v>
      </c>
      <c r="M44" t="s">
        <v>37</v>
      </c>
      <c r="N44" t="s">
        <v>84</v>
      </c>
      <c r="O44" t="s">
        <v>39</v>
      </c>
      <c r="P44" t="s">
        <v>98</v>
      </c>
      <c r="Q44">
        <v>2</v>
      </c>
      <c r="R44" s="2">
        <v>44900</v>
      </c>
      <c r="S44">
        <v>1</v>
      </c>
      <c r="T44">
        <v>2</v>
      </c>
      <c r="U44">
        <v>1</v>
      </c>
      <c r="V44" s="1">
        <v>44872</v>
      </c>
      <c r="W44" t="s">
        <v>41</v>
      </c>
      <c r="X44" t="s">
        <v>51</v>
      </c>
      <c r="Y44" t="s">
        <v>43</v>
      </c>
      <c r="Z44">
        <v>5</v>
      </c>
      <c r="AA44">
        <v>429.48</v>
      </c>
      <c r="AB44">
        <v>50</v>
      </c>
    </row>
    <row r="45" spans="1:28" x14ac:dyDescent="0.2">
      <c r="A45">
        <v>3478</v>
      </c>
      <c r="B45" s="1">
        <v>43360</v>
      </c>
      <c r="C45" t="s">
        <v>53</v>
      </c>
      <c r="D45" t="s">
        <v>74</v>
      </c>
      <c r="E45" t="s">
        <v>30</v>
      </c>
      <c r="F45" t="s">
        <v>55</v>
      </c>
      <c r="G45" t="s">
        <v>32</v>
      </c>
      <c r="H45" t="s">
        <v>33</v>
      </c>
      <c r="I45" t="s">
        <v>57</v>
      </c>
      <c r="J45" t="s">
        <v>101</v>
      </c>
      <c r="K45" s="2">
        <v>21103</v>
      </c>
      <c r="L45" t="s">
        <v>91</v>
      </c>
      <c r="M45" t="s">
        <v>37</v>
      </c>
      <c r="N45" t="s">
        <v>49</v>
      </c>
      <c r="O45" t="s">
        <v>67</v>
      </c>
      <c r="P45" t="s">
        <v>40</v>
      </c>
      <c r="Q45">
        <v>2</v>
      </c>
      <c r="R45" s="2">
        <v>44894</v>
      </c>
      <c r="S45">
        <v>3</v>
      </c>
      <c r="T45">
        <v>4</v>
      </c>
      <c r="U45">
        <v>1</v>
      </c>
      <c r="V45" s="1">
        <v>44839</v>
      </c>
      <c r="W45" t="s">
        <v>68</v>
      </c>
      <c r="X45" t="s">
        <v>51</v>
      </c>
      <c r="Y45" t="s">
        <v>52</v>
      </c>
      <c r="Z45">
        <v>1</v>
      </c>
      <c r="AA45">
        <v>526.74</v>
      </c>
      <c r="AB45">
        <v>61</v>
      </c>
    </row>
    <row r="46" spans="1:28" x14ac:dyDescent="0.2">
      <c r="A46">
        <v>3479</v>
      </c>
      <c r="B46" s="1">
        <v>44775</v>
      </c>
      <c r="C46" t="s">
        <v>53</v>
      </c>
      <c r="D46" t="s">
        <v>81</v>
      </c>
      <c r="E46" t="s">
        <v>30</v>
      </c>
      <c r="F46" t="s">
        <v>31</v>
      </c>
      <c r="G46" t="s">
        <v>45</v>
      </c>
      <c r="H46" t="s">
        <v>46</v>
      </c>
      <c r="I46" t="s">
        <v>57</v>
      </c>
      <c r="J46" t="s">
        <v>96</v>
      </c>
      <c r="K46" s="2">
        <v>22783</v>
      </c>
      <c r="L46" t="s">
        <v>83</v>
      </c>
      <c r="M46" t="s">
        <v>37</v>
      </c>
      <c r="N46" t="s">
        <v>49</v>
      </c>
      <c r="O46" t="s">
        <v>39</v>
      </c>
      <c r="P46" t="s">
        <v>40</v>
      </c>
      <c r="Q46">
        <v>2</v>
      </c>
      <c r="R46" s="2">
        <v>44868</v>
      </c>
      <c r="S46">
        <v>4</v>
      </c>
      <c r="T46">
        <v>4</v>
      </c>
      <c r="U46">
        <v>4</v>
      </c>
      <c r="V46" s="1">
        <v>44944</v>
      </c>
      <c r="W46" t="s">
        <v>92</v>
      </c>
      <c r="X46" t="s">
        <v>42</v>
      </c>
      <c r="Y46" t="s">
        <v>73</v>
      </c>
      <c r="Z46">
        <v>3</v>
      </c>
      <c r="AA46">
        <v>443.45</v>
      </c>
      <c r="AB46">
        <v>60</v>
      </c>
    </row>
    <row r="47" spans="1:28" x14ac:dyDescent="0.2">
      <c r="A47">
        <v>3483</v>
      </c>
      <c r="B47" s="1">
        <v>44465</v>
      </c>
      <c r="C47" t="s">
        <v>53</v>
      </c>
      <c r="D47" t="s">
        <v>85</v>
      </c>
      <c r="E47" t="s">
        <v>30</v>
      </c>
      <c r="F47" t="s">
        <v>46</v>
      </c>
      <c r="G47" t="s">
        <v>56</v>
      </c>
      <c r="H47" t="s">
        <v>33</v>
      </c>
      <c r="I47" t="s">
        <v>57</v>
      </c>
      <c r="J47" t="s">
        <v>96</v>
      </c>
      <c r="K47" s="2">
        <v>23547</v>
      </c>
      <c r="L47" t="s">
        <v>90</v>
      </c>
      <c r="M47" t="s">
        <v>48</v>
      </c>
      <c r="N47" t="s">
        <v>84</v>
      </c>
      <c r="O47" t="s">
        <v>39</v>
      </c>
      <c r="P47" t="s">
        <v>40</v>
      </c>
      <c r="Q47">
        <v>1</v>
      </c>
      <c r="R47" s="2">
        <v>44857</v>
      </c>
      <c r="S47">
        <v>1</v>
      </c>
      <c r="T47">
        <v>4</v>
      </c>
      <c r="U47">
        <v>5</v>
      </c>
      <c r="V47" s="1">
        <v>44783</v>
      </c>
      <c r="W47" t="s">
        <v>62</v>
      </c>
      <c r="X47" t="s">
        <v>51</v>
      </c>
      <c r="Y47" t="s">
        <v>73</v>
      </c>
      <c r="Z47">
        <v>4</v>
      </c>
      <c r="AA47">
        <v>111.96</v>
      </c>
      <c r="AB47">
        <v>57</v>
      </c>
    </row>
    <row r="48" spans="1:28" x14ac:dyDescent="0.2">
      <c r="A48">
        <v>3484</v>
      </c>
      <c r="B48" s="1">
        <v>43341</v>
      </c>
      <c r="C48" t="s">
        <v>53</v>
      </c>
      <c r="D48" t="s">
        <v>44</v>
      </c>
      <c r="E48" t="s">
        <v>30</v>
      </c>
      <c r="F48" t="s">
        <v>46</v>
      </c>
      <c r="G48" t="s">
        <v>56</v>
      </c>
      <c r="H48" t="s">
        <v>55</v>
      </c>
      <c r="I48" t="s">
        <v>57</v>
      </c>
      <c r="J48" t="s">
        <v>65</v>
      </c>
      <c r="K48" s="2">
        <v>34898</v>
      </c>
      <c r="L48" t="s">
        <v>90</v>
      </c>
      <c r="M48" t="s">
        <v>48</v>
      </c>
      <c r="N48" t="s">
        <v>60</v>
      </c>
      <c r="O48" t="s">
        <v>61</v>
      </c>
      <c r="P48" t="s">
        <v>40</v>
      </c>
      <c r="Q48">
        <v>4</v>
      </c>
      <c r="R48" s="2">
        <v>44820</v>
      </c>
      <c r="S48">
        <v>1</v>
      </c>
      <c r="T48">
        <v>2</v>
      </c>
      <c r="U48">
        <v>4</v>
      </c>
      <c r="V48" s="1">
        <v>45104</v>
      </c>
      <c r="W48" t="s">
        <v>62</v>
      </c>
      <c r="X48" t="s">
        <v>51</v>
      </c>
      <c r="Y48" t="s">
        <v>73</v>
      </c>
      <c r="Z48">
        <v>1</v>
      </c>
      <c r="AA48">
        <v>795.7</v>
      </c>
      <c r="AB48">
        <v>23</v>
      </c>
    </row>
    <row r="49" spans="1:28" x14ac:dyDescent="0.2">
      <c r="A49">
        <v>3485</v>
      </c>
      <c r="B49" s="1">
        <v>44495</v>
      </c>
      <c r="C49" t="s">
        <v>53</v>
      </c>
      <c r="D49" t="s">
        <v>87</v>
      </c>
      <c r="E49" t="s">
        <v>30</v>
      </c>
      <c r="F49" t="s">
        <v>31</v>
      </c>
      <c r="G49" t="s">
        <v>32</v>
      </c>
      <c r="H49" t="s">
        <v>55</v>
      </c>
      <c r="I49" t="s">
        <v>57</v>
      </c>
      <c r="J49" t="s">
        <v>70</v>
      </c>
      <c r="K49" s="2">
        <v>34568</v>
      </c>
      <c r="L49" t="s">
        <v>90</v>
      </c>
      <c r="M49" t="s">
        <v>48</v>
      </c>
      <c r="N49" t="s">
        <v>38</v>
      </c>
      <c r="O49" t="s">
        <v>39</v>
      </c>
      <c r="P49" t="s">
        <v>40</v>
      </c>
      <c r="Q49">
        <v>5</v>
      </c>
      <c r="R49" s="2">
        <v>45053</v>
      </c>
      <c r="S49">
        <v>2</v>
      </c>
      <c r="T49">
        <v>1</v>
      </c>
      <c r="U49">
        <v>3</v>
      </c>
      <c r="V49" s="1">
        <v>44780</v>
      </c>
      <c r="W49" t="s">
        <v>50</v>
      </c>
      <c r="X49" t="s">
        <v>42</v>
      </c>
      <c r="Y49" t="s">
        <v>73</v>
      </c>
      <c r="Z49">
        <v>2</v>
      </c>
      <c r="AA49">
        <v>796.45</v>
      </c>
      <c r="AB49">
        <v>27</v>
      </c>
    </row>
    <row r="50" spans="1:28" x14ac:dyDescent="0.2">
      <c r="A50">
        <v>3486</v>
      </c>
      <c r="B50" s="1">
        <v>44865</v>
      </c>
      <c r="C50" t="s">
        <v>53</v>
      </c>
      <c r="D50" t="s">
        <v>64</v>
      </c>
      <c r="E50" t="s">
        <v>30</v>
      </c>
      <c r="F50" t="s">
        <v>46</v>
      </c>
      <c r="G50" t="s">
        <v>32</v>
      </c>
      <c r="H50" t="s">
        <v>33</v>
      </c>
      <c r="I50" t="s">
        <v>57</v>
      </c>
      <c r="J50" t="s">
        <v>97</v>
      </c>
      <c r="K50" s="2">
        <v>33191</v>
      </c>
      <c r="L50" t="s">
        <v>86</v>
      </c>
      <c r="M50" t="s">
        <v>48</v>
      </c>
      <c r="N50" t="s">
        <v>60</v>
      </c>
      <c r="O50" t="s">
        <v>39</v>
      </c>
      <c r="P50" t="s">
        <v>40</v>
      </c>
      <c r="Q50">
        <v>4</v>
      </c>
      <c r="R50" s="2">
        <v>44800</v>
      </c>
      <c r="S50">
        <v>3</v>
      </c>
      <c r="T50">
        <v>1</v>
      </c>
      <c r="U50">
        <v>1</v>
      </c>
      <c r="V50" s="1">
        <v>45130</v>
      </c>
      <c r="W50" t="s">
        <v>62</v>
      </c>
      <c r="X50" t="s">
        <v>42</v>
      </c>
      <c r="Y50" t="s">
        <v>63</v>
      </c>
      <c r="Z50">
        <v>5</v>
      </c>
      <c r="AA50">
        <v>812.59</v>
      </c>
      <c r="AB50">
        <v>32</v>
      </c>
    </row>
    <row r="51" spans="1:28" x14ac:dyDescent="0.2">
      <c r="A51">
        <v>3487</v>
      </c>
      <c r="B51" s="1">
        <v>45000</v>
      </c>
      <c r="C51" t="s">
        <v>53</v>
      </c>
      <c r="D51" t="s">
        <v>69</v>
      </c>
      <c r="E51" t="s">
        <v>30</v>
      </c>
      <c r="F51" t="s">
        <v>31</v>
      </c>
      <c r="G51" t="s">
        <v>56</v>
      </c>
      <c r="H51" t="s">
        <v>46</v>
      </c>
      <c r="I51" t="s">
        <v>57</v>
      </c>
      <c r="J51" t="s">
        <v>58</v>
      </c>
      <c r="K51" s="2">
        <v>34366</v>
      </c>
      <c r="L51" t="s">
        <v>91</v>
      </c>
      <c r="M51" t="s">
        <v>37</v>
      </c>
      <c r="N51" t="s">
        <v>60</v>
      </c>
      <c r="O51" t="s">
        <v>77</v>
      </c>
      <c r="P51" t="s">
        <v>40</v>
      </c>
      <c r="Q51">
        <v>4</v>
      </c>
      <c r="R51" s="2">
        <v>44827</v>
      </c>
      <c r="S51">
        <v>5</v>
      </c>
      <c r="T51">
        <v>4</v>
      </c>
      <c r="U51">
        <v>1</v>
      </c>
      <c r="V51" s="1">
        <v>45124</v>
      </c>
      <c r="W51" t="s">
        <v>62</v>
      </c>
      <c r="X51" t="s">
        <v>51</v>
      </c>
      <c r="Y51" t="s">
        <v>63</v>
      </c>
      <c r="Z51">
        <v>5</v>
      </c>
      <c r="AA51">
        <v>132.97</v>
      </c>
      <c r="AB51">
        <v>29</v>
      </c>
    </row>
    <row r="52" spans="1:28" x14ac:dyDescent="0.2">
      <c r="A52">
        <v>3488</v>
      </c>
      <c r="B52" s="1">
        <v>44813</v>
      </c>
      <c r="C52" t="s">
        <v>53</v>
      </c>
      <c r="D52" t="s">
        <v>29</v>
      </c>
      <c r="E52" t="s">
        <v>30</v>
      </c>
      <c r="F52" t="s">
        <v>31</v>
      </c>
      <c r="G52" t="s">
        <v>56</v>
      </c>
      <c r="H52" t="s">
        <v>55</v>
      </c>
      <c r="I52" t="s">
        <v>57</v>
      </c>
      <c r="J52" t="s">
        <v>101</v>
      </c>
      <c r="K52" s="2">
        <v>35746</v>
      </c>
      <c r="L52" t="s">
        <v>91</v>
      </c>
      <c r="M52" t="s">
        <v>37</v>
      </c>
      <c r="N52" t="s">
        <v>84</v>
      </c>
      <c r="O52" t="s">
        <v>61</v>
      </c>
      <c r="P52" t="s">
        <v>40</v>
      </c>
      <c r="Q52">
        <v>2</v>
      </c>
      <c r="R52" s="2">
        <v>44996</v>
      </c>
      <c r="S52">
        <v>1</v>
      </c>
      <c r="T52">
        <v>5</v>
      </c>
      <c r="U52">
        <v>1</v>
      </c>
      <c r="V52" s="1">
        <v>44824</v>
      </c>
      <c r="W52" t="s">
        <v>92</v>
      </c>
      <c r="X52" t="s">
        <v>42</v>
      </c>
      <c r="Y52" t="s">
        <v>63</v>
      </c>
      <c r="Z52">
        <v>1</v>
      </c>
      <c r="AA52">
        <v>308.19</v>
      </c>
      <c r="AB52">
        <v>25</v>
      </c>
    </row>
    <row r="53" spans="1:28" x14ac:dyDescent="0.2">
      <c r="A53">
        <v>3489</v>
      </c>
      <c r="B53" s="1">
        <v>44624</v>
      </c>
      <c r="C53" t="s">
        <v>53</v>
      </c>
      <c r="D53" t="s">
        <v>44</v>
      </c>
      <c r="E53" t="s">
        <v>30</v>
      </c>
      <c r="F53" t="s">
        <v>46</v>
      </c>
      <c r="G53" t="s">
        <v>45</v>
      </c>
      <c r="H53" t="s">
        <v>33</v>
      </c>
      <c r="I53" t="s">
        <v>57</v>
      </c>
      <c r="J53" t="s">
        <v>70</v>
      </c>
      <c r="K53" s="2">
        <v>19481</v>
      </c>
      <c r="L53" t="s">
        <v>83</v>
      </c>
      <c r="M53" t="s">
        <v>37</v>
      </c>
      <c r="N53" t="s">
        <v>72</v>
      </c>
      <c r="O53" t="s">
        <v>77</v>
      </c>
      <c r="P53" t="s">
        <v>40</v>
      </c>
      <c r="Q53">
        <v>2</v>
      </c>
      <c r="R53" s="2">
        <v>44898</v>
      </c>
      <c r="S53">
        <v>2</v>
      </c>
      <c r="T53">
        <v>4</v>
      </c>
      <c r="U53">
        <v>5</v>
      </c>
      <c r="V53" s="1">
        <v>45109</v>
      </c>
      <c r="W53" t="s">
        <v>62</v>
      </c>
      <c r="X53" t="s">
        <v>42</v>
      </c>
      <c r="Y53" t="s">
        <v>73</v>
      </c>
      <c r="Z53">
        <v>1</v>
      </c>
      <c r="AA53">
        <v>131.41</v>
      </c>
      <c r="AB53">
        <v>69</v>
      </c>
    </row>
    <row r="54" spans="1:28" x14ac:dyDescent="0.2">
      <c r="A54">
        <v>3490</v>
      </c>
      <c r="B54" s="1">
        <v>43507</v>
      </c>
      <c r="C54" t="s">
        <v>53</v>
      </c>
      <c r="D54" t="s">
        <v>87</v>
      </c>
      <c r="E54" t="s">
        <v>30</v>
      </c>
      <c r="F54" t="s">
        <v>46</v>
      </c>
      <c r="G54" t="s">
        <v>45</v>
      </c>
      <c r="H54" t="s">
        <v>46</v>
      </c>
      <c r="I54" t="s">
        <v>57</v>
      </c>
      <c r="J54" t="s">
        <v>58</v>
      </c>
      <c r="K54" s="2">
        <v>33429</v>
      </c>
      <c r="L54" t="s">
        <v>83</v>
      </c>
      <c r="M54" t="s">
        <v>37</v>
      </c>
      <c r="N54" t="s">
        <v>49</v>
      </c>
      <c r="O54" t="s">
        <v>77</v>
      </c>
      <c r="P54" t="s">
        <v>40</v>
      </c>
      <c r="Q54">
        <v>2</v>
      </c>
      <c r="R54" s="2">
        <v>44846</v>
      </c>
      <c r="S54">
        <v>5</v>
      </c>
      <c r="T54">
        <v>3</v>
      </c>
      <c r="U54">
        <v>2</v>
      </c>
      <c r="V54" s="1">
        <v>45126</v>
      </c>
      <c r="W54" t="s">
        <v>68</v>
      </c>
      <c r="X54" t="s">
        <v>42</v>
      </c>
      <c r="Y54" t="s">
        <v>43</v>
      </c>
      <c r="Z54">
        <v>3</v>
      </c>
      <c r="AA54">
        <v>389.59</v>
      </c>
      <c r="AB54">
        <v>28</v>
      </c>
    </row>
    <row r="55" spans="1:28" x14ac:dyDescent="0.2">
      <c r="A55">
        <v>3491</v>
      </c>
      <c r="B55" s="1">
        <v>44222</v>
      </c>
      <c r="C55" t="s">
        <v>53</v>
      </c>
      <c r="D55" t="s">
        <v>81</v>
      </c>
      <c r="E55" t="s">
        <v>30</v>
      </c>
      <c r="F55" t="s">
        <v>31</v>
      </c>
      <c r="G55" t="s">
        <v>56</v>
      </c>
      <c r="H55" t="s">
        <v>55</v>
      </c>
      <c r="I55" t="s">
        <v>57</v>
      </c>
      <c r="J55" t="s">
        <v>70</v>
      </c>
      <c r="K55" s="2">
        <v>26817</v>
      </c>
      <c r="L55" t="s">
        <v>83</v>
      </c>
      <c r="M55" t="s">
        <v>48</v>
      </c>
      <c r="N55" t="s">
        <v>38</v>
      </c>
      <c r="O55" t="s">
        <v>39</v>
      </c>
      <c r="P55" t="s">
        <v>40</v>
      </c>
      <c r="Q55">
        <v>5</v>
      </c>
      <c r="R55" s="2">
        <v>44814</v>
      </c>
      <c r="S55">
        <v>3</v>
      </c>
      <c r="T55">
        <v>4</v>
      </c>
      <c r="U55">
        <v>5</v>
      </c>
      <c r="V55" s="1">
        <v>45121</v>
      </c>
      <c r="W55" t="s">
        <v>62</v>
      </c>
      <c r="X55" t="s">
        <v>42</v>
      </c>
      <c r="Y55" t="s">
        <v>52</v>
      </c>
      <c r="Z55">
        <v>3</v>
      </c>
      <c r="AA55">
        <v>442.56</v>
      </c>
      <c r="AB55">
        <v>48</v>
      </c>
    </row>
    <row r="56" spans="1:28" x14ac:dyDescent="0.2">
      <c r="A56">
        <v>3492</v>
      </c>
      <c r="B56" s="1">
        <v>43795</v>
      </c>
      <c r="C56" t="s">
        <v>53</v>
      </c>
      <c r="D56" t="s">
        <v>54</v>
      </c>
      <c r="E56" t="s">
        <v>30</v>
      </c>
      <c r="F56" t="s">
        <v>55</v>
      </c>
      <c r="G56" t="s">
        <v>32</v>
      </c>
      <c r="H56" t="s">
        <v>55</v>
      </c>
      <c r="I56" t="s">
        <v>57</v>
      </c>
      <c r="J56" t="s">
        <v>65</v>
      </c>
      <c r="K56" s="2">
        <v>33977</v>
      </c>
      <c r="L56" t="s">
        <v>90</v>
      </c>
      <c r="M56" t="s">
        <v>48</v>
      </c>
      <c r="N56" t="s">
        <v>84</v>
      </c>
      <c r="O56" t="s">
        <v>67</v>
      </c>
      <c r="P56" t="s">
        <v>40</v>
      </c>
      <c r="Q56">
        <v>1</v>
      </c>
      <c r="R56" s="2">
        <v>44939</v>
      </c>
      <c r="S56">
        <v>1</v>
      </c>
      <c r="T56">
        <v>5</v>
      </c>
      <c r="U56">
        <v>5</v>
      </c>
      <c r="V56" s="1">
        <v>44810</v>
      </c>
      <c r="W56" t="s">
        <v>62</v>
      </c>
      <c r="X56" t="s">
        <v>42</v>
      </c>
      <c r="Y56" t="s">
        <v>52</v>
      </c>
      <c r="Z56">
        <v>3</v>
      </c>
      <c r="AA56">
        <v>327.66000000000003</v>
      </c>
      <c r="AB56">
        <v>26</v>
      </c>
    </row>
    <row r="57" spans="1:28" x14ac:dyDescent="0.2">
      <c r="A57">
        <v>3493</v>
      </c>
      <c r="B57" s="1">
        <v>43661</v>
      </c>
      <c r="C57" t="s">
        <v>53</v>
      </c>
      <c r="D57" t="s">
        <v>94</v>
      </c>
      <c r="E57" t="s">
        <v>30</v>
      </c>
      <c r="F57" t="s">
        <v>55</v>
      </c>
      <c r="G57" t="s">
        <v>32</v>
      </c>
      <c r="H57" t="s">
        <v>55</v>
      </c>
      <c r="I57" t="s">
        <v>57</v>
      </c>
      <c r="J57" t="s">
        <v>96</v>
      </c>
      <c r="K57" s="2">
        <v>30789</v>
      </c>
      <c r="L57" t="s">
        <v>90</v>
      </c>
      <c r="M57" t="s">
        <v>48</v>
      </c>
      <c r="N57" t="s">
        <v>84</v>
      </c>
      <c r="O57" t="s">
        <v>39</v>
      </c>
      <c r="P57" t="s">
        <v>40</v>
      </c>
      <c r="Q57">
        <v>5</v>
      </c>
      <c r="R57" s="2">
        <v>45018</v>
      </c>
      <c r="S57">
        <v>3</v>
      </c>
      <c r="T57">
        <v>1</v>
      </c>
      <c r="U57">
        <v>5</v>
      </c>
      <c r="V57" s="1">
        <v>44976</v>
      </c>
      <c r="W57" t="s">
        <v>62</v>
      </c>
      <c r="X57" t="s">
        <v>42</v>
      </c>
      <c r="Y57" t="s">
        <v>63</v>
      </c>
      <c r="Z57">
        <v>3</v>
      </c>
      <c r="AA57">
        <v>400.95</v>
      </c>
      <c r="AB57">
        <v>35</v>
      </c>
    </row>
    <row r="58" spans="1:28" x14ac:dyDescent="0.2">
      <c r="A58">
        <v>3494</v>
      </c>
      <c r="B58" s="1">
        <v>44000</v>
      </c>
      <c r="C58" t="s">
        <v>53</v>
      </c>
      <c r="D58" t="s">
        <v>85</v>
      </c>
      <c r="E58" t="s">
        <v>30</v>
      </c>
      <c r="F58" t="s">
        <v>31</v>
      </c>
      <c r="G58" t="s">
        <v>56</v>
      </c>
      <c r="H58" t="s">
        <v>55</v>
      </c>
      <c r="I58" t="s">
        <v>57</v>
      </c>
      <c r="J58" t="s">
        <v>65</v>
      </c>
      <c r="K58" s="2">
        <v>34373</v>
      </c>
      <c r="L58" t="s">
        <v>90</v>
      </c>
      <c r="M58" t="s">
        <v>48</v>
      </c>
      <c r="N58" t="s">
        <v>72</v>
      </c>
      <c r="O58" t="s">
        <v>61</v>
      </c>
      <c r="P58" t="s">
        <v>40</v>
      </c>
      <c r="Q58">
        <v>4</v>
      </c>
      <c r="R58" s="2">
        <v>44910</v>
      </c>
      <c r="S58">
        <v>1</v>
      </c>
      <c r="T58">
        <v>2</v>
      </c>
      <c r="U58">
        <v>1</v>
      </c>
      <c r="V58" s="1">
        <v>44968</v>
      </c>
      <c r="W58" t="s">
        <v>68</v>
      </c>
      <c r="X58" t="s">
        <v>42</v>
      </c>
      <c r="Y58" t="s">
        <v>63</v>
      </c>
      <c r="Z58">
        <v>2</v>
      </c>
      <c r="AA58">
        <v>910.45</v>
      </c>
      <c r="AB58">
        <v>26</v>
      </c>
    </row>
    <row r="59" spans="1:28" x14ac:dyDescent="0.2">
      <c r="A59">
        <v>3495</v>
      </c>
      <c r="B59" s="1">
        <v>45099</v>
      </c>
      <c r="C59" t="s">
        <v>53</v>
      </c>
      <c r="D59" t="s">
        <v>64</v>
      </c>
      <c r="E59" t="s">
        <v>30</v>
      </c>
      <c r="F59" t="s">
        <v>46</v>
      </c>
      <c r="G59" t="s">
        <v>56</v>
      </c>
      <c r="H59" t="s">
        <v>33</v>
      </c>
      <c r="I59" t="s">
        <v>57</v>
      </c>
      <c r="J59" t="s">
        <v>101</v>
      </c>
      <c r="K59" s="2">
        <v>33996</v>
      </c>
      <c r="L59" t="s">
        <v>86</v>
      </c>
      <c r="M59" t="s">
        <v>48</v>
      </c>
      <c r="N59" t="s">
        <v>60</v>
      </c>
      <c r="O59" t="s">
        <v>67</v>
      </c>
      <c r="P59" t="s">
        <v>40</v>
      </c>
      <c r="Q59">
        <v>4</v>
      </c>
      <c r="R59" s="2">
        <v>44812</v>
      </c>
      <c r="S59">
        <v>4</v>
      </c>
      <c r="T59">
        <v>3</v>
      </c>
      <c r="U59">
        <v>5</v>
      </c>
      <c r="V59" s="1">
        <v>44916</v>
      </c>
      <c r="W59" t="s">
        <v>50</v>
      </c>
      <c r="X59" t="s">
        <v>51</v>
      </c>
      <c r="Y59" t="s">
        <v>73</v>
      </c>
      <c r="Z59">
        <v>1</v>
      </c>
      <c r="AA59">
        <v>701.55</v>
      </c>
      <c r="AB59">
        <v>30</v>
      </c>
    </row>
    <row r="60" spans="1:28" x14ac:dyDescent="0.2">
      <c r="A60">
        <v>3496</v>
      </c>
      <c r="B60" s="1">
        <v>44532</v>
      </c>
      <c r="C60" t="s">
        <v>53</v>
      </c>
      <c r="D60" t="s">
        <v>74</v>
      </c>
      <c r="E60" t="s">
        <v>30</v>
      </c>
      <c r="F60" t="s">
        <v>31</v>
      </c>
      <c r="G60" t="s">
        <v>45</v>
      </c>
      <c r="H60" t="s">
        <v>46</v>
      </c>
      <c r="I60" t="s">
        <v>57</v>
      </c>
      <c r="J60" t="s">
        <v>58</v>
      </c>
      <c r="K60" s="2">
        <v>23639</v>
      </c>
      <c r="L60" t="s">
        <v>76</v>
      </c>
      <c r="M60" t="s">
        <v>48</v>
      </c>
      <c r="N60" t="s">
        <v>60</v>
      </c>
      <c r="O60" t="s">
        <v>39</v>
      </c>
      <c r="P60" t="s">
        <v>40</v>
      </c>
      <c r="Q60">
        <v>5</v>
      </c>
      <c r="R60" s="2">
        <v>44921</v>
      </c>
      <c r="S60">
        <v>1</v>
      </c>
      <c r="T60">
        <v>3</v>
      </c>
      <c r="U60">
        <v>2</v>
      </c>
      <c r="V60" s="1">
        <v>44973</v>
      </c>
      <c r="W60" t="s">
        <v>62</v>
      </c>
      <c r="X60" t="s">
        <v>42</v>
      </c>
      <c r="Y60" t="s">
        <v>52</v>
      </c>
      <c r="Z60">
        <v>1</v>
      </c>
      <c r="AA60">
        <v>806.87</v>
      </c>
      <c r="AB60">
        <v>57</v>
      </c>
    </row>
    <row r="61" spans="1:28" x14ac:dyDescent="0.2">
      <c r="A61">
        <v>3497</v>
      </c>
      <c r="B61" s="1">
        <v>44538</v>
      </c>
      <c r="C61" t="s">
        <v>53</v>
      </c>
      <c r="D61" t="s">
        <v>64</v>
      </c>
      <c r="E61" t="s">
        <v>30</v>
      </c>
      <c r="F61" t="s">
        <v>46</v>
      </c>
      <c r="G61" t="s">
        <v>32</v>
      </c>
      <c r="H61" t="s">
        <v>33</v>
      </c>
      <c r="I61" t="s">
        <v>57</v>
      </c>
      <c r="J61" t="s">
        <v>96</v>
      </c>
      <c r="K61" s="2">
        <v>29635</v>
      </c>
      <c r="L61" t="s">
        <v>80</v>
      </c>
      <c r="M61" t="s">
        <v>37</v>
      </c>
      <c r="N61" t="s">
        <v>49</v>
      </c>
      <c r="O61" t="s">
        <v>39</v>
      </c>
      <c r="P61" t="s">
        <v>40</v>
      </c>
      <c r="Q61">
        <v>1</v>
      </c>
      <c r="R61" s="2">
        <v>44822</v>
      </c>
      <c r="S61">
        <v>2</v>
      </c>
      <c r="T61">
        <v>3</v>
      </c>
      <c r="U61">
        <v>4</v>
      </c>
      <c r="V61" s="1">
        <v>44996</v>
      </c>
      <c r="W61" t="s">
        <v>92</v>
      </c>
      <c r="X61" t="s">
        <v>42</v>
      </c>
      <c r="Y61" t="s">
        <v>63</v>
      </c>
      <c r="Z61">
        <v>2</v>
      </c>
      <c r="AA61">
        <v>184.21</v>
      </c>
      <c r="AB61">
        <v>40</v>
      </c>
    </row>
    <row r="62" spans="1:28" x14ac:dyDescent="0.2">
      <c r="A62">
        <v>3498</v>
      </c>
      <c r="B62" s="1">
        <v>45042</v>
      </c>
      <c r="C62" t="s">
        <v>53</v>
      </c>
      <c r="D62" t="s">
        <v>94</v>
      </c>
      <c r="E62" t="s">
        <v>30</v>
      </c>
      <c r="F62" t="s">
        <v>55</v>
      </c>
      <c r="G62" t="s">
        <v>45</v>
      </c>
      <c r="H62" t="s">
        <v>55</v>
      </c>
      <c r="I62" t="s">
        <v>57</v>
      </c>
      <c r="J62" t="s">
        <v>58</v>
      </c>
      <c r="K62" s="2">
        <v>36085</v>
      </c>
      <c r="L62" t="s">
        <v>91</v>
      </c>
      <c r="M62" t="s">
        <v>37</v>
      </c>
      <c r="N62" t="s">
        <v>38</v>
      </c>
      <c r="O62" t="s">
        <v>39</v>
      </c>
      <c r="P62" t="s">
        <v>40</v>
      </c>
      <c r="Q62">
        <v>2</v>
      </c>
      <c r="R62" s="2">
        <v>45096</v>
      </c>
      <c r="S62">
        <v>3</v>
      </c>
      <c r="T62">
        <v>3</v>
      </c>
      <c r="U62">
        <v>4</v>
      </c>
      <c r="V62" s="1">
        <v>45076</v>
      </c>
      <c r="W62" t="s">
        <v>62</v>
      </c>
      <c r="X62" t="s">
        <v>51</v>
      </c>
      <c r="Y62" t="s">
        <v>43</v>
      </c>
      <c r="Z62">
        <v>1</v>
      </c>
      <c r="AA62">
        <v>208.43</v>
      </c>
      <c r="AB62">
        <v>25</v>
      </c>
    </row>
    <row r="63" spans="1:28" x14ac:dyDescent="0.2">
      <c r="A63">
        <v>3499</v>
      </c>
      <c r="B63" s="1">
        <v>43368</v>
      </c>
      <c r="C63" t="s">
        <v>53</v>
      </c>
      <c r="D63" t="s">
        <v>74</v>
      </c>
      <c r="E63" t="s">
        <v>30</v>
      </c>
      <c r="F63" t="s">
        <v>46</v>
      </c>
      <c r="G63" t="s">
        <v>32</v>
      </c>
      <c r="H63" t="s">
        <v>33</v>
      </c>
      <c r="I63" t="s">
        <v>57</v>
      </c>
      <c r="J63" t="s">
        <v>70</v>
      </c>
      <c r="K63" s="2">
        <v>25949</v>
      </c>
      <c r="L63" t="s">
        <v>91</v>
      </c>
      <c r="M63" t="s">
        <v>37</v>
      </c>
      <c r="N63" t="s">
        <v>84</v>
      </c>
      <c r="O63" t="s">
        <v>39</v>
      </c>
      <c r="P63" t="s">
        <v>40</v>
      </c>
      <c r="Q63">
        <v>5</v>
      </c>
      <c r="R63" s="2">
        <v>45128</v>
      </c>
      <c r="S63">
        <v>5</v>
      </c>
      <c r="T63">
        <v>3</v>
      </c>
      <c r="U63">
        <v>5</v>
      </c>
      <c r="V63" s="1">
        <v>44956</v>
      </c>
      <c r="W63" t="s">
        <v>68</v>
      </c>
      <c r="X63" t="s">
        <v>42</v>
      </c>
      <c r="Y63" t="s">
        <v>52</v>
      </c>
      <c r="Z63">
        <v>2</v>
      </c>
      <c r="AA63">
        <v>762.45</v>
      </c>
      <c r="AB63">
        <v>47</v>
      </c>
    </row>
    <row r="64" spans="1:28" x14ac:dyDescent="0.2">
      <c r="A64">
        <v>3500</v>
      </c>
      <c r="B64" s="1">
        <v>43424</v>
      </c>
      <c r="C64" t="s">
        <v>53</v>
      </c>
      <c r="D64" t="s">
        <v>81</v>
      </c>
      <c r="E64" t="s">
        <v>30</v>
      </c>
      <c r="F64" t="s">
        <v>55</v>
      </c>
      <c r="G64" t="s">
        <v>56</v>
      </c>
      <c r="H64" t="s">
        <v>46</v>
      </c>
      <c r="I64" t="s">
        <v>57</v>
      </c>
      <c r="J64" t="s">
        <v>100</v>
      </c>
      <c r="K64" s="2">
        <v>36581</v>
      </c>
      <c r="L64" t="s">
        <v>83</v>
      </c>
      <c r="M64" t="s">
        <v>37</v>
      </c>
      <c r="N64" t="s">
        <v>38</v>
      </c>
      <c r="O64" t="s">
        <v>77</v>
      </c>
      <c r="P64" t="s">
        <v>40</v>
      </c>
      <c r="Q64">
        <v>1</v>
      </c>
      <c r="R64" s="2">
        <v>45060</v>
      </c>
      <c r="S64">
        <v>4</v>
      </c>
      <c r="T64">
        <v>1</v>
      </c>
      <c r="U64">
        <v>4</v>
      </c>
      <c r="V64" s="1">
        <v>45092</v>
      </c>
      <c r="W64" t="s">
        <v>41</v>
      </c>
      <c r="X64" t="s">
        <v>51</v>
      </c>
      <c r="Y64" t="s">
        <v>52</v>
      </c>
      <c r="Z64">
        <v>4</v>
      </c>
      <c r="AA64">
        <v>779.79</v>
      </c>
      <c r="AB64">
        <v>18</v>
      </c>
    </row>
    <row r="65" spans="1:28" x14ac:dyDescent="0.2">
      <c r="A65">
        <v>3502</v>
      </c>
      <c r="B65" s="1">
        <v>43739</v>
      </c>
      <c r="C65" t="s">
        <v>53</v>
      </c>
      <c r="D65" t="s">
        <v>69</v>
      </c>
      <c r="E65" t="s">
        <v>30</v>
      </c>
      <c r="F65" t="s">
        <v>55</v>
      </c>
      <c r="G65" t="s">
        <v>32</v>
      </c>
      <c r="H65" t="s">
        <v>33</v>
      </c>
      <c r="I65" t="s">
        <v>57</v>
      </c>
      <c r="J65" t="s">
        <v>89</v>
      </c>
      <c r="K65" s="2">
        <v>27940</v>
      </c>
      <c r="L65" t="s">
        <v>83</v>
      </c>
      <c r="M65" t="s">
        <v>48</v>
      </c>
      <c r="N65" t="s">
        <v>38</v>
      </c>
      <c r="O65" t="s">
        <v>67</v>
      </c>
      <c r="P65" t="s">
        <v>40</v>
      </c>
      <c r="Q65">
        <v>1</v>
      </c>
      <c r="R65" s="2">
        <v>45040</v>
      </c>
      <c r="S65">
        <v>5</v>
      </c>
      <c r="T65">
        <v>3</v>
      </c>
      <c r="U65">
        <v>5</v>
      </c>
      <c r="V65" s="1">
        <v>44929</v>
      </c>
      <c r="W65" t="s">
        <v>50</v>
      </c>
      <c r="X65" t="s">
        <v>51</v>
      </c>
      <c r="Y65" t="s">
        <v>52</v>
      </c>
      <c r="Z65">
        <v>3</v>
      </c>
      <c r="AA65">
        <v>427.12</v>
      </c>
      <c r="AB65">
        <v>43</v>
      </c>
    </row>
    <row r="66" spans="1:28" x14ac:dyDescent="0.2">
      <c r="A66">
        <v>3503</v>
      </c>
      <c r="B66" s="1">
        <v>44581</v>
      </c>
      <c r="C66" t="s">
        <v>53</v>
      </c>
      <c r="D66" t="s">
        <v>29</v>
      </c>
      <c r="E66" t="s">
        <v>30</v>
      </c>
      <c r="F66" t="s">
        <v>46</v>
      </c>
      <c r="G66" t="s">
        <v>45</v>
      </c>
      <c r="H66" t="s">
        <v>33</v>
      </c>
      <c r="I66" t="s">
        <v>57</v>
      </c>
      <c r="J66" t="s">
        <v>96</v>
      </c>
      <c r="K66" s="2">
        <v>18836</v>
      </c>
      <c r="L66" t="s">
        <v>90</v>
      </c>
      <c r="M66" t="s">
        <v>48</v>
      </c>
      <c r="N66" t="s">
        <v>60</v>
      </c>
      <c r="O66" t="s">
        <v>61</v>
      </c>
      <c r="P66" t="s">
        <v>40</v>
      </c>
      <c r="Q66">
        <v>4</v>
      </c>
      <c r="R66" s="2">
        <v>44954</v>
      </c>
      <c r="S66">
        <v>5</v>
      </c>
      <c r="T66">
        <v>2</v>
      </c>
      <c r="U66">
        <v>3</v>
      </c>
      <c r="V66" s="1">
        <v>44977</v>
      </c>
      <c r="W66" t="s">
        <v>68</v>
      </c>
      <c r="X66" t="s">
        <v>42</v>
      </c>
      <c r="Y66" t="s">
        <v>63</v>
      </c>
      <c r="Z66">
        <v>4</v>
      </c>
      <c r="AA66">
        <v>996.35</v>
      </c>
      <c r="AB66">
        <v>71</v>
      </c>
    </row>
    <row r="67" spans="1:28" x14ac:dyDescent="0.2">
      <c r="A67">
        <v>3504</v>
      </c>
      <c r="B67" s="1">
        <v>44479</v>
      </c>
      <c r="C67" t="s">
        <v>53</v>
      </c>
      <c r="D67" t="s">
        <v>85</v>
      </c>
      <c r="E67" t="s">
        <v>30</v>
      </c>
      <c r="F67" t="s">
        <v>55</v>
      </c>
      <c r="G67" t="s">
        <v>56</v>
      </c>
      <c r="H67" t="s">
        <v>46</v>
      </c>
      <c r="I67" t="s">
        <v>57</v>
      </c>
      <c r="J67" t="s">
        <v>65</v>
      </c>
      <c r="K67" s="2">
        <v>29456</v>
      </c>
      <c r="L67" t="s">
        <v>90</v>
      </c>
      <c r="M67" t="s">
        <v>48</v>
      </c>
      <c r="N67" t="s">
        <v>49</v>
      </c>
      <c r="O67" t="s">
        <v>67</v>
      </c>
      <c r="P67" t="s">
        <v>40</v>
      </c>
      <c r="Q67">
        <v>2</v>
      </c>
      <c r="R67" s="2">
        <v>45036</v>
      </c>
      <c r="S67">
        <v>3</v>
      </c>
      <c r="T67">
        <v>4</v>
      </c>
      <c r="U67">
        <v>3</v>
      </c>
      <c r="V67" s="1">
        <v>45079</v>
      </c>
      <c r="W67" t="s">
        <v>92</v>
      </c>
      <c r="X67" t="s">
        <v>42</v>
      </c>
      <c r="Y67" t="s">
        <v>63</v>
      </c>
      <c r="Z67">
        <v>5</v>
      </c>
      <c r="AA67">
        <v>963.23</v>
      </c>
      <c r="AB67">
        <v>41</v>
      </c>
    </row>
    <row r="68" spans="1:28" x14ac:dyDescent="0.2">
      <c r="A68">
        <v>3505</v>
      </c>
      <c r="B68" s="1">
        <v>44072</v>
      </c>
      <c r="C68" t="s">
        <v>53</v>
      </c>
      <c r="D68" t="s">
        <v>44</v>
      </c>
      <c r="E68" t="s">
        <v>30</v>
      </c>
      <c r="F68" t="s">
        <v>31</v>
      </c>
      <c r="G68" t="s">
        <v>56</v>
      </c>
      <c r="H68" t="s">
        <v>33</v>
      </c>
      <c r="I68" t="s">
        <v>57</v>
      </c>
      <c r="J68" t="s">
        <v>70</v>
      </c>
      <c r="K68" s="2">
        <v>15911</v>
      </c>
      <c r="L68" t="s">
        <v>86</v>
      </c>
      <c r="M68" t="s">
        <v>48</v>
      </c>
      <c r="N68" t="s">
        <v>49</v>
      </c>
      <c r="O68" t="s">
        <v>39</v>
      </c>
      <c r="P68" t="s">
        <v>40</v>
      </c>
      <c r="Q68">
        <v>1</v>
      </c>
      <c r="R68" s="2">
        <v>44875</v>
      </c>
      <c r="S68">
        <v>4</v>
      </c>
      <c r="T68">
        <v>3</v>
      </c>
      <c r="U68">
        <v>2</v>
      </c>
      <c r="V68" s="1">
        <v>44817</v>
      </c>
      <c r="W68" t="s">
        <v>41</v>
      </c>
      <c r="X68" t="s">
        <v>42</v>
      </c>
      <c r="Y68" t="s">
        <v>43</v>
      </c>
      <c r="Z68">
        <v>5</v>
      </c>
      <c r="AA68">
        <v>260.97000000000003</v>
      </c>
      <c r="AB68">
        <v>77</v>
      </c>
    </row>
    <row r="69" spans="1:28" x14ac:dyDescent="0.2">
      <c r="A69">
        <v>3506</v>
      </c>
      <c r="B69" s="1">
        <v>43704</v>
      </c>
      <c r="C69" t="s">
        <v>53</v>
      </c>
      <c r="D69" t="s">
        <v>87</v>
      </c>
      <c r="E69" t="s">
        <v>30</v>
      </c>
      <c r="F69" t="s">
        <v>55</v>
      </c>
      <c r="G69" t="s">
        <v>56</v>
      </c>
      <c r="H69" t="s">
        <v>33</v>
      </c>
      <c r="I69" t="s">
        <v>57</v>
      </c>
      <c r="J69" t="s">
        <v>70</v>
      </c>
      <c r="K69" s="2">
        <v>32330</v>
      </c>
      <c r="L69" t="s">
        <v>86</v>
      </c>
      <c r="M69" t="s">
        <v>48</v>
      </c>
      <c r="N69" t="s">
        <v>60</v>
      </c>
      <c r="O69" t="s">
        <v>67</v>
      </c>
      <c r="P69" t="s">
        <v>40</v>
      </c>
      <c r="Q69">
        <v>2</v>
      </c>
      <c r="R69" s="2">
        <v>45104</v>
      </c>
      <c r="S69">
        <v>2</v>
      </c>
      <c r="T69">
        <v>2</v>
      </c>
      <c r="U69">
        <v>3</v>
      </c>
      <c r="V69" s="1">
        <v>45067</v>
      </c>
      <c r="W69" t="s">
        <v>41</v>
      </c>
      <c r="X69" t="s">
        <v>42</v>
      </c>
      <c r="Y69" t="s">
        <v>63</v>
      </c>
      <c r="Z69">
        <v>1</v>
      </c>
      <c r="AA69">
        <v>781.81</v>
      </c>
      <c r="AB69">
        <v>31</v>
      </c>
    </row>
    <row r="70" spans="1:28" x14ac:dyDescent="0.2">
      <c r="A70">
        <v>3507</v>
      </c>
      <c r="B70" s="1">
        <v>44252</v>
      </c>
      <c r="C70" t="s">
        <v>53</v>
      </c>
      <c r="D70" t="s">
        <v>64</v>
      </c>
      <c r="E70" t="s">
        <v>30</v>
      </c>
      <c r="F70" t="s">
        <v>55</v>
      </c>
      <c r="G70" t="s">
        <v>45</v>
      </c>
      <c r="H70" t="s">
        <v>55</v>
      </c>
      <c r="I70" t="s">
        <v>57</v>
      </c>
      <c r="J70" t="s">
        <v>96</v>
      </c>
      <c r="K70" s="2">
        <v>26747</v>
      </c>
      <c r="L70" t="s">
        <v>76</v>
      </c>
      <c r="M70" t="s">
        <v>48</v>
      </c>
      <c r="N70" t="s">
        <v>38</v>
      </c>
      <c r="O70" t="s">
        <v>61</v>
      </c>
      <c r="P70" t="s">
        <v>40</v>
      </c>
      <c r="Q70">
        <v>4</v>
      </c>
      <c r="R70" s="2">
        <v>45016</v>
      </c>
      <c r="S70">
        <v>2</v>
      </c>
      <c r="T70">
        <v>5</v>
      </c>
      <c r="U70">
        <v>2</v>
      </c>
      <c r="V70" s="1">
        <v>45071</v>
      </c>
      <c r="W70" t="s">
        <v>62</v>
      </c>
      <c r="X70" t="s">
        <v>42</v>
      </c>
      <c r="Y70" t="s">
        <v>73</v>
      </c>
      <c r="Z70">
        <v>4</v>
      </c>
      <c r="AA70">
        <v>651.77</v>
      </c>
      <c r="AB70">
        <v>48</v>
      </c>
    </row>
    <row r="71" spans="1:28" x14ac:dyDescent="0.2">
      <c r="A71">
        <v>3508</v>
      </c>
      <c r="B71" s="1">
        <v>44390</v>
      </c>
      <c r="C71" t="s">
        <v>53</v>
      </c>
      <c r="D71" t="s">
        <v>29</v>
      </c>
      <c r="E71" t="s">
        <v>30</v>
      </c>
      <c r="F71" t="s">
        <v>55</v>
      </c>
      <c r="G71" t="s">
        <v>56</v>
      </c>
      <c r="H71" t="s">
        <v>46</v>
      </c>
      <c r="I71" t="s">
        <v>57</v>
      </c>
      <c r="J71" t="s">
        <v>47</v>
      </c>
      <c r="K71" s="2">
        <v>15487</v>
      </c>
      <c r="L71" t="s">
        <v>80</v>
      </c>
      <c r="M71" t="s">
        <v>48</v>
      </c>
      <c r="N71" t="s">
        <v>84</v>
      </c>
      <c r="O71" t="s">
        <v>61</v>
      </c>
      <c r="P71" t="s">
        <v>40</v>
      </c>
      <c r="Q71">
        <v>5</v>
      </c>
      <c r="R71" s="2">
        <v>45033</v>
      </c>
      <c r="S71">
        <v>1</v>
      </c>
      <c r="T71">
        <v>5</v>
      </c>
      <c r="U71">
        <v>4</v>
      </c>
      <c r="V71" s="1">
        <v>45020</v>
      </c>
      <c r="W71" t="s">
        <v>92</v>
      </c>
      <c r="X71" t="s">
        <v>51</v>
      </c>
      <c r="Y71" t="s">
        <v>63</v>
      </c>
      <c r="Z71">
        <v>1</v>
      </c>
      <c r="AA71">
        <v>568.22</v>
      </c>
      <c r="AB71">
        <v>79</v>
      </c>
    </row>
    <row r="72" spans="1:28" x14ac:dyDescent="0.2">
      <c r="A72">
        <v>3509</v>
      </c>
      <c r="B72" s="1">
        <v>44300</v>
      </c>
      <c r="C72" t="s">
        <v>53</v>
      </c>
      <c r="D72" t="s">
        <v>69</v>
      </c>
      <c r="E72" t="s">
        <v>30</v>
      </c>
      <c r="F72" t="s">
        <v>46</v>
      </c>
      <c r="G72" t="s">
        <v>32</v>
      </c>
      <c r="H72" t="s">
        <v>55</v>
      </c>
      <c r="I72" t="s">
        <v>57</v>
      </c>
      <c r="J72" t="s">
        <v>58</v>
      </c>
      <c r="K72" s="2">
        <v>28433</v>
      </c>
      <c r="L72" t="s">
        <v>91</v>
      </c>
      <c r="M72" t="s">
        <v>37</v>
      </c>
      <c r="N72" t="s">
        <v>72</v>
      </c>
      <c r="O72" t="s">
        <v>67</v>
      </c>
      <c r="P72" t="s">
        <v>40</v>
      </c>
      <c r="Q72">
        <v>2</v>
      </c>
      <c r="R72" s="2">
        <v>44898</v>
      </c>
      <c r="S72">
        <v>4</v>
      </c>
      <c r="T72">
        <v>5</v>
      </c>
      <c r="U72">
        <v>2</v>
      </c>
      <c r="V72" s="1">
        <v>44989</v>
      </c>
      <c r="W72" t="s">
        <v>41</v>
      </c>
      <c r="X72" t="s">
        <v>51</v>
      </c>
      <c r="Y72" t="s">
        <v>63</v>
      </c>
      <c r="Z72">
        <v>4</v>
      </c>
      <c r="AA72">
        <v>612.1</v>
      </c>
      <c r="AB72">
        <v>44</v>
      </c>
    </row>
    <row r="73" spans="1:28" x14ac:dyDescent="0.2">
      <c r="A73">
        <v>3510</v>
      </c>
      <c r="B73" s="1">
        <v>43871</v>
      </c>
      <c r="C73" t="s">
        <v>53</v>
      </c>
      <c r="D73" t="s">
        <v>94</v>
      </c>
      <c r="E73" t="s">
        <v>30</v>
      </c>
      <c r="F73" t="s">
        <v>46</v>
      </c>
      <c r="G73" t="s">
        <v>45</v>
      </c>
      <c r="H73" t="s">
        <v>55</v>
      </c>
      <c r="I73" t="s">
        <v>57</v>
      </c>
      <c r="J73" t="s">
        <v>65</v>
      </c>
      <c r="K73" s="2">
        <v>20745</v>
      </c>
      <c r="L73" t="s">
        <v>91</v>
      </c>
      <c r="M73" t="s">
        <v>37</v>
      </c>
      <c r="N73" t="s">
        <v>49</v>
      </c>
      <c r="O73" t="s">
        <v>67</v>
      </c>
      <c r="P73" t="s">
        <v>40</v>
      </c>
      <c r="Q73">
        <v>2</v>
      </c>
      <c r="R73" s="2">
        <v>44795</v>
      </c>
      <c r="S73">
        <v>2</v>
      </c>
      <c r="T73">
        <v>4</v>
      </c>
      <c r="U73">
        <v>3</v>
      </c>
      <c r="V73" s="1">
        <v>44861</v>
      </c>
      <c r="W73" t="s">
        <v>68</v>
      </c>
      <c r="X73" t="s">
        <v>51</v>
      </c>
      <c r="Y73" t="s">
        <v>63</v>
      </c>
      <c r="Z73">
        <v>4</v>
      </c>
      <c r="AA73">
        <v>473.23</v>
      </c>
      <c r="AB73">
        <v>64</v>
      </c>
    </row>
    <row r="74" spans="1:28" x14ac:dyDescent="0.2">
      <c r="A74">
        <v>3511</v>
      </c>
      <c r="B74" s="1">
        <v>44425</v>
      </c>
      <c r="C74" t="s">
        <v>53</v>
      </c>
      <c r="D74" t="s">
        <v>74</v>
      </c>
      <c r="E74" t="s">
        <v>30</v>
      </c>
      <c r="F74" t="s">
        <v>46</v>
      </c>
      <c r="G74" t="s">
        <v>56</v>
      </c>
      <c r="H74" t="s">
        <v>55</v>
      </c>
      <c r="I74" t="s">
        <v>57</v>
      </c>
      <c r="J74" t="s">
        <v>35</v>
      </c>
      <c r="K74" s="2">
        <v>35479</v>
      </c>
      <c r="L74" t="s">
        <v>91</v>
      </c>
      <c r="M74" t="s">
        <v>37</v>
      </c>
      <c r="N74" t="s">
        <v>84</v>
      </c>
      <c r="O74" t="s">
        <v>77</v>
      </c>
      <c r="P74" t="s">
        <v>40</v>
      </c>
      <c r="Q74">
        <v>4</v>
      </c>
      <c r="R74" s="2">
        <v>45057</v>
      </c>
      <c r="S74">
        <v>5</v>
      </c>
      <c r="T74">
        <v>4</v>
      </c>
      <c r="U74">
        <v>5</v>
      </c>
      <c r="V74" s="1">
        <v>45023</v>
      </c>
      <c r="W74" t="s">
        <v>68</v>
      </c>
      <c r="X74" t="s">
        <v>42</v>
      </c>
      <c r="Y74" t="s">
        <v>63</v>
      </c>
      <c r="Z74">
        <v>3</v>
      </c>
      <c r="AA74">
        <v>344.44</v>
      </c>
      <c r="AB74">
        <v>24</v>
      </c>
    </row>
    <row r="75" spans="1:28" x14ac:dyDescent="0.2">
      <c r="A75">
        <v>3514</v>
      </c>
      <c r="B75" s="1">
        <v>43936</v>
      </c>
      <c r="C75" t="s">
        <v>53</v>
      </c>
      <c r="D75" t="s">
        <v>69</v>
      </c>
      <c r="E75" t="s">
        <v>30</v>
      </c>
      <c r="F75" t="s">
        <v>55</v>
      </c>
      <c r="G75" t="s">
        <v>56</v>
      </c>
      <c r="H75" t="s">
        <v>46</v>
      </c>
      <c r="I75" t="s">
        <v>57</v>
      </c>
      <c r="J75" t="s">
        <v>101</v>
      </c>
      <c r="K75" s="2">
        <v>21188</v>
      </c>
      <c r="L75" t="s">
        <v>83</v>
      </c>
      <c r="M75" t="s">
        <v>48</v>
      </c>
      <c r="N75" t="s">
        <v>84</v>
      </c>
      <c r="O75" t="s">
        <v>67</v>
      </c>
      <c r="P75" t="s">
        <v>40</v>
      </c>
      <c r="Q75">
        <v>1</v>
      </c>
      <c r="R75" s="2">
        <v>44798</v>
      </c>
      <c r="S75">
        <v>2</v>
      </c>
      <c r="T75">
        <v>1</v>
      </c>
      <c r="U75">
        <v>1</v>
      </c>
      <c r="V75" s="1">
        <v>44978</v>
      </c>
      <c r="W75" t="s">
        <v>41</v>
      </c>
      <c r="X75" t="s">
        <v>42</v>
      </c>
      <c r="Y75" t="s">
        <v>52</v>
      </c>
      <c r="Z75">
        <v>3</v>
      </c>
      <c r="AA75">
        <v>975.46</v>
      </c>
      <c r="AB75">
        <v>62</v>
      </c>
    </row>
    <row r="76" spans="1:28" x14ac:dyDescent="0.2">
      <c r="A76">
        <v>3516</v>
      </c>
      <c r="B76" s="1">
        <v>44658</v>
      </c>
      <c r="C76" t="s">
        <v>53</v>
      </c>
      <c r="D76" t="s">
        <v>85</v>
      </c>
      <c r="E76" t="s">
        <v>30</v>
      </c>
      <c r="F76" t="s">
        <v>31</v>
      </c>
      <c r="G76" t="s">
        <v>56</v>
      </c>
      <c r="H76" t="s">
        <v>46</v>
      </c>
      <c r="I76" t="s">
        <v>57</v>
      </c>
      <c r="J76" t="s">
        <v>96</v>
      </c>
      <c r="K76" s="2">
        <v>32319</v>
      </c>
      <c r="L76" t="s">
        <v>90</v>
      </c>
      <c r="M76" t="s">
        <v>48</v>
      </c>
      <c r="N76" t="s">
        <v>84</v>
      </c>
      <c r="O76" t="s">
        <v>77</v>
      </c>
      <c r="P76" t="s">
        <v>40</v>
      </c>
      <c r="Q76">
        <v>5</v>
      </c>
      <c r="R76" s="2">
        <v>44880</v>
      </c>
      <c r="S76">
        <v>2</v>
      </c>
      <c r="T76">
        <v>3</v>
      </c>
      <c r="U76">
        <v>5</v>
      </c>
      <c r="V76" s="1">
        <v>45099</v>
      </c>
      <c r="W76" t="s">
        <v>68</v>
      </c>
      <c r="X76" t="s">
        <v>42</v>
      </c>
      <c r="Y76" t="s">
        <v>52</v>
      </c>
      <c r="Z76">
        <v>1</v>
      </c>
      <c r="AA76">
        <v>570.41999999999996</v>
      </c>
      <c r="AB76">
        <v>34</v>
      </c>
    </row>
    <row r="77" spans="1:28" x14ac:dyDescent="0.2">
      <c r="A77">
        <v>3517</v>
      </c>
      <c r="B77" s="1">
        <v>43880</v>
      </c>
      <c r="C77" t="s">
        <v>53</v>
      </c>
      <c r="D77" t="s">
        <v>44</v>
      </c>
      <c r="E77" t="s">
        <v>30</v>
      </c>
      <c r="F77" t="s">
        <v>46</v>
      </c>
      <c r="G77" t="s">
        <v>45</v>
      </c>
      <c r="H77" t="s">
        <v>46</v>
      </c>
      <c r="I77" t="s">
        <v>57</v>
      </c>
      <c r="J77" t="s">
        <v>89</v>
      </c>
      <c r="K77" s="2">
        <v>15345</v>
      </c>
      <c r="L77" t="s">
        <v>86</v>
      </c>
      <c r="M77" t="s">
        <v>48</v>
      </c>
      <c r="N77" t="s">
        <v>49</v>
      </c>
      <c r="O77" t="s">
        <v>39</v>
      </c>
      <c r="P77" t="s">
        <v>40</v>
      </c>
      <c r="Q77">
        <v>4</v>
      </c>
      <c r="R77" s="2">
        <v>44927</v>
      </c>
      <c r="S77">
        <v>4</v>
      </c>
      <c r="T77">
        <v>1</v>
      </c>
      <c r="U77">
        <v>1</v>
      </c>
      <c r="V77" s="1">
        <v>44821</v>
      </c>
      <c r="W77" t="s">
        <v>68</v>
      </c>
      <c r="X77" t="s">
        <v>42</v>
      </c>
      <c r="Y77" t="s">
        <v>43</v>
      </c>
      <c r="Z77">
        <v>3</v>
      </c>
      <c r="AA77">
        <v>391.31</v>
      </c>
      <c r="AB77">
        <v>78</v>
      </c>
    </row>
    <row r="78" spans="1:28" x14ac:dyDescent="0.2">
      <c r="A78">
        <v>3518</v>
      </c>
      <c r="B78" s="1">
        <v>44296</v>
      </c>
      <c r="C78" t="s">
        <v>53</v>
      </c>
      <c r="D78" t="s">
        <v>87</v>
      </c>
      <c r="E78" t="s">
        <v>30</v>
      </c>
      <c r="F78" t="s">
        <v>31</v>
      </c>
      <c r="G78" t="s">
        <v>56</v>
      </c>
      <c r="H78" t="s">
        <v>46</v>
      </c>
      <c r="I78" t="s">
        <v>57</v>
      </c>
      <c r="J78" t="s">
        <v>75</v>
      </c>
      <c r="K78" s="2">
        <v>25347</v>
      </c>
      <c r="L78" t="s">
        <v>76</v>
      </c>
      <c r="M78" t="s">
        <v>37</v>
      </c>
      <c r="N78" t="s">
        <v>49</v>
      </c>
      <c r="O78" t="s">
        <v>67</v>
      </c>
      <c r="P78" t="s">
        <v>40</v>
      </c>
      <c r="Q78">
        <v>2</v>
      </c>
      <c r="R78" s="2">
        <v>45059</v>
      </c>
      <c r="S78">
        <v>4</v>
      </c>
      <c r="T78">
        <v>2</v>
      </c>
      <c r="U78">
        <v>5</v>
      </c>
      <c r="V78" s="1">
        <v>45104</v>
      </c>
      <c r="W78" t="s">
        <v>50</v>
      </c>
      <c r="X78" t="s">
        <v>42</v>
      </c>
      <c r="Y78" t="s">
        <v>63</v>
      </c>
      <c r="Z78">
        <v>3</v>
      </c>
      <c r="AA78">
        <v>826.58</v>
      </c>
      <c r="AB78">
        <v>52</v>
      </c>
    </row>
    <row r="79" spans="1:28" x14ac:dyDescent="0.2">
      <c r="A79">
        <v>3519</v>
      </c>
      <c r="B79" s="1">
        <v>44549</v>
      </c>
      <c r="C79" t="s">
        <v>53</v>
      </c>
      <c r="D79" t="s">
        <v>64</v>
      </c>
      <c r="E79" t="s">
        <v>30</v>
      </c>
      <c r="F79" t="s">
        <v>46</v>
      </c>
      <c r="G79" t="s">
        <v>32</v>
      </c>
      <c r="H79" t="s">
        <v>33</v>
      </c>
      <c r="I79" t="s">
        <v>57</v>
      </c>
      <c r="J79" t="s">
        <v>47</v>
      </c>
      <c r="K79" s="2">
        <v>18715</v>
      </c>
      <c r="L79" t="s">
        <v>76</v>
      </c>
      <c r="M79" t="s">
        <v>48</v>
      </c>
      <c r="N79" t="s">
        <v>49</v>
      </c>
      <c r="O79" t="s">
        <v>39</v>
      </c>
      <c r="P79" t="s">
        <v>40</v>
      </c>
      <c r="Q79">
        <v>2</v>
      </c>
      <c r="R79" s="2">
        <v>45087</v>
      </c>
      <c r="S79">
        <v>1</v>
      </c>
      <c r="T79">
        <v>3</v>
      </c>
      <c r="U79">
        <v>4</v>
      </c>
      <c r="V79" s="1">
        <v>44906</v>
      </c>
      <c r="W79" t="s">
        <v>41</v>
      </c>
      <c r="X79" t="s">
        <v>51</v>
      </c>
      <c r="Y79" t="s">
        <v>52</v>
      </c>
      <c r="Z79">
        <v>4</v>
      </c>
      <c r="AA79">
        <v>930.69</v>
      </c>
      <c r="AB79">
        <v>70</v>
      </c>
    </row>
    <row r="80" spans="1:28" x14ac:dyDescent="0.2">
      <c r="A80">
        <v>3520</v>
      </c>
      <c r="B80" s="1">
        <v>44178</v>
      </c>
      <c r="C80" t="s">
        <v>53</v>
      </c>
      <c r="D80" t="s">
        <v>64</v>
      </c>
      <c r="E80" t="s">
        <v>30</v>
      </c>
      <c r="F80" t="s">
        <v>55</v>
      </c>
      <c r="G80" t="s">
        <v>32</v>
      </c>
      <c r="H80" t="s">
        <v>33</v>
      </c>
      <c r="I80" t="s">
        <v>57</v>
      </c>
      <c r="J80" t="s">
        <v>96</v>
      </c>
      <c r="K80" s="2">
        <v>23071</v>
      </c>
      <c r="L80" t="s">
        <v>59</v>
      </c>
      <c r="M80" t="s">
        <v>37</v>
      </c>
      <c r="N80" t="s">
        <v>72</v>
      </c>
      <c r="O80" t="s">
        <v>77</v>
      </c>
      <c r="P80" t="s">
        <v>40</v>
      </c>
      <c r="Q80">
        <v>1</v>
      </c>
      <c r="R80" s="2">
        <v>44821</v>
      </c>
      <c r="S80">
        <v>5</v>
      </c>
      <c r="T80">
        <v>1</v>
      </c>
      <c r="U80">
        <v>1</v>
      </c>
      <c r="V80" s="1">
        <v>44815</v>
      </c>
      <c r="W80" t="s">
        <v>50</v>
      </c>
      <c r="X80" t="s">
        <v>51</v>
      </c>
      <c r="Y80" t="s">
        <v>52</v>
      </c>
      <c r="Z80">
        <v>1</v>
      </c>
      <c r="AA80">
        <v>607.92999999999995</v>
      </c>
      <c r="AB80">
        <v>57</v>
      </c>
    </row>
    <row r="81" spans="1:28" x14ac:dyDescent="0.2">
      <c r="A81">
        <v>3521</v>
      </c>
      <c r="B81" s="1">
        <v>43522</v>
      </c>
      <c r="C81" t="s">
        <v>53</v>
      </c>
      <c r="D81" t="s">
        <v>74</v>
      </c>
      <c r="E81" t="s">
        <v>30</v>
      </c>
      <c r="F81" t="s">
        <v>31</v>
      </c>
      <c r="G81" t="s">
        <v>32</v>
      </c>
      <c r="H81" t="s">
        <v>46</v>
      </c>
      <c r="I81" t="s">
        <v>57</v>
      </c>
      <c r="J81" t="s">
        <v>65</v>
      </c>
      <c r="K81" s="2">
        <v>18004</v>
      </c>
      <c r="L81" t="s">
        <v>91</v>
      </c>
      <c r="M81" t="s">
        <v>37</v>
      </c>
      <c r="N81" t="s">
        <v>84</v>
      </c>
      <c r="O81" t="s">
        <v>77</v>
      </c>
      <c r="P81" t="s">
        <v>40</v>
      </c>
      <c r="Q81">
        <v>4</v>
      </c>
      <c r="R81" s="2">
        <v>44823</v>
      </c>
      <c r="S81">
        <v>1</v>
      </c>
      <c r="T81">
        <v>3</v>
      </c>
      <c r="U81">
        <v>3</v>
      </c>
      <c r="V81" s="1">
        <v>44985</v>
      </c>
      <c r="W81" t="s">
        <v>92</v>
      </c>
      <c r="X81" t="s">
        <v>42</v>
      </c>
      <c r="Y81" t="s">
        <v>52</v>
      </c>
      <c r="Z81">
        <v>5</v>
      </c>
      <c r="AA81">
        <v>723.5</v>
      </c>
      <c r="AB81">
        <v>70</v>
      </c>
    </row>
    <row r="82" spans="1:28" x14ac:dyDescent="0.2">
      <c r="A82">
        <v>3522</v>
      </c>
      <c r="B82" s="1">
        <v>43892</v>
      </c>
      <c r="C82" t="s">
        <v>53</v>
      </c>
      <c r="D82" t="s">
        <v>69</v>
      </c>
      <c r="E82" t="s">
        <v>30</v>
      </c>
      <c r="F82" t="s">
        <v>55</v>
      </c>
      <c r="G82" t="s">
        <v>32</v>
      </c>
      <c r="H82" t="s">
        <v>46</v>
      </c>
      <c r="I82" t="s">
        <v>57</v>
      </c>
      <c r="J82" t="s">
        <v>89</v>
      </c>
      <c r="K82" s="2">
        <v>30601</v>
      </c>
      <c r="L82" t="s">
        <v>91</v>
      </c>
      <c r="M82" t="s">
        <v>37</v>
      </c>
      <c r="N82" t="s">
        <v>60</v>
      </c>
      <c r="O82" t="s">
        <v>61</v>
      </c>
      <c r="P82" t="s">
        <v>40</v>
      </c>
      <c r="Q82">
        <v>1</v>
      </c>
      <c r="R82" s="2">
        <v>45121</v>
      </c>
      <c r="S82">
        <v>1</v>
      </c>
      <c r="T82">
        <v>5</v>
      </c>
      <c r="U82">
        <v>4</v>
      </c>
      <c r="V82" s="1">
        <v>45051</v>
      </c>
      <c r="W82" t="s">
        <v>92</v>
      </c>
      <c r="X82" t="s">
        <v>51</v>
      </c>
      <c r="Y82" t="s">
        <v>63</v>
      </c>
      <c r="Z82">
        <v>5</v>
      </c>
      <c r="AA82">
        <v>394.04</v>
      </c>
      <c r="AB82">
        <v>37</v>
      </c>
    </row>
    <row r="83" spans="1:28" x14ac:dyDescent="0.2">
      <c r="A83">
        <v>3523</v>
      </c>
      <c r="B83" s="1">
        <v>44372</v>
      </c>
      <c r="C83" t="s">
        <v>53</v>
      </c>
      <c r="D83" t="s">
        <v>29</v>
      </c>
      <c r="E83" t="s">
        <v>30</v>
      </c>
      <c r="F83" t="s">
        <v>55</v>
      </c>
      <c r="G83" t="s">
        <v>45</v>
      </c>
      <c r="H83" t="s">
        <v>33</v>
      </c>
      <c r="I83" t="s">
        <v>57</v>
      </c>
      <c r="J83" t="s">
        <v>65</v>
      </c>
      <c r="K83" s="2">
        <v>28843</v>
      </c>
      <c r="L83" t="s">
        <v>91</v>
      </c>
      <c r="M83" t="s">
        <v>37</v>
      </c>
      <c r="N83" t="s">
        <v>60</v>
      </c>
      <c r="O83" t="s">
        <v>61</v>
      </c>
      <c r="P83" t="s">
        <v>40</v>
      </c>
      <c r="Q83">
        <v>2</v>
      </c>
      <c r="R83" s="2">
        <v>44984</v>
      </c>
      <c r="S83">
        <v>3</v>
      </c>
      <c r="T83">
        <v>2</v>
      </c>
      <c r="U83">
        <v>3</v>
      </c>
      <c r="V83" s="1">
        <v>45117</v>
      </c>
      <c r="W83" t="s">
        <v>41</v>
      </c>
      <c r="X83" t="s">
        <v>51</v>
      </c>
      <c r="Y83" t="s">
        <v>52</v>
      </c>
      <c r="Z83">
        <v>2</v>
      </c>
      <c r="AA83">
        <v>451.18</v>
      </c>
      <c r="AB83">
        <v>43</v>
      </c>
    </row>
    <row r="84" spans="1:28" x14ac:dyDescent="0.2">
      <c r="A84">
        <v>3526</v>
      </c>
      <c r="B84" s="1">
        <v>44819</v>
      </c>
      <c r="C84" t="s">
        <v>53</v>
      </c>
      <c r="D84" t="s">
        <v>81</v>
      </c>
      <c r="E84" t="s">
        <v>30</v>
      </c>
      <c r="F84" t="s">
        <v>55</v>
      </c>
      <c r="G84" t="s">
        <v>56</v>
      </c>
      <c r="H84" t="s">
        <v>55</v>
      </c>
      <c r="I84" t="s">
        <v>57</v>
      </c>
      <c r="J84" t="s">
        <v>65</v>
      </c>
      <c r="K84" s="2">
        <v>17683</v>
      </c>
      <c r="L84" t="s">
        <v>83</v>
      </c>
      <c r="M84" t="s">
        <v>48</v>
      </c>
      <c r="N84" t="s">
        <v>38</v>
      </c>
      <c r="O84" t="s">
        <v>39</v>
      </c>
      <c r="P84" t="s">
        <v>40</v>
      </c>
      <c r="Q84">
        <v>4</v>
      </c>
      <c r="R84" s="2">
        <v>44954</v>
      </c>
      <c r="S84">
        <v>1</v>
      </c>
      <c r="T84">
        <v>5</v>
      </c>
      <c r="U84">
        <v>3</v>
      </c>
      <c r="V84" s="1">
        <v>44849</v>
      </c>
      <c r="W84" t="s">
        <v>50</v>
      </c>
      <c r="X84" t="s">
        <v>42</v>
      </c>
      <c r="Y84" t="s">
        <v>73</v>
      </c>
      <c r="Z84">
        <v>2</v>
      </c>
      <c r="AA84">
        <v>360.5</v>
      </c>
      <c r="AB84">
        <v>74</v>
      </c>
    </row>
    <row r="85" spans="1:28" x14ac:dyDescent="0.2">
      <c r="A85">
        <v>3527</v>
      </c>
      <c r="B85" s="1">
        <v>43952</v>
      </c>
      <c r="C85" t="s">
        <v>53</v>
      </c>
      <c r="D85" t="s">
        <v>54</v>
      </c>
      <c r="E85" t="s">
        <v>30</v>
      </c>
      <c r="F85" t="s">
        <v>55</v>
      </c>
      <c r="G85" t="s">
        <v>56</v>
      </c>
      <c r="H85" t="s">
        <v>33</v>
      </c>
      <c r="I85" t="s">
        <v>57</v>
      </c>
      <c r="J85" t="s">
        <v>47</v>
      </c>
      <c r="K85" s="2">
        <v>27317</v>
      </c>
      <c r="L85" t="s">
        <v>90</v>
      </c>
      <c r="M85" t="s">
        <v>48</v>
      </c>
      <c r="N85" t="s">
        <v>72</v>
      </c>
      <c r="O85" t="s">
        <v>67</v>
      </c>
      <c r="P85" t="s">
        <v>40</v>
      </c>
      <c r="Q85">
        <v>1</v>
      </c>
      <c r="R85" s="2">
        <v>44984</v>
      </c>
      <c r="S85">
        <v>1</v>
      </c>
      <c r="T85">
        <v>3</v>
      </c>
      <c r="U85">
        <v>2</v>
      </c>
      <c r="V85" s="1">
        <v>44932</v>
      </c>
      <c r="W85" t="s">
        <v>62</v>
      </c>
      <c r="X85" t="s">
        <v>42</v>
      </c>
      <c r="Y85" t="s">
        <v>43</v>
      </c>
      <c r="Z85">
        <v>4</v>
      </c>
      <c r="AA85">
        <v>396.28</v>
      </c>
      <c r="AB85">
        <v>46</v>
      </c>
    </row>
    <row r="86" spans="1:28" x14ac:dyDescent="0.2">
      <c r="A86">
        <v>3528</v>
      </c>
      <c r="B86" s="1">
        <v>44847</v>
      </c>
      <c r="C86" t="s">
        <v>53</v>
      </c>
      <c r="D86" t="s">
        <v>94</v>
      </c>
      <c r="E86" t="s">
        <v>30</v>
      </c>
      <c r="F86" t="s">
        <v>55</v>
      </c>
      <c r="G86" t="s">
        <v>32</v>
      </c>
      <c r="H86" t="s">
        <v>46</v>
      </c>
      <c r="I86" t="s">
        <v>57</v>
      </c>
      <c r="J86" t="s">
        <v>35</v>
      </c>
      <c r="K86" s="2">
        <v>33585</v>
      </c>
      <c r="L86" t="s">
        <v>90</v>
      </c>
      <c r="M86" t="s">
        <v>48</v>
      </c>
      <c r="N86" t="s">
        <v>49</v>
      </c>
      <c r="O86" t="s">
        <v>39</v>
      </c>
      <c r="P86" t="s">
        <v>40</v>
      </c>
      <c r="Q86">
        <v>2</v>
      </c>
      <c r="R86" s="2">
        <v>45073</v>
      </c>
      <c r="S86">
        <v>5</v>
      </c>
      <c r="T86">
        <v>2</v>
      </c>
      <c r="U86">
        <v>2</v>
      </c>
      <c r="V86" s="1">
        <v>44987</v>
      </c>
      <c r="W86" t="s">
        <v>68</v>
      </c>
      <c r="X86" t="s">
        <v>51</v>
      </c>
      <c r="Y86" t="s">
        <v>73</v>
      </c>
      <c r="Z86">
        <v>1</v>
      </c>
      <c r="AA86">
        <v>465.96</v>
      </c>
      <c r="AB86">
        <v>31</v>
      </c>
    </row>
    <row r="87" spans="1:28" x14ac:dyDescent="0.2">
      <c r="A87">
        <v>3529</v>
      </c>
      <c r="B87" s="1">
        <v>43833</v>
      </c>
      <c r="C87" t="s">
        <v>53</v>
      </c>
      <c r="D87" t="s">
        <v>85</v>
      </c>
      <c r="E87" t="s">
        <v>30</v>
      </c>
      <c r="F87" t="s">
        <v>46</v>
      </c>
      <c r="G87" t="s">
        <v>32</v>
      </c>
      <c r="H87" t="s">
        <v>55</v>
      </c>
      <c r="I87" t="s">
        <v>57</v>
      </c>
      <c r="J87" t="s">
        <v>70</v>
      </c>
      <c r="K87" s="2">
        <v>34503</v>
      </c>
      <c r="L87" t="s">
        <v>86</v>
      </c>
      <c r="M87" t="s">
        <v>48</v>
      </c>
      <c r="N87" t="s">
        <v>49</v>
      </c>
      <c r="O87" t="s">
        <v>61</v>
      </c>
      <c r="P87" t="s">
        <v>40</v>
      </c>
      <c r="Q87">
        <v>2</v>
      </c>
      <c r="R87" s="2">
        <v>45122</v>
      </c>
      <c r="S87">
        <v>2</v>
      </c>
      <c r="T87">
        <v>3</v>
      </c>
      <c r="U87">
        <v>4</v>
      </c>
      <c r="V87" s="1">
        <v>44808</v>
      </c>
      <c r="W87" t="s">
        <v>62</v>
      </c>
      <c r="X87" t="s">
        <v>42</v>
      </c>
      <c r="Y87" t="s">
        <v>52</v>
      </c>
      <c r="Z87">
        <v>1</v>
      </c>
      <c r="AA87">
        <v>515.55999999999995</v>
      </c>
      <c r="AB87">
        <v>26</v>
      </c>
    </row>
    <row r="88" spans="1:28" x14ac:dyDescent="0.2">
      <c r="A88">
        <v>3530</v>
      </c>
      <c r="B88" s="1">
        <v>43782</v>
      </c>
      <c r="C88" t="s">
        <v>53</v>
      </c>
      <c r="D88" t="s">
        <v>64</v>
      </c>
      <c r="E88" t="s">
        <v>30</v>
      </c>
      <c r="F88" t="s">
        <v>55</v>
      </c>
      <c r="G88" t="s">
        <v>56</v>
      </c>
      <c r="H88" t="s">
        <v>46</v>
      </c>
      <c r="I88" t="s">
        <v>57</v>
      </c>
      <c r="J88" t="s">
        <v>70</v>
      </c>
      <c r="K88" s="2">
        <v>34136</v>
      </c>
      <c r="L88" t="s">
        <v>76</v>
      </c>
      <c r="M88" t="s">
        <v>37</v>
      </c>
      <c r="N88" t="s">
        <v>72</v>
      </c>
      <c r="O88" t="s">
        <v>39</v>
      </c>
      <c r="P88" t="s">
        <v>40</v>
      </c>
      <c r="Q88">
        <v>2</v>
      </c>
      <c r="R88" s="2">
        <v>44892</v>
      </c>
      <c r="S88">
        <v>1</v>
      </c>
      <c r="T88">
        <v>2</v>
      </c>
      <c r="U88">
        <v>5</v>
      </c>
      <c r="V88" s="1">
        <v>44944</v>
      </c>
      <c r="W88" t="s">
        <v>50</v>
      </c>
      <c r="X88" t="s">
        <v>51</v>
      </c>
      <c r="Y88" t="s">
        <v>73</v>
      </c>
      <c r="Z88">
        <v>2</v>
      </c>
      <c r="AA88">
        <v>496.85</v>
      </c>
      <c r="AB88">
        <v>26</v>
      </c>
    </row>
    <row r="89" spans="1:28" x14ac:dyDescent="0.2">
      <c r="A89">
        <v>3531</v>
      </c>
      <c r="B89" s="1">
        <v>45094</v>
      </c>
      <c r="C89" t="s">
        <v>53</v>
      </c>
      <c r="D89" t="s">
        <v>74</v>
      </c>
      <c r="E89" t="s">
        <v>30</v>
      </c>
      <c r="F89" t="s">
        <v>55</v>
      </c>
      <c r="G89" t="s">
        <v>32</v>
      </c>
      <c r="H89" t="s">
        <v>55</v>
      </c>
      <c r="I89" t="s">
        <v>57</v>
      </c>
      <c r="J89" t="s">
        <v>96</v>
      </c>
      <c r="K89" s="2">
        <v>15844</v>
      </c>
      <c r="L89" t="s">
        <v>76</v>
      </c>
      <c r="M89" t="s">
        <v>48</v>
      </c>
      <c r="N89" t="s">
        <v>72</v>
      </c>
      <c r="O89" t="s">
        <v>77</v>
      </c>
      <c r="P89" t="s">
        <v>40</v>
      </c>
      <c r="Q89">
        <v>1</v>
      </c>
      <c r="R89" s="2">
        <v>44981</v>
      </c>
      <c r="S89">
        <v>2</v>
      </c>
      <c r="T89">
        <v>4</v>
      </c>
      <c r="U89">
        <v>4</v>
      </c>
      <c r="V89" s="1">
        <v>44895</v>
      </c>
      <c r="W89" t="s">
        <v>41</v>
      </c>
      <c r="X89" t="s">
        <v>51</v>
      </c>
      <c r="Y89" t="s">
        <v>63</v>
      </c>
      <c r="Z89">
        <v>3</v>
      </c>
      <c r="AA89">
        <v>629.46</v>
      </c>
      <c r="AB89">
        <v>80</v>
      </c>
    </row>
    <row r="90" spans="1:28" x14ac:dyDescent="0.2">
      <c r="A90">
        <v>3532</v>
      </c>
      <c r="B90" s="1">
        <v>44483</v>
      </c>
      <c r="C90" t="s">
        <v>53</v>
      </c>
      <c r="D90" t="s">
        <v>44</v>
      </c>
      <c r="E90" t="s">
        <v>30</v>
      </c>
      <c r="F90" t="s">
        <v>46</v>
      </c>
      <c r="G90" t="s">
        <v>56</v>
      </c>
      <c r="H90" t="s">
        <v>55</v>
      </c>
      <c r="I90" t="s">
        <v>95</v>
      </c>
      <c r="J90" t="s">
        <v>103</v>
      </c>
      <c r="K90" s="2">
        <v>24438</v>
      </c>
      <c r="L90" t="s">
        <v>80</v>
      </c>
      <c r="M90" t="s">
        <v>37</v>
      </c>
      <c r="N90" t="s">
        <v>72</v>
      </c>
      <c r="O90" t="s">
        <v>39</v>
      </c>
      <c r="P90" t="s">
        <v>40</v>
      </c>
      <c r="Q90">
        <v>1</v>
      </c>
      <c r="R90" s="2">
        <v>44842</v>
      </c>
      <c r="S90">
        <v>2</v>
      </c>
      <c r="T90">
        <v>2</v>
      </c>
      <c r="U90">
        <v>5</v>
      </c>
      <c r="V90" s="1">
        <v>45048</v>
      </c>
      <c r="W90" t="s">
        <v>68</v>
      </c>
      <c r="X90" t="s">
        <v>42</v>
      </c>
      <c r="Y90" t="s">
        <v>43</v>
      </c>
      <c r="Z90">
        <v>2</v>
      </c>
      <c r="AA90">
        <v>771.61</v>
      </c>
      <c r="AB90">
        <v>55</v>
      </c>
    </row>
    <row r="91" spans="1:28" x14ac:dyDescent="0.2">
      <c r="A91">
        <v>3533</v>
      </c>
      <c r="B91" s="1">
        <v>44348</v>
      </c>
      <c r="C91" t="s">
        <v>53</v>
      </c>
      <c r="D91" t="s">
        <v>87</v>
      </c>
      <c r="E91" t="s">
        <v>30</v>
      </c>
      <c r="F91" t="s">
        <v>31</v>
      </c>
      <c r="G91" t="s">
        <v>56</v>
      </c>
      <c r="H91" t="s">
        <v>55</v>
      </c>
      <c r="I91" t="s">
        <v>57</v>
      </c>
      <c r="J91" t="s">
        <v>58</v>
      </c>
      <c r="K91" s="2">
        <v>24423</v>
      </c>
      <c r="L91" t="s">
        <v>59</v>
      </c>
      <c r="M91" t="s">
        <v>48</v>
      </c>
      <c r="N91" t="s">
        <v>38</v>
      </c>
      <c r="O91" t="s">
        <v>67</v>
      </c>
      <c r="P91" t="s">
        <v>40</v>
      </c>
      <c r="Q91">
        <v>2</v>
      </c>
      <c r="R91" s="2">
        <v>44934</v>
      </c>
      <c r="S91">
        <v>2</v>
      </c>
      <c r="T91">
        <v>5</v>
      </c>
      <c r="U91">
        <v>2</v>
      </c>
      <c r="V91" s="1">
        <v>45057</v>
      </c>
      <c r="W91" t="s">
        <v>41</v>
      </c>
      <c r="X91" t="s">
        <v>42</v>
      </c>
      <c r="Y91" t="s">
        <v>63</v>
      </c>
      <c r="Z91">
        <v>4</v>
      </c>
      <c r="AA91">
        <v>418.4</v>
      </c>
      <c r="AB91">
        <v>55</v>
      </c>
    </row>
    <row r="92" spans="1:28" x14ac:dyDescent="0.2">
      <c r="A92">
        <v>3534</v>
      </c>
      <c r="B92" s="1">
        <v>43357</v>
      </c>
      <c r="C92" t="s">
        <v>53</v>
      </c>
      <c r="D92" t="s">
        <v>64</v>
      </c>
      <c r="E92" t="s">
        <v>30</v>
      </c>
      <c r="F92" t="s">
        <v>55</v>
      </c>
      <c r="G92" t="s">
        <v>45</v>
      </c>
      <c r="H92" t="s">
        <v>55</v>
      </c>
      <c r="I92" t="s">
        <v>57</v>
      </c>
      <c r="J92" t="s">
        <v>79</v>
      </c>
      <c r="K92" s="2">
        <v>21778</v>
      </c>
      <c r="L92" t="s">
        <v>91</v>
      </c>
      <c r="M92" t="s">
        <v>37</v>
      </c>
      <c r="N92" t="s">
        <v>84</v>
      </c>
      <c r="O92" t="s">
        <v>61</v>
      </c>
      <c r="P92" t="s">
        <v>40</v>
      </c>
      <c r="Q92">
        <v>4</v>
      </c>
      <c r="R92" s="2">
        <v>45030</v>
      </c>
      <c r="S92">
        <v>4</v>
      </c>
      <c r="T92">
        <v>3</v>
      </c>
      <c r="U92">
        <v>2</v>
      </c>
      <c r="V92" s="1">
        <v>45067</v>
      </c>
      <c r="W92" t="s">
        <v>50</v>
      </c>
      <c r="X92" t="s">
        <v>42</v>
      </c>
      <c r="Y92" t="s">
        <v>63</v>
      </c>
      <c r="Z92">
        <v>3</v>
      </c>
      <c r="AA92">
        <v>900.96</v>
      </c>
      <c r="AB92">
        <v>59</v>
      </c>
    </row>
    <row r="93" spans="1:28" x14ac:dyDescent="0.2">
      <c r="A93">
        <v>3535</v>
      </c>
      <c r="B93" s="1">
        <v>43445</v>
      </c>
      <c r="C93" t="s">
        <v>53</v>
      </c>
      <c r="D93" t="s">
        <v>94</v>
      </c>
      <c r="E93" t="s">
        <v>30</v>
      </c>
      <c r="F93" t="s">
        <v>55</v>
      </c>
      <c r="G93" t="s">
        <v>45</v>
      </c>
      <c r="H93" t="s">
        <v>33</v>
      </c>
      <c r="I93" t="s">
        <v>57</v>
      </c>
      <c r="J93" t="s">
        <v>97</v>
      </c>
      <c r="K93" s="2">
        <v>34367</v>
      </c>
      <c r="L93" t="s">
        <v>91</v>
      </c>
      <c r="M93" t="s">
        <v>37</v>
      </c>
      <c r="N93" t="s">
        <v>72</v>
      </c>
      <c r="O93" t="s">
        <v>61</v>
      </c>
      <c r="P93" t="s">
        <v>40</v>
      </c>
      <c r="Q93">
        <v>4</v>
      </c>
      <c r="R93" s="2">
        <v>44866</v>
      </c>
      <c r="S93">
        <v>1</v>
      </c>
      <c r="T93">
        <v>5</v>
      </c>
      <c r="U93">
        <v>1</v>
      </c>
      <c r="V93" s="1">
        <v>45102</v>
      </c>
      <c r="W93" t="s">
        <v>68</v>
      </c>
      <c r="X93" t="s">
        <v>51</v>
      </c>
      <c r="Y93" t="s">
        <v>52</v>
      </c>
      <c r="Z93">
        <v>1</v>
      </c>
      <c r="AA93">
        <v>936.96</v>
      </c>
      <c r="AB93">
        <v>24</v>
      </c>
    </row>
    <row r="94" spans="1:28" x14ac:dyDescent="0.2">
      <c r="A94">
        <v>3536</v>
      </c>
      <c r="B94" s="1">
        <v>44779</v>
      </c>
      <c r="C94" t="s">
        <v>53</v>
      </c>
      <c r="D94" t="s">
        <v>74</v>
      </c>
      <c r="E94" t="s">
        <v>30</v>
      </c>
      <c r="F94" t="s">
        <v>31</v>
      </c>
      <c r="G94" t="s">
        <v>32</v>
      </c>
      <c r="H94" t="s">
        <v>33</v>
      </c>
      <c r="I94" t="s">
        <v>57</v>
      </c>
      <c r="J94" t="s">
        <v>58</v>
      </c>
      <c r="K94" s="2">
        <v>32510</v>
      </c>
      <c r="L94" t="s">
        <v>88</v>
      </c>
      <c r="M94" t="s">
        <v>37</v>
      </c>
      <c r="N94" t="s">
        <v>72</v>
      </c>
      <c r="O94" t="s">
        <v>61</v>
      </c>
      <c r="P94" t="s">
        <v>40</v>
      </c>
      <c r="Q94">
        <v>2</v>
      </c>
      <c r="R94" s="2">
        <v>44843</v>
      </c>
      <c r="S94">
        <v>1</v>
      </c>
      <c r="T94">
        <v>2</v>
      </c>
      <c r="U94">
        <v>4</v>
      </c>
      <c r="V94" s="1">
        <v>44888</v>
      </c>
      <c r="W94" t="s">
        <v>41</v>
      </c>
      <c r="X94" t="s">
        <v>51</v>
      </c>
      <c r="Y94" t="s">
        <v>73</v>
      </c>
      <c r="Z94">
        <v>5</v>
      </c>
      <c r="AA94">
        <v>269.02999999999997</v>
      </c>
      <c r="AB94">
        <v>33</v>
      </c>
    </row>
    <row r="95" spans="1:28" x14ac:dyDescent="0.2">
      <c r="A95">
        <v>3539</v>
      </c>
      <c r="B95" s="1">
        <v>43807</v>
      </c>
      <c r="C95" t="s">
        <v>53</v>
      </c>
      <c r="D95" t="s">
        <v>69</v>
      </c>
      <c r="E95" t="s">
        <v>30</v>
      </c>
      <c r="F95" t="s">
        <v>55</v>
      </c>
      <c r="G95" t="s">
        <v>32</v>
      </c>
      <c r="H95" t="s">
        <v>33</v>
      </c>
      <c r="I95" t="s">
        <v>57</v>
      </c>
      <c r="J95" t="s">
        <v>65</v>
      </c>
      <c r="K95" s="2">
        <v>30647</v>
      </c>
      <c r="L95" t="s">
        <v>90</v>
      </c>
      <c r="M95" t="s">
        <v>48</v>
      </c>
      <c r="N95" t="s">
        <v>49</v>
      </c>
      <c r="O95" t="s">
        <v>61</v>
      </c>
      <c r="P95" t="s">
        <v>40</v>
      </c>
      <c r="Q95">
        <v>5</v>
      </c>
      <c r="R95" s="2">
        <v>44963</v>
      </c>
      <c r="S95">
        <v>3</v>
      </c>
      <c r="T95">
        <v>3</v>
      </c>
      <c r="U95">
        <v>4</v>
      </c>
      <c r="V95" s="1">
        <v>45002</v>
      </c>
      <c r="W95" t="s">
        <v>62</v>
      </c>
      <c r="X95" t="s">
        <v>51</v>
      </c>
      <c r="Y95" t="s">
        <v>43</v>
      </c>
      <c r="Z95">
        <v>4</v>
      </c>
      <c r="AA95">
        <v>234.77</v>
      </c>
      <c r="AB95">
        <v>36</v>
      </c>
    </row>
    <row r="96" spans="1:28" x14ac:dyDescent="0.2">
      <c r="A96">
        <v>3540</v>
      </c>
      <c r="B96" s="1">
        <v>43902</v>
      </c>
      <c r="C96" t="s">
        <v>53</v>
      </c>
      <c r="D96" t="s">
        <v>29</v>
      </c>
      <c r="E96" t="s">
        <v>30</v>
      </c>
      <c r="F96" t="s">
        <v>55</v>
      </c>
      <c r="G96" t="s">
        <v>56</v>
      </c>
      <c r="H96" t="s">
        <v>46</v>
      </c>
      <c r="I96" t="s">
        <v>57</v>
      </c>
      <c r="J96" t="s">
        <v>89</v>
      </c>
      <c r="K96" s="2">
        <v>30476</v>
      </c>
      <c r="L96" t="s">
        <v>90</v>
      </c>
      <c r="M96" t="s">
        <v>48</v>
      </c>
      <c r="N96" t="s">
        <v>38</v>
      </c>
      <c r="O96" t="s">
        <v>39</v>
      </c>
      <c r="P96" t="s">
        <v>78</v>
      </c>
      <c r="Q96">
        <v>4</v>
      </c>
      <c r="R96" s="2">
        <v>45102</v>
      </c>
      <c r="S96">
        <v>2</v>
      </c>
      <c r="T96">
        <v>2</v>
      </c>
      <c r="U96">
        <v>3</v>
      </c>
      <c r="V96" s="1">
        <v>44860</v>
      </c>
      <c r="W96" t="s">
        <v>92</v>
      </c>
      <c r="X96" t="s">
        <v>51</v>
      </c>
      <c r="Y96" t="s">
        <v>52</v>
      </c>
      <c r="Z96">
        <v>2</v>
      </c>
      <c r="AA96">
        <v>903.46</v>
      </c>
      <c r="AB96">
        <v>37</v>
      </c>
    </row>
    <row r="97" spans="1:28" x14ac:dyDescent="0.2">
      <c r="A97">
        <v>3541</v>
      </c>
      <c r="B97" s="1">
        <v>43927</v>
      </c>
      <c r="C97" t="s">
        <v>53</v>
      </c>
      <c r="D97" t="s">
        <v>85</v>
      </c>
      <c r="E97" t="s">
        <v>30</v>
      </c>
      <c r="F97" t="s">
        <v>55</v>
      </c>
      <c r="G97" t="s">
        <v>56</v>
      </c>
      <c r="H97" t="s">
        <v>55</v>
      </c>
      <c r="I97" t="s">
        <v>57</v>
      </c>
      <c r="J97" t="s">
        <v>70</v>
      </c>
      <c r="K97" s="2">
        <v>33538</v>
      </c>
      <c r="L97" t="s">
        <v>86</v>
      </c>
      <c r="M97" t="s">
        <v>48</v>
      </c>
      <c r="N97" t="s">
        <v>72</v>
      </c>
      <c r="O97" t="s">
        <v>67</v>
      </c>
      <c r="P97" t="s">
        <v>78</v>
      </c>
      <c r="Q97">
        <v>2</v>
      </c>
      <c r="R97" s="2">
        <v>44893</v>
      </c>
      <c r="S97">
        <v>1</v>
      </c>
      <c r="T97">
        <v>3</v>
      </c>
      <c r="U97">
        <v>3</v>
      </c>
      <c r="V97" s="1">
        <v>45068</v>
      </c>
      <c r="W97" t="s">
        <v>50</v>
      </c>
      <c r="X97" t="s">
        <v>51</v>
      </c>
      <c r="Y97" t="s">
        <v>73</v>
      </c>
      <c r="Z97">
        <v>4</v>
      </c>
      <c r="AA97">
        <v>380.3</v>
      </c>
      <c r="AB97">
        <v>29</v>
      </c>
    </row>
    <row r="98" spans="1:28" x14ac:dyDescent="0.2">
      <c r="A98">
        <v>3542</v>
      </c>
      <c r="B98" s="1">
        <v>45031</v>
      </c>
      <c r="C98" t="s">
        <v>53</v>
      </c>
      <c r="D98" t="s">
        <v>44</v>
      </c>
      <c r="E98" t="s">
        <v>30</v>
      </c>
      <c r="F98" t="s">
        <v>31</v>
      </c>
      <c r="G98" t="s">
        <v>45</v>
      </c>
      <c r="H98" t="s">
        <v>33</v>
      </c>
      <c r="I98" t="s">
        <v>57</v>
      </c>
      <c r="J98" t="s">
        <v>70</v>
      </c>
      <c r="K98" s="2">
        <v>17593</v>
      </c>
      <c r="L98" t="s">
        <v>86</v>
      </c>
      <c r="M98" t="s">
        <v>48</v>
      </c>
      <c r="N98" t="s">
        <v>38</v>
      </c>
      <c r="O98" t="s">
        <v>67</v>
      </c>
      <c r="P98" t="s">
        <v>98</v>
      </c>
      <c r="Q98">
        <v>1</v>
      </c>
      <c r="R98" s="2">
        <v>44852</v>
      </c>
      <c r="S98">
        <v>2</v>
      </c>
      <c r="T98">
        <v>3</v>
      </c>
      <c r="U98">
        <v>4</v>
      </c>
      <c r="V98" s="1">
        <v>44795</v>
      </c>
      <c r="W98" t="s">
        <v>62</v>
      </c>
      <c r="X98" t="s">
        <v>42</v>
      </c>
      <c r="Y98" t="s">
        <v>43</v>
      </c>
      <c r="Z98">
        <v>4</v>
      </c>
      <c r="AA98">
        <v>511.42</v>
      </c>
      <c r="AB98">
        <v>75</v>
      </c>
    </row>
    <row r="99" spans="1:28" x14ac:dyDescent="0.2">
      <c r="A99">
        <v>3543</v>
      </c>
      <c r="B99" s="1">
        <v>44145</v>
      </c>
      <c r="C99" t="s">
        <v>53</v>
      </c>
      <c r="D99" t="s">
        <v>87</v>
      </c>
      <c r="E99" t="s">
        <v>30</v>
      </c>
      <c r="F99" t="s">
        <v>46</v>
      </c>
      <c r="G99" t="s">
        <v>45</v>
      </c>
      <c r="H99" t="s">
        <v>33</v>
      </c>
      <c r="I99" t="s">
        <v>57</v>
      </c>
      <c r="J99" t="s">
        <v>65</v>
      </c>
      <c r="K99" s="2">
        <v>29635</v>
      </c>
      <c r="L99" t="s">
        <v>76</v>
      </c>
      <c r="M99" t="s">
        <v>37</v>
      </c>
      <c r="N99" t="s">
        <v>72</v>
      </c>
      <c r="O99" t="s">
        <v>61</v>
      </c>
      <c r="P99" t="s">
        <v>40</v>
      </c>
      <c r="Q99">
        <v>2</v>
      </c>
      <c r="R99" s="2">
        <v>44968</v>
      </c>
      <c r="S99">
        <v>4</v>
      </c>
      <c r="T99">
        <v>5</v>
      </c>
      <c r="U99">
        <v>5</v>
      </c>
      <c r="V99" s="1">
        <v>45067</v>
      </c>
      <c r="W99" t="s">
        <v>92</v>
      </c>
      <c r="X99" t="s">
        <v>51</v>
      </c>
      <c r="Y99" t="s">
        <v>73</v>
      </c>
      <c r="Z99">
        <v>4</v>
      </c>
      <c r="AA99">
        <v>171.03</v>
      </c>
      <c r="AB99">
        <v>39</v>
      </c>
    </row>
    <row r="100" spans="1:28" x14ac:dyDescent="0.2">
      <c r="A100">
        <v>3544</v>
      </c>
      <c r="B100" s="1">
        <v>45106</v>
      </c>
      <c r="C100" t="s">
        <v>53</v>
      </c>
      <c r="D100" t="s">
        <v>64</v>
      </c>
      <c r="E100" t="s">
        <v>30</v>
      </c>
      <c r="F100" t="s">
        <v>31</v>
      </c>
      <c r="G100" t="s">
        <v>45</v>
      </c>
      <c r="H100" t="s">
        <v>33</v>
      </c>
      <c r="I100" t="s">
        <v>57</v>
      </c>
      <c r="J100" t="s">
        <v>47</v>
      </c>
      <c r="K100" s="2">
        <v>36785</v>
      </c>
      <c r="L100" t="s">
        <v>76</v>
      </c>
      <c r="M100" t="s">
        <v>48</v>
      </c>
      <c r="N100" t="s">
        <v>84</v>
      </c>
      <c r="O100" t="s">
        <v>61</v>
      </c>
      <c r="P100" t="s">
        <v>40</v>
      </c>
      <c r="Q100">
        <v>2</v>
      </c>
      <c r="R100" s="2">
        <v>44818</v>
      </c>
      <c r="S100">
        <v>3</v>
      </c>
      <c r="T100">
        <v>5</v>
      </c>
      <c r="U100">
        <v>3</v>
      </c>
      <c r="V100" s="1">
        <v>45048</v>
      </c>
      <c r="W100" t="s">
        <v>41</v>
      </c>
      <c r="X100" t="s">
        <v>51</v>
      </c>
      <c r="Y100" t="s">
        <v>73</v>
      </c>
      <c r="Z100">
        <v>3</v>
      </c>
      <c r="AA100">
        <v>842.93</v>
      </c>
      <c r="AB100">
        <v>23</v>
      </c>
    </row>
    <row r="101" spans="1:28" x14ac:dyDescent="0.2">
      <c r="A101">
        <v>3545</v>
      </c>
      <c r="B101" s="1">
        <v>44627</v>
      </c>
      <c r="C101" t="s">
        <v>53</v>
      </c>
      <c r="D101" t="s">
        <v>44</v>
      </c>
      <c r="E101" t="s">
        <v>30</v>
      </c>
      <c r="F101" t="s">
        <v>55</v>
      </c>
      <c r="G101" t="s">
        <v>32</v>
      </c>
      <c r="H101" t="s">
        <v>33</v>
      </c>
      <c r="I101" t="s">
        <v>95</v>
      </c>
      <c r="J101" t="s">
        <v>70</v>
      </c>
      <c r="K101" s="2">
        <v>15734</v>
      </c>
      <c r="L101" t="s">
        <v>80</v>
      </c>
      <c r="M101" t="s">
        <v>37</v>
      </c>
      <c r="N101" t="s">
        <v>72</v>
      </c>
      <c r="O101" t="s">
        <v>39</v>
      </c>
      <c r="P101" t="s">
        <v>40</v>
      </c>
      <c r="Q101">
        <v>1</v>
      </c>
      <c r="R101" s="2">
        <v>45073</v>
      </c>
      <c r="S101">
        <v>2</v>
      </c>
      <c r="T101">
        <v>5</v>
      </c>
      <c r="U101">
        <v>2</v>
      </c>
      <c r="V101" s="1">
        <v>45050</v>
      </c>
      <c r="W101" t="s">
        <v>50</v>
      </c>
      <c r="X101" t="s">
        <v>51</v>
      </c>
      <c r="Y101" t="s">
        <v>52</v>
      </c>
      <c r="Z101">
        <v>5</v>
      </c>
      <c r="AA101">
        <v>581.12</v>
      </c>
      <c r="AB101">
        <v>79</v>
      </c>
    </row>
    <row r="102" spans="1:28" x14ac:dyDescent="0.2">
      <c r="A102">
        <v>3546</v>
      </c>
      <c r="B102" s="1">
        <v>44408</v>
      </c>
      <c r="C102" t="s">
        <v>53</v>
      </c>
      <c r="D102" t="s">
        <v>29</v>
      </c>
      <c r="E102" t="s">
        <v>30</v>
      </c>
      <c r="F102" t="s">
        <v>55</v>
      </c>
      <c r="G102" t="s">
        <v>56</v>
      </c>
      <c r="H102" t="s">
        <v>46</v>
      </c>
      <c r="I102" t="s">
        <v>57</v>
      </c>
      <c r="J102" t="s">
        <v>65</v>
      </c>
      <c r="K102" s="2">
        <v>29416</v>
      </c>
      <c r="L102" t="s">
        <v>59</v>
      </c>
      <c r="M102" t="s">
        <v>48</v>
      </c>
      <c r="N102" t="s">
        <v>49</v>
      </c>
      <c r="O102" t="s">
        <v>39</v>
      </c>
      <c r="P102" t="s">
        <v>78</v>
      </c>
      <c r="Q102">
        <v>1</v>
      </c>
      <c r="R102" s="2">
        <v>45056</v>
      </c>
      <c r="S102">
        <v>2</v>
      </c>
      <c r="T102">
        <v>5</v>
      </c>
      <c r="U102">
        <v>5</v>
      </c>
      <c r="V102" s="1">
        <v>44886</v>
      </c>
      <c r="W102" t="s">
        <v>62</v>
      </c>
      <c r="X102" t="s">
        <v>51</v>
      </c>
      <c r="Y102" t="s">
        <v>73</v>
      </c>
      <c r="Z102">
        <v>4</v>
      </c>
      <c r="AA102">
        <v>426.45</v>
      </c>
      <c r="AB102">
        <v>41</v>
      </c>
    </row>
    <row r="103" spans="1:28" x14ac:dyDescent="0.2">
      <c r="A103">
        <v>3547</v>
      </c>
      <c r="B103" s="1">
        <v>44581</v>
      </c>
      <c r="C103" t="s">
        <v>53</v>
      </c>
      <c r="D103" t="s">
        <v>69</v>
      </c>
      <c r="E103" t="s">
        <v>30</v>
      </c>
      <c r="F103" t="s">
        <v>31</v>
      </c>
      <c r="G103" t="s">
        <v>56</v>
      </c>
      <c r="H103" t="s">
        <v>55</v>
      </c>
      <c r="I103" t="s">
        <v>57</v>
      </c>
      <c r="J103" t="s">
        <v>99</v>
      </c>
      <c r="K103" s="2">
        <v>17251</v>
      </c>
      <c r="L103" t="s">
        <v>91</v>
      </c>
      <c r="M103" t="s">
        <v>37</v>
      </c>
      <c r="N103" t="s">
        <v>60</v>
      </c>
      <c r="O103" t="s">
        <v>67</v>
      </c>
      <c r="P103" t="s">
        <v>98</v>
      </c>
      <c r="Q103">
        <v>2</v>
      </c>
      <c r="R103" s="2">
        <v>44919</v>
      </c>
      <c r="S103">
        <v>2</v>
      </c>
      <c r="T103">
        <v>4</v>
      </c>
      <c r="U103">
        <v>2</v>
      </c>
      <c r="V103" s="1">
        <v>45040</v>
      </c>
      <c r="W103" t="s">
        <v>68</v>
      </c>
      <c r="X103" t="s">
        <v>51</v>
      </c>
      <c r="Y103" t="s">
        <v>43</v>
      </c>
      <c r="Z103">
        <v>4</v>
      </c>
      <c r="AA103">
        <v>805.05</v>
      </c>
      <c r="AB103">
        <v>75</v>
      </c>
    </row>
    <row r="104" spans="1:28" x14ac:dyDescent="0.2">
      <c r="A104">
        <v>3548</v>
      </c>
      <c r="B104" s="1">
        <v>44388</v>
      </c>
      <c r="C104" t="s">
        <v>53</v>
      </c>
      <c r="D104" t="s">
        <v>74</v>
      </c>
      <c r="E104" t="s">
        <v>30</v>
      </c>
      <c r="F104" t="s">
        <v>46</v>
      </c>
      <c r="G104" t="s">
        <v>45</v>
      </c>
      <c r="H104" t="s">
        <v>55</v>
      </c>
      <c r="I104" t="s">
        <v>57</v>
      </c>
      <c r="J104" t="s">
        <v>65</v>
      </c>
      <c r="K104" s="2">
        <v>23401</v>
      </c>
      <c r="L104" t="s">
        <v>91</v>
      </c>
      <c r="M104" t="s">
        <v>37</v>
      </c>
      <c r="N104" t="s">
        <v>38</v>
      </c>
      <c r="O104" t="s">
        <v>61</v>
      </c>
      <c r="P104" t="s">
        <v>40</v>
      </c>
      <c r="Q104">
        <v>1</v>
      </c>
      <c r="R104" s="2">
        <v>44840</v>
      </c>
      <c r="S104">
        <v>5</v>
      </c>
      <c r="T104">
        <v>5</v>
      </c>
      <c r="U104">
        <v>3</v>
      </c>
      <c r="V104" s="1">
        <v>44789</v>
      </c>
      <c r="W104" t="s">
        <v>41</v>
      </c>
      <c r="X104" t="s">
        <v>51</v>
      </c>
      <c r="Y104" t="s">
        <v>73</v>
      </c>
      <c r="Z104">
        <v>3</v>
      </c>
      <c r="AA104">
        <v>368.8</v>
      </c>
      <c r="AB104">
        <v>57</v>
      </c>
    </row>
    <row r="105" spans="1:28" x14ac:dyDescent="0.2">
      <c r="A105">
        <v>3549</v>
      </c>
      <c r="B105" s="1">
        <v>43388</v>
      </c>
      <c r="C105" t="s">
        <v>53</v>
      </c>
      <c r="D105" t="s">
        <v>64</v>
      </c>
      <c r="E105" t="s">
        <v>30</v>
      </c>
      <c r="F105" t="s">
        <v>55</v>
      </c>
      <c r="G105" t="s">
        <v>32</v>
      </c>
      <c r="H105" t="s">
        <v>55</v>
      </c>
      <c r="I105" t="s">
        <v>57</v>
      </c>
      <c r="J105" t="s">
        <v>70</v>
      </c>
      <c r="K105" s="2">
        <v>20165</v>
      </c>
      <c r="L105" t="s">
        <v>88</v>
      </c>
      <c r="M105" t="s">
        <v>37</v>
      </c>
      <c r="N105" t="s">
        <v>72</v>
      </c>
      <c r="O105" t="s">
        <v>77</v>
      </c>
      <c r="P105" t="s">
        <v>40</v>
      </c>
      <c r="Q105">
        <v>2</v>
      </c>
      <c r="R105" s="2">
        <v>45035</v>
      </c>
      <c r="S105">
        <v>1</v>
      </c>
      <c r="T105">
        <v>4</v>
      </c>
      <c r="U105">
        <v>1</v>
      </c>
      <c r="V105" s="1">
        <v>44867</v>
      </c>
      <c r="W105" t="s">
        <v>92</v>
      </c>
      <c r="X105" t="s">
        <v>51</v>
      </c>
      <c r="Y105" t="s">
        <v>43</v>
      </c>
      <c r="Z105">
        <v>5</v>
      </c>
      <c r="AA105">
        <v>788.67</v>
      </c>
      <c r="AB105">
        <v>63</v>
      </c>
    </row>
    <row r="106" spans="1:28" x14ac:dyDescent="0.2">
      <c r="A106">
        <v>3551</v>
      </c>
      <c r="B106" s="1">
        <v>43323</v>
      </c>
      <c r="C106" t="s">
        <v>53</v>
      </c>
      <c r="D106" t="s">
        <v>94</v>
      </c>
      <c r="E106" t="s">
        <v>30</v>
      </c>
      <c r="F106" t="s">
        <v>46</v>
      </c>
      <c r="G106" t="s">
        <v>32</v>
      </c>
      <c r="H106" t="s">
        <v>46</v>
      </c>
      <c r="I106" t="s">
        <v>57</v>
      </c>
      <c r="J106" t="s">
        <v>79</v>
      </c>
      <c r="K106" s="2">
        <v>19909</v>
      </c>
      <c r="L106" t="s">
        <v>83</v>
      </c>
      <c r="M106" t="s">
        <v>48</v>
      </c>
      <c r="N106" t="s">
        <v>72</v>
      </c>
      <c r="O106" t="s">
        <v>67</v>
      </c>
      <c r="P106" t="s">
        <v>98</v>
      </c>
      <c r="Q106">
        <v>4</v>
      </c>
      <c r="R106" s="2">
        <v>45080</v>
      </c>
      <c r="S106">
        <v>4</v>
      </c>
      <c r="T106">
        <v>4</v>
      </c>
      <c r="U106">
        <v>3</v>
      </c>
      <c r="V106" s="1">
        <v>44861</v>
      </c>
      <c r="W106" t="s">
        <v>92</v>
      </c>
      <c r="X106" t="s">
        <v>51</v>
      </c>
      <c r="Y106" t="s">
        <v>52</v>
      </c>
      <c r="Z106">
        <v>1</v>
      </c>
      <c r="AA106">
        <v>570.13</v>
      </c>
      <c r="AB106">
        <v>64</v>
      </c>
    </row>
    <row r="107" spans="1:28" x14ac:dyDescent="0.2">
      <c r="A107">
        <v>3552</v>
      </c>
      <c r="B107" s="1">
        <v>43877</v>
      </c>
      <c r="C107" t="s">
        <v>53</v>
      </c>
      <c r="D107" t="s">
        <v>54</v>
      </c>
      <c r="E107" t="s">
        <v>30</v>
      </c>
      <c r="F107" t="s">
        <v>55</v>
      </c>
      <c r="G107" t="s">
        <v>56</v>
      </c>
      <c r="H107" t="s">
        <v>55</v>
      </c>
      <c r="I107" t="s">
        <v>57</v>
      </c>
      <c r="J107" t="s">
        <v>70</v>
      </c>
      <c r="K107" s="2">
        <v>15564</v>
      </c>
      <c r="L107" t="s">
        <v>90</v>
      </c>
      <c r="M107" t="s">
        <v>48</v>
      </c>
      <c r="N107" t="s">
        <v>38</v>
      </c>
      <c r="O107" t="s">
        <v>61</v>
      </c>
      <c r="P107" t="s">
        <v>98</v>
      </c>
      <c r="Q107">
        <v>1</v>
      </c>
      <c r="R107" s="2">
        <v>44848</v>
      </c>
      <c r="S107">
        <v>3</v>
      </c>
      <c r="T107">
        <v>4</v>
      </c>
      <c r="U107">
        <v>2</v>
      </c>
      <c r="V107" s="1">
        <v>44891</v>
      </c>
      <c r="W107" t="s">
        <v>41</v>
      </c>
      <c r="X107" t="s">
        <v>51</v>
      </c>
      <c r="Y107" t="s">
        <v>43</v>
      </c>
      <c r="Z107">
        <v>4</v>
      </c>
      <c r="AA107">
        <v>480.87</v>
      </c>
      <c r="AB107">
        <v>78</v>
      </c>
    </row>
    <row r="108" spans="1:28" x14ac:dyDescent="0.2">
      <c r="A108">
        <v>3553</v>
      </c>
      <c r="B108" s="1">
        <v>43850</v>
      </c>
      <c r="C108" t="s">
        <v>53</v>
      </c>
      <c r="D108" t="s">
        <v>81</v>
      </c>
      <c r="E108" t="s">
        <v>30</v>
      </c>
      <c r="F108" t="s">
        <v>31</v>
      </c>
      <c r="G108" t="s">
        <v>32</v>
      </c>
      <c r="H108" t="s">
        <v>33</v>
      </c>
      <c r="I108" t="s">
        <v>57</v>
      </c>
      <c r="J108" t="s">
        <v>70</v>
      </c>
      <c r="K108" s="2">
        <v>18025</v>
      </c>
      <c r="L108" t="s">
        <v>90</v>
      </c>
      <c r="M108" t="s">
        <v>48</v>
      </c>
      <c r="N108" t="s">
        <v>72</v>
      </c>
      <c r="O108" t="s">
        <v>77</v>
      </c>
      <c r="P108" t="s">
        <v>40</v>
      </c>
      <c r="Q108">
        <v>4</v>
      </c>
      <c r="R108" s="2">
        <v>44864</v>
      </c>
      <c r="S108">
        <v>4</v>
      </c>
      <c r="T108">
        <v>2</v>
      </c>
      <c r="U108">
        <v>4</v>
      </c>
      <c r="V108" s="1">
        <v>44906</v>
      </c>
      <c r="W108" t="s">
        <v>62</v>
      </c>
      <c r="X108" t="s">
        <v>42</v>
      </c>
      <c r="Y108" t="s">
        <v>52</v>
      </c>
      <c r="Z108">
        <v>5</v>
      </c>
      <c r="AA108">
        <v>689.48</v>
      </c>
      <c r="AB108">
        <v>71</v>
      </c>
    </row>
    <row r="109" spans="1:28" x14ac:dyDescent="0.2">
      <c r="A109">
        <v>3554</v>
      </c>
      <c r="B109" s="1">
        <v>43555</v>
      </c>
      <c r="C109" t="s">
        <v>53</v>
      </c>
      <c r="D109" t="s">
        <v>87</v>
      </c>
      <c r="E109" t="s">
        <v>30</v>
      </c>
      <c r="F109" t="s">
        <v>46</v>
      </c>
      <c r="G109" t="s">
        <v>32</v>
      </c>
      <c r="H109" t="s">
        <v>33</v>
      </c>
      <c r="I109" t="s">
        <v>57</v>
      </c>
      <c r="J109" t="s">
        <v>104</v>
      </c>
      <c r="K109" s="2">
        <v>21472</v>
      </c>
      <c r="L109" t="s">
        <v>86</v>
      </c>
      <c r="M109" t="s">
        <v>48</v>
      </c>
      <c r="N109" t="s">
        <v>84</v>
      </c>
      <c r="O109" t="s">
        <v>39</v>
      </c>
      <c r="P109" t="s">
        <v>40</v>
      </c>
      <c r="Q109">
        <v>1</v>
      </c>
      <c r="R109" s="2">
        <v>45084</v>
      </c>
      <c r="S109">
        <v>2</v>
      </c>
      <c r="T109">
        <v>1</v>
      </c>
      <c r="U109">
        <v>2</v>
      </c>
      <c r="V109" s="1">
        <v>45082</v>
      </c>
      <c r="W109" t="s">
        <v>62</v>
      </c>
      <c r="X109" t="s">
        <v>42</v>
      </c>
      <c r="Y109" t="s">
        <v>63</v>
      </c>
      <c r="Z109">
        <v>4</v>
      </c>
      <c r="AA109">
        <v>283.33</v>
      </c>
      <c r="AB109">
        <v>61</v>
      </c>
    </row>
    <row r="110" spans="1:28" x14ac:dyDescent="0.2">
      <c r="A110">
        <v>3555</v>
      </c>
      <c r="B110" s="1">
        <v>44932</v>
      </c>
      <c r="C110" t="s">
        <v>53</v>
      </c>
      <c r="D110" t="s">
        <v>44</v>
      </c>
      <c r="E110" t="s">
        <v>30</v>
      </c>
      <c r="F110" t="s">
        <v>55</v>
      </c>
      <c r="G110" t="s">
        <v>32</v>
      </c>
      <c r="H110" t="s">
        <v>33</v>
      </c>
      <c r="I110" t="s">
        <v>57</v>
      </c>
      <c r="J110" t="s">
        <v>75</v>
      </c>
      <c r="K110" s="2">
        <v>32153</v>
      </c>
      <c r="L110" t="s">
        <v>86</v>
      </c>
      <c r="M110" t="s">
        <v>37</v>
      </c>
      <c r="N110" t="s">
        <v>49</v>
      </c>
      <c r="O110" t="s">
        <v>39</v>
      </c>
      <c r="P110" t="s">
        <v>40</v>
      </c>
      <c r="Q110">
        <v>4</v>
      </c>
      <c r="R110" s="2">
        <v>44939</v>
      </c>
      <c r="S110">
        <v>2</v>
      </c>
      <c r="T110">
        <v>5</v>
      </c>
      <c r="U110">
        <v>1</v>
      </c>
      <c r="V110" s="1">
        <v>44989</v>
      </c>
      <c r="W110" t="s">
        <v>41</v>
      </c>
      <c r="X110" t="s">
        <v>51</v>
      </c>
      <c r="Y110" t="s">
        <v>73</v>
      </c>
      <c r="Z110">
        <v>4</v>
      </c>
      <c r="AA110">
        <v>566.12</v>
      </c>
      <c r="AB110">
        <v>35</v>
      </c>
    </row>
    <row r="111" spans="1:28" x14ac:dyDescent="0.2">
      <c r="A111">
        <v>3556</v>
      </c>
      <c r="B111" s="1">
        <v>43664</v>
      </c>
      <c r="C111" t="s">
        <v>53</v>
      </c>
      <c r="D111" t="s">
        <v>29</v>
      </c>
      <c r="E111" t="s">
        <v>30</v>
      </c>
      <c r="F111" t="s">
        <v>55</v>
      </c>
      <c r="G111" t="s">
        <v>56</v>
      </c>
      <c r="H111" t="s">
        <v>33</v>
      </c>
      <c r="I111" t="s">
        <v>57</v>
      </c>
      <c r="J111" t="s">
        <v>101</v>
      </c>
      <c r="K111" s="2">
        <v>22448</v>
      </c>
      <c r="L111" t="s">
        <v>76</v>
      </c>
      <c r="M111" t="s">
        <v>48</v>
      </c>
      <c r="N111" t="s">
        <v>38</v>
      </c>
      <c r="O111" t="s">
        <v>61</v>
      </c>
      <c r="P111" t="s">
        <v>78</v>
      </c>
      <c r="Q111">
        <v>2</v>
      </c>
      <c r="R111" s="2">
        <v>45088</v>
      </c>
      <c r="S111">
        <v>2</v>
      </c>
      <c r="T111">
        <v>2</v>
      </c>
      <c r="U111">
        <v>3</v>
      </c>
      <c r="V111" s="1">
        <v>44968</v>
      </c>
      <c r="W111" t="s">
        <v>50</v>
      </c>
      <c r="X111" t="s">
        <v>42</v>
      </c>
      <c r="Y111" t="s">
        <v>52</v>
      </c>
      <c r="Z111">
        <v>1</v>
      </c>
      <c r="AA111">
        <v>513.91999999999996</v>
      </c>
      <c r="AB111">
        <v>58</v>
      </c>
    </row>
    <row r="112" spans="1:28" x14ac:dyDescent="0.2">
      <c r="A112">
        <v>3557</v>
      </c>
      <c r="B112" s="1">
        <v>43509</v>
      </c>
      <c r="C112" t="s">
        <v>53</v>
      </c>
      <c r="D112" t="s">
        <v>69</v>
      </c>
      <c r="E112" t="s">
        <v>30</v>
      </c>
      <c r="F112" t="s">
        <v>46</v>
      </c>
      <c r="G112" t="s">
        <v>32</v>
      </c>
      <c r="H112" t="s">
        <v>33</v>
      </c>
      <c r="I112" t="s">
        <v>57</v>
      </c>
      <c r="J112" t="s">
        <v>70</v>
      </c>
      <c r="K112" s="2">
        <v>22073</v>
      </c>
      <c r="L112" t="s">
        <v>36</v>
      </c>
      <c r="M112" t="s">
        <v>48</v>
      </c>
      <c r="N112" t="s">
        <v>60</v>
      </c>
      <c r="O112" t="s">
        <v>61</v>
      </c>
      <c r="P112" t="s">
        <v>40</v>
      </c>
      <c r="Q112">
        <v>2</v>
      </c>
      <c r="R112" s="2">
        <v>45036</v>
      </c>
      <c r="S112">
        <v>4</v>
      </c>
      <c r="T112">
        <v>5</v>
      </c>
      <c r="U112">
        <v>2</v>
      </c>
      <c r="V112" s="1">
        <v>44961</v>
      </c>
      <c r="W112" t="s">
        <v>62</v>
      </c>
      <c r="X112" t="s">
        <v>51</v>
      </c>
      <c r="Y112" t="s">
        <v>43</v>
      </c>
      <c r="Z112">
        <v>1</v>
      </c>
      <c r="AA112">
        <v>210.38</v>
      </c>
      <c r="AB112">
        <v>59</v>
      </c>
    </row>
    <row r="113" spans="1:28" x14ac:dyDescent="0.2">
      <c r="A113">
        <v>3558</v>
      </c>
      <c r="B113" s="1">
        <v>43464</v>
      </c>
      <c r="C113" t="s">
        <v>28</v>
      </c>
      <c r="D113" t="s">
        <v>87</v>
      </c>
      <c r="E113" t="s">
        <v>30</v>
      </c>
      <c r="F113" t="s">
        <v>46</v>
      </c>
      <c r="G113" t="s">
        <v>45</v>
      </c>
      <c r="H113" t="s">
        <v>46</v>
      </c>
      <c r="I113" t="s">
        <v>34</v>
      </c>
      <c r="J113" t="s">
        <v>105</v>
      </c>
      <c r="K113" s="2">
        <v>21705</v>
      </c>
      <c r="L113" t="s">
        <v>36</v>
      </c>
      <c r="M113" t="s">
        <v>37</v>
      </c>
      <c r="N113" t="s">
        <v>72</v>
      </c>
      <c r="O113" t="s">
        <v>61</v>
      </c>
      <c r="P113" t="s">
        <v>40</v>
      </c>
      <c r="Q113">
        <v>1</v>
      </c>
      <c r="R113" s="2">
        <v>44839</v>
      </c>
      <c r="S113">
        <v>2</v>
      </c>
      <c r="T113">
        <v>5</v>
      </c>
      <c r="U113">
        <v>3</v>
      </c>
      <c r="V113" s="1">
        <v>45125</v>
      </c>
      <c r="W113" t="s">
        <v>68</v>
      </c>
      <c r="X113" t="s">
        <v>42</v>
      </c>
      <c r="Y113" t="s">
        <v>63</v>
      </c>
      <c r="Z113">
        <v>1</v>
      </c>
      <c r="AA113">
        <v>941.54</v>
      </c>
      <c r="AB113">
        <v>59</v>
      </c>
    </row>
    <row r="114" spans="1:28" x14ac:dyDescent="0.2">
      <c r="A114">
        <v>3559</v>
      </c>
      <c r="B114" s="1">
        <v>43775</v>
      </c>
      <c r="C114" t="s">
        <v>28</v>
      </c>
      <c r="D114" t="s">
        <v>81</v>
      </c>
      <c r="E114" t="s">
        <v>30</v>
      </c>
      <c r="F114" t="s">
        <v>46</v>
      </c>
      <c r="G114" t="s">
        <v>32</v>
      </c>
      <c r="H114" t="s">
        <v>55</v>
      </c>
      <c r="I114" t="s">
        <v>34</v>
      </c>
      <c r="J114" t="s">
        <v>70</v>
      </c>
      <c r="K114" s="2">
        <v>33560</v>
      </c>
      <c r="L114" t="s">
        <v>36</v>
      </c>
      <c r="M114" t="s">
        <v>48</v>
      </c>
      <c r="N114" t="s">
        <v>38</v>
      </c>
      <c r="O114" t="s">
        <v>61</v>
      </c>
      <c r="P114" t="s">
        <v>40</v>
      </c>
      <c r="Q114">
        <v>2</v>
      </c>
      <c r="R114" s="2">
        <v>44922</v>
      </c>
      <c r="S114">
        <v>3</v>
      </c>
      <c r="T114">
        <v>2</v>
      </c>
      <c r="U114">
        <v>1</v>
      </c>
      <c r="V114" s="1">
        <v>44895</v>
      </c>
      <c r="W114" t="s">
        <v>62</v>
      </c>
      <c r="X114" t="s">
        <v>51</v>
      </c>
      <c r="Y114" t="s">
        <v>43</v>
      </c>
      <c r="Z114">
        <v>2</v>
      </c>
      <c r="AA114">
        <v>959.81</v>
      </c>
      <c r="AB114">
        <v>28</v>
      </c>
    </row>
    <row r="115" spans="1:28" x14ac:dyDescent="0.2">
      <c r="A115">
        <v>3560</v>
      </c>
      <c r="B115" s="1">
        <v>44713</v>
      </c>
      <c r="C115" t="s">
        <v>28</v>
      </c>
      <c r="D115" t="s">
        <v>87</v>
      </c>
      <c r="E115" t="s">
        <v>30</v>
      </c>
      <c r="F115" t="s">
        <v>31</v>
      </c>
      <c r="G115" t="s">
        <v>32</v>
      </c>
      <c r="H115" t="s">
        <v>55</v>
      </c>
      <c r="I115" t="s">
        <v>34</v>
      </c>
      <c r="J115" t="s">
        <v>70</v>
      </c>
      <c r="K115" s="2">
        <v>19773</v>
      </c>
      <c r="L115" t="s">
        <v>36</v>
      </c>
      <c r="M115" t="s">
        <v>37</v>
      </c>
      <c r="N115" t="s">
        <v>84</v>
      </c>
      <c r="O115" t="s">
        <v>77</v>
      </c>
      <c r="P115" t="s">
        <v>78</v>
      </c>
      <c r="Q115">
        <v>4</v>
      </c>
      <c r="R115" s="2">
        <v>44935</v>
      </c>
      <c r="S115">
        <v>2</v>
      </c>
      <c r="T115">
        <v>4</v>
      </c>
      <c r="U115">
        <v>5</v>
      </c>
      <c r="V115" s="1">
        <v>45068</v>
      </c>
      <c r="W115" t="s">
        <v>68</v>
      </c>
      <c r="X115" t="s">
        <v>51</v>
      </c>
      <c r="Y115" t="s">
        <v>73</v>
      </c>
      <c r="Z115">
        <v>1</v>
      </c>
      <c r="AA115">
        <v>738.92</v>
      </c>
      <c r="AB115">
        <v>68</v>
      </c>
    </row>
    <row r="116" spans="1:28" x14ac:dyDescent="0.2">
      <c r="A116">
        <v>3561</v>
      </c>
      <c r="B116" s="1">
        <v>45013</v>
      </c>
      <c r="C116" t="s">
        <v>106</v>
      </c>
      <c r="D116" t="s">
        <v>69</v>
      </c>
      <c r="E116" t="s">
        <v>30</v>
      </c>
      <c r="F116" t="s">
        <v>46</v>
      </c>
      <c r="G116" t="s">
        <v>32</v>
      </c>
      <c r="H116" t="s">
        <v>33</v>
      </c>
      <c r="I116" t="s">
        <v>34</v>
      </c>
      <c r="J116" t="s">
        <v>65</v>
      </c>
      <c r="K116" s="2">
        <v>21581</v>
      </c>
      <c r="L116" t="s">
        <v>36</v>
      </c>
      <c r="M116" t="s">
        <v>37</v>
      </c>
      <c r="N116" t="s">
        <v>38</v>
      </c>
      <c r="O116" t="s">
        <v>67</v>
      </c>
      <c r="P116" t="s">
        <v>40</v>
      </c>
      <c r="Q116">
        <v>5</v>
      </c>
      <c r="R116" s="2">
        <v>44885</v>
      </c>
      <c r="S116">
        <v>2</v>
      </c>
      <c r="T116">
        <v>1</v>
      </c>
      <c r="U116">
        <v>5</v>
      </c>
      <c r="V116" s="1">
        <v>44811</v>
      </c>
      <c r="W116" t="s">
        <v>68</v>
      </c>
      <c r="X116" t="s">
        <v>51</v>
      </c>
      <c r="Y116" t="s">
        <v>43</v>
      </c>
      <c r="Z116">
        <v>5</v>
      </c>
      <c r="AA116">
        <v>445.04</v>
      </c>
      <c r="AB116">
        <v>64</v>
      </c>
    </row>
    <row r="117" spans="1:28" x14ac:dyDescent="0.2">
      <c r="A117">
        <v>3563</v>
      </c>
      <c r="B117" s="1">
        <v>43466</v>
      </c>
      <c r="C117" t="s">
        <v>28</v>
      </c>
      <c r="D117" t="s">
        <v>74</v>
      </c>
      <c r="E117" t="s">
        <v>30</v>
      </c>
      <c r="F117" t="s">
        <v>31</v>
      </c>
      <c r="G117" t="s">
        <v>56</v>
      </c>
      <c r="H117" t="s">
        <v>55</v>
      </c>
      <c r="I117" t="s">
        <v>34</v>
      </c>
      <c r="J117" t="s">
        <v>70</v>
      </c>
      <c r="K117" s="2">
        <v>17090</v>
      </c>
      <c r="L117" t="s">
        <v>36</v>
      </c>
      <c r="M117" t="s">
        <v>48</v>
      </c>
      <c r="N117" t="s">
        <v>72</v>
      </c>
      <c r="O117" t="s">
        <v>39</v>
      </c>
      <c r="P117" t="s">
        <v>107</v>
      </c>
      <c r="Q117">
        <v>4</v>
      </c>
      <c r="R117" s="2">
        <v>44957</v>
      </c>
      <c r="S117">
        <v>4</v>
      </c>
      <c r="T117">
        <v>1</v>
      </c>
      <c r="U117">
        <v>3</v>
      </c>
      <c r="V117" s="1">
        <v>45022</v>
      </c>
      <c r="W117" t="s">
        <v>41</v>
      </c>
      <c r="X117" t="s">
        <v>51</v>
      </c>
      <c r="Y117" t="s">
        <v>73</v>
      </c>
      <c r="Z117">
        <v>4</v>
      </c>
      <c r="AA117">
        <v>886.9</v>
      </c>
      <c r="AB117">
        <v>73</v>
      </c>
    </row>
    <row r="118" spans="1:28" x14ac:dyDescent="0.2">
      <c r="A118">
        <v>3564</v>
      </c>
      <c r="B118" s="1">
        <v>43491</v>
      </c>
      <c r="C118" t="s">
        <v>106</v>
      </c>
      <c r="D118" t="s">
        <v>85</v>
      </c>
      <c r="E118" t="s">
        <v>108</v>
      </c>
      <c r="F118" t="s">
        <v>55</v>
      </c>
      <c r="G118" t="s">
        <v>32</v>
      </c>
      <c r="H118" t="s">
        <v>33</v>
      </c>
      <c r="I118" t="s">
        <v>34</v>
      </c>
      <c r="J118" t="s">
        <v>47</v>
      </c>
      <c r="K118" s="2">
        <v>34645</v>
      </c>
      <c r="L118" t="s">
        <v>36</v>
      </c>
      <c r="M118" t="s">
        <v>37</v>
      </c>
      <c r="N118" t="s">
        <v>38</v>
      </c>
      <c r="O118" t="s">
        <v>77</v>
      </c>
      <c r="P118" t="s">
        <v>40</v>
      </c>
      <c r="Q118">
        <v>1</v>
      </c>
      <c r="R118" s="2">
        <v>44997</v>
      </c>
      <c r="S118">
        <v>4</v>
      </c>
      <c r="T118">
        <v>4</v>
      </c>
      <c r="U118">
        <v>3</v>
      </c>
      <c r="V118" s="1">
        <v>44905</v>
      </c>
      <c r="W118" t="s">
        <v>68</v>
      </c>
      <c r="X118" t="s">
        <v>51</v>
      </c>
      <c r="Y118" t="s">
        <v>52</v>
      </c>
      <c r="Z118">
        <v>4</v>
      </c>
      <c r="AA118">
        <v>106.14</v>
      </c>
      <c r="AB118">
        <v>25</v>
      </c>
    </row>
    <row r="119" spans="1:28" x14ac:dyDescent="0.2">
      <c r="A119">
        <v>3565</v>
      </c>
      <c r="B119" s="1">
        <v>44450</v>
      </c>
      <c r="C119" t="s">
        <v>28</v>
      </c>
      <c r="D119" t="s">
        <v>74</v>
      </c>
      <c r="E119" t="s">
        <v>30</v>
      </c>
      <c r="F119" t="s">
        <v>46</v>
      </c>
      <c r="G119" t="s">
        <v>56</v>
      </c>
      <c r="H119" t="s">
        <v>55</v>
      </c>
      <c r="I119" t="s">
        <v>34</v>
      </c>
      <c r="J119" t="s">
        <v>65</v>
      </c>
      <c r="K119" s="2">
        <v>24968</v>
      </c>
      <c r="L119" t="s">
        <v>36</v>
      </c>
      <c r="M119" t="s">
        <v>48</v>
      </c>
      <c r="N119" t="s">
        <v>60</v>
      </c>
      <c r="O119" t="s">
        <v>77</v>
      </c>
      <c r="P119" t="s">
        <v>40</v>
      </c>
      <c r="Q119">
        <v>4</v>
      </c>
      <c r="R119" s="2">
        <v>44833</v>
      </c>
      <c r="S119">
        <v>5</v>
      </c>
      <c r="T119">
        <v>5</v>
      </c>
      <c r="U119">
        <v>5</v>
      </c>
      <c r="V119" s="1">
        <v>45052</v>
      </c>
      <c r="W119" t="s">
        <v>62</v>
      </c>
      <c r="X119" t="s">
        <v>51</v>
      </c>
      <c r="Y119" t="s">
        <v>73</v>
      </c>
      <c r="Z119">
        <v>4</v>
      </c>
      <c r="AA119">
        <v>684.35</v>
      </c>
      <c r="AB119">
        <v>53</v>
      </c>
    </row>
    <row r="120" spans="1:28" x14ac:dyDescent="0.2">
      <c r="A120">
        <v>3566</v>
      </c>
      <c r="B120" s="1">
        <v>44465</v>
      </c>
      <c r="C120" t="s">
        <v>106</v>
      </c>
      <c r="D120" t="s">
        <v>54</v>
      </c>
      <c r="E120" t="s">
        <v>30</v>
      </c>
      <c r="F120" t="s">
        <v>46</v>
      </c>
      <c r="G120" t="s">
        <v>45</v>
      </c>
      <c r="H120" t="s">
        <v>46</v>
      </c>
      <c r="I120" t="s">
        <v>34</v>
      </c>
      <c r="J120" t="s">
        <v>47</v>
      </c>
      <c r="K120" s="2">
        <v>23289</v>
      </c>
      <c r="L120" t="s">
        <v>36</v>
      </c>
      <c r="M120" t="s">
        <v>48</v>
      </c>
      <c r="N120" t="s">
        <v>72</v>
      </c>
      <c r="O120" t="s">
        <v>61</v>
      </c>
      <c r="P120" t="s">
        <v>40</v>
      </c>
      <c r="Q120">
        <v>2</v>
      </c>
      <c r="R120" s="2">
        <v>44953</v>
      </c>
      <c r="S120">
        <v>1</v>
      </c>
      <c r="T120">
        <v>2</v>
      </c>
      <c r="U120">
        <v>3</v>
      </c>
      <c r="V120" s="1">
        <v>44809</v>
      </c>
      <c r="W120" t="s">
        <v>92</v>
      </c>
      <c r="X120" t="s">
        <v>42</v>
      </c>
      <c r="Y120" t="s">
        <v>43</v>
      </c>
      <c r="Z120">
        <v>2</v>
      </c>
      <c r="AA120">
        <v>578.80999999999995</v>
      </c>
      <c r="AB120">
        <v>58</v>
      </c>
    </row>
    <row r="121" spans="1:28" x14ac:dyDescent="0.2">
      <c r="A121">
        <v>3567</v>
      </c>
      <c r="B121" s="1">
        <v>44989</v>
      </c>
      <c r="C121" t="s">
        <v>28</v>
      </c>
      <c r="D121" t="s">
        <v>44</v>
      </c>
      <c r="E121" t="s">
        <v>30</v>
      </c>
      <c r="F121" t="s">
        <v>55</v>
      </c>
      <c r="G121" t="s">
        <v>32</v>
      </c>
      <c r="H121" t="s">
        <v>55</v>
      </c>
      <c r="I121" t="s">
        <v>34</v>
      </c>
      <c r="J121" t="s">
        <v>58</v>
      </c>
      <c r="K121" s="2">
        <v>24352</v>
      </c>
      <c r="L121" t="s">
        <v>36</v>
      </c>
      <c r="M121" t="s">
        <v>48</v>
      </c>
      <c r="N121" t="s">
        <v>84</v>
      </c>
      <c r="O121" t="s">
        <v>39</v>
      </c>
      <c r="P121" t="s">
        <v>40</v>
      </c>
      <c r="Q121">
        <v>4</v>
      </c>
      <c r="R121" s="2">
        <v>45142</v>
      </c>
      <c r="S121">
        <v>2</v>
      </c>
      <c r="T121">
        <v>3</v>
      </c>
      <c r="U121">
        <v>2</v>
      </c>
      <c r="V121" s="1">
        <v>45086</v>
      </c>
      <c r="W121" t="s">
        <v>50</v>
      </c>
      <c r="X121" t="s">
        <v>42</v>
      </c>
      <c r="Y121" t="s">
        <v>63</v>
      </c>
      <c r="Z121">
        <v>5</v>
      </c>
      <c r="AA121">
        <v>764.51</v>
      </c>
      <c r="AB121">
        <v>57</v>
      </c>
    </row>
    <row r="122" spans="1:28" x14ac:dyDescent="0.2">
      <c r="A122">
        <v>3568</v>
      </c>
      <c r="B122" s="1">
        <v>45118</v>
      </c>
      <c r="C122" t="s">
        <v>28</v>
      </c>
      <c r="D122" t="s">
        <v>44</v>
      </c>
      <c r="E122" t="s">
        <v>108</v>
      </c>
      <c r="F122" t="s">
        <v>55</v>
      </c>
      <c r="G122" t="s">
        <v>56</v>
      </c>
      <c r="H122" t="s">
        <v>46</v>
      </c>
      <c r="I122" t="s">
        <v>34</v>
      </c>
      <c r="J122" t="s">
        <v>70</v>
      </c>
      <c r="K122" s="2">
        <v>27371</v>
      </c>
      <c r="L122" t="s">
        <v>36</v>
      </c>
      <c r="M122" t="s">
        <v>48</v>
      </c>
      <c r="N122" t="s">
        <v>84</v>
      </c>
      <c r="O122" t="s">
        <v>77</v>
      </c>
      <c r="P122" t="s">
        <v>40</v>
      </c>
      <c r="Q122">
        <v>2</v>
      </c>
      <c r="R122" s="2">
        <v>44964</v>
      </c>
      <c r="S122">
        <v>2</v>
      </c>
      <c r="T122">
        <v>4</v>
      </c>
      <c r="U122">
        <v>1</v>
      </c>
      <c r="V122" s="1">
        <v>44796</v>
      </c>
      <c r="W122" t="s">
        <v>62</v>
      </c>
      <c r="X122" t="s">
        <v>42</v>
      </c>
      <c r="Y122" t="s">
        <v>52</v>
      </c>
      <c r="Z122">
        <v>2</v>
      </c>
      <c r="AA122">
        <v>201.76</v>
      </c>
      <c r="AB122">
        <v>49</v>
      </c>
    </row>
    <row r="123" spans="1:28" x14ac:dyDescent="0.2">
      <c r="A123">
        <v>3569</v>
      </c>
      <c r="B123" s="1">
        <v>43505</v>
      </c>
      <c r="C123" t="s">
        <v>28</v>
      </c>
      <c r="D123" t="s">
        <v>87</v>
      </c>
      <c r="E123" t="s">
        <v>30</v>
      </c>
      <c r="F123" t="s">
        <v>46</v>
      </c>
      <c r="G123" t="s">
        <v>56</v>
      </c>
      <c r="H123" t="s">
        <v>33</v>
      </c>
      <c r="I123" t="s">
        <v>34</v>
      </c>
      <c r="J123" t="s">
        <v>102</v>
      </c>
      <c r="K123" s="2">
        <v>34899</v>
      </c>
      <c r="L123" t="s">
        <v>36</v>
      </c>
      <c r="M123" t="s">
        <v>37</v>
      </c>
      <c r="N123" t="s">
        <v>49</v>
      </c>
      <c r="O123" t="s">
        <v>77</v>
      </c>
      <c r="P123" t="s">
        <v>40</v>
      </c>
      <c r="Q123">
        <v>2</v>
      </c>
      <c r="R123" s="2">
        <v>44919</v>
      </c>
      <c r="S123">
        <v>1</v>
      </c>
      <c r="T123">
        <v>3</v>
      </c>
      <c r="U123">
        <v>5</v>
      </c>
      <c r="V123" s="1">
        <v>44874</v>
      </c>
      <c r="W123" t="s">
        <v>68</v>
      </c>
      <c r="X123" t="s">
        <v>51</v>
      </c>
      <c r="Y123" t="s">
        <v>52</v>
      </c>
      <c r="Z123">
        <v>4</v>
      </c>
      <c r="AA123">
        <v>730.04</v>
      </c>
      <c r="AB123">
        <v>24</v>
      </c>
    </row>
    <row r="124" spans="1:28" x14ac:dyDescent="0.2">
      <c r="A124">
        <v>3570</v>
      </c>
      <c r="B124" s="1">
        <v>43574</v>
      </c>
      <c r="C124" t="s">
        <v>106</v>
      </c>
      <c r="D124" t="s">
        <v>64</v>
      </c>
      <c r="E124" t="s">
        <v>108</v>
      </c>
      <c r="F124" t="s">
        <v>55</v>
      </c>
      <c r="G124" t="s">
        <v>56</v>
      </c>
      <c r="H124" t="s">
        <v>33</v>
      </c>
      <c r="I124" t="s">
        <v>34</v>
      </c>
      <c r="J124" t="s">
        <v>97</v>
      </c>
      <c r="K124" s="2">
        <v>27356</v>
      </c>
      <c r="L124" t="s">
        <v>36</v>
      </c>
      <c r="M124" t="s">
        <v>37</v>
      </c>
      <c r="N124" t="s">
        <v>84</v>
      </c>
      <c r="O124" t="s">
        <v>67</v>
      </c>
      <c r="P124" t="s">
        <v>40</v>
      </c>
      <c r="Q124">
        <v>1</v>
      </c>
      <c r="R124" s="2">
        <v>44928</v>
      </c>
      <c r="S124">
        <v>2</v>
      </c>
      <c r="T124">
        <v>5</v>
      </c>
      <c r="U124">
        <v>3</v>
      </c>
      <c r="V124" s="1">
        <v>45014</v>
      </c>
      <c r="W124" t="s">
        <v>62</v>
      </c>
      <c r="X124" t="s">
        <v>51</v>
      </c>
      <c r="Y124" t="s">
        <v>43</v>
      </c>
      <c r="Z124">
        <v>2</v>
      </c>
      <c r="AA124">
        <v>796.88</v>
      </c>
      <c r="AB124">
        <v>45</v>
      </c>
    </row>
    <row r="125" spans="1:28" x14ac:dyDescent="0.2">
      <c r="A125">
        <v>3571</v>
      </c>
      <c r="B125" s="1">
        <v>44749</v>
      </c>
      <c r="C125" t="s">
        <v>28</v>
      </c>
      <c r="D125" t="s">
        <v>81</v>
      </c>
      <c r="E125" t="s">
        <v>108</v>
      </c>
      <c r="F125" t="s">
        <v>46</v>
      </c>
      <c r="G125" t="s">
        <v>32</v>
      </c>
      <c r="H125" t="s">
        <v>55</v>
      </c>
      <c r="I125" t="s">
        <v>34</v>
      </c>
      <c r="J125" t="s">
        <v>70</v>
      </c>
      <c r="K125" s="2">
        <v>17408</v>
      </c>
      <c r="L125" t="s">
        <v>36</v>
      </c>
      <c r="M125" t="s">
        <v>37</v>
      </c>
      <c r="N125" t="s">
        <v>38</v>
      </c>
      <c r="O125" t="s">
        <v>39</v>
      </c>
      <c r="P125" t="s">
        <v>40</v>
      </c>
      <c r="Q125">
        <v>4</v>
      </c>
      <c r="R125" s="2">
        <v>44888</v>
      </c>
      <c r="S125">
        <v>4</v>
      </c>
      <c r="T125">
        <v>1</v>
      </c>
      <c r="U125">
        <v>5</v>
      </c>
      <c r="V125" s="1">
        <v>45142</v>
      </c>
      <c r="W125" t="s">
        <v>62</v>
      </c>
      <c r="X125" t="s">
        <v>51</v>
      </c>
      <c r="Y125" t="s">
        <v>63</v>
      </c>
      <c r="Z125">
        <v>3</v>
      </c>
      <c r="AA125">
        <v>834.44</v>
      </c>
      <c r="AB125">
        <v>75</v>
      </c>
    </row>
    <row r="126" spans="1:28" x14ac:dyDescent="0.2">
      <c r="A126">
        <v>3572</v>
      </c>
      <c r="B126" s="1">
        <v>43536</v>
      </c>
      <c r="C126" t="s">
        <v>28</v>
      </c>
      <c r="D126" t="s">
        <v>74</v>
      </c>
      <c r="E126" t="s">
        <v>30</v>
      </c>
      <c r="F126" t="s">
        <v>31</v>
      </c>
      <c r="G126" t="s">
        <v>45</v>
      </c>
      <c r="H126" t="s">
        <v>46</v>
      </c>
      <c r="I126" t="s">
        <v>34</v>
      </c>
      <c r="J126" t="s">
        <v>97</v>
      </c>
      <c r="K126" s="2">
        <v>34492</v>
      </c>
      <c r="L126" t="s">
        <v>36</v>
      </c>
      <c r="M126" t="s">
        <v>48</v>
      </c>
      <c r="N126" t="s">
        <v>38</v>
      </c>
      <c r="O126" t="s">
        <v>61</v>
      </c>
      <c r="P126" t="s">
        <v>40</v>
      </c>
      <c r="Q126">
        <v>5</v>
      </c>
      <c r="R126" s="2">
        <v>44900</v>
      </c>
      <c r="S126">
        <v>5</v>
      </c>
      <c r="T126">
        <v>5</v>
      </c>
      <c r="U126">
        <v>5</v>
      </c>
      <c r="V126" s="1">
        <v>45065</v>
      </c>
      <c r="W126" t="s">
        <v>41</v>
      </c>
      <c r="X126" t="s">
        <v>42</v>
      </c>
      <c r="Y126" t="s">
        <v>43</v>
      </c>
      <c r="Z126">
        <v>5</v>
      </c>
      <c r="AA126">
        <v>569.16999999999996</v>
      </c>
      <c r="AB126">
        <v>25</v>
      </c>
    </row>
    <row r="127" spans="1:28" x14ac:dyDescent="0.2">
      <c r="A127">
        <v>3573</v>
      </c>
      <c r="B127" s="1">
        <v>43899</v>
      </c>
      <c r="C127" t="s">
        <v>28</v>
      </c>
      <c r="D127" t="s">
        <v>81</v>
      </c>
      <c r="E127" t="s">
        <v>30</v>
      </c>
      <c r="F127" t="s">
        <v>31</v>
      </c>
      <c r="G127" t="s">
        <v>56</v>
      </c>
      <c r="H127" t="s">
        <v>55</v>
      </c>
      <c r="I127" t="s">
        <v>34</v>
      </c>
      <c r="J127" t="s">
        <v>70</v>
      </c>
      <c r="K127" s="2">
        <v>30615</v>
      </c>
      <c r="L127" t="s">
        <v>36</v>
      </c>
      <c r="M127" t="s">
        <v>37</v>
      </c>
      <c r="N127" t="s">
        <v>84</v>
      </c>
      <c r="O127" t="s">
        <v>77</v>
      </c>
      <c r="P127" t="s">
        <v>78</v>
      </c>
      <c r="Q127">
        <v>4</v>
      </c>
      <c r="R127" s="2">
        <v>44926</v>
      </c>
      <c r="S127">
        <v>4</v>
      </c>
      <c r="T127">
        <v>1</v>
      </c>
      <c r="U127">
        <v>1</v>
      </c>
      <c r="V127" s="1">
        <v>44840</v>
      </c>
      <c r="W127" t="s">
        <v>50</v>
      </c>
      <c r="X127" t="s">
        <v>42</v>
      </c>
      <c r="Y127" t="s">
        <v>63</v>
      </c>
      <c r="Z127">
        <v>4</v>
      </c>
      <c r="AA127">
        <v>386.07</v>
      </c>
      <c r="AB127">
        <v>37</v>
      </c>
    </row>
    <row r="128" spans="1:28" x14ac:dyDescent="0.2">
      <c r="A128">
        <v>3575</v>
      </c>
      <c r="B128" s="1">
        <v>44314</v>
      </c>
      <c r="C128" t="s">
        <v>28</v>
      </c>
      <c r="D128" t="s">
        <v>87</v>
      </c>
      <c r="E128" t="s">
        <v>108</v>
      </c>
      <c r="F128" t="s">
        <v>46</v>
      </c>
      <c r="G128" t="s">
        <v>45</v>
      </c>
      <c r="H128" t="s">
        <v>33</v>
      </c>
      <c r="I128" t="s">
        <v>34</v>
      </c>
      <c r="J128" t="s">
        <v>70</v>
      </c>
      <c r="K128" s="2">
        <v>31841</v>
      </c>
      <c r="L128" t="s">
        <v>36</v>
      </c>
      <c r="M128" t="s">
        <v>48</v>
      </c>
      <c r="N128" t="s">
        <v>49</v>
      </c>
      <c r="O128" t="s">
        <v>61</v>
      </c>
      <c r="P128" t="s">
        <v>78</v>
      </c>
      <c r="Q128">
        <v>5</v>
      </c>
      <c r="R128" s="2">
        <v>45103</v>
      </c>
      <c r="S128">
        <v>5</v>
      </c>
      <c r="T128">
        <v>1</v>
      </c>
      <c r="U128">
        <v>5</v>
      </c>
      <c r="V128" s="1">
        <v>44907</v>
      </c>
      <c r="W128" t="s">
        <v>68</v>
      </c>
      <c r="X128" t="s">
        <v>42</v>
      </c>
      <c r="Y128" t="s">
        <v>52</v>
      </c>
      <c r="Z128">
        <v>3</v>
      </c>
      <c r="AA128">
        <v>583.21</v>
      </c>
      <c r="AB128">
        <v>34</v>
      </c>
    </row>
    <row r="129" spans="1:28" x14ac:dyDescent="0.2">
      <c r="A129">
        <v>3576</v>
      </c>
      <c r="B129" s="1">
        <v>44398</v>
      </c>
      <c r="C129" t="s">
        <v>106</v>
      </c>
      <c r="D129" t="s">
        <v>54</v>
      </c>
      <c r="E129" t="s">
        <v>30</v>
      </c>
      <c r="F129" t="s">
        <v>55</v>
      </c>
      <c r="G129" t="s">
        <v>56</v>
      </c>
      <c r="H129" t="s">
        <v>55</v>
      </c>
      <c r="I129" t="s">
        <v>34</v>
      </c>
      <c r="J129" t="s">
        <v>79</v>
      </c>
      <c r="K129" s="2">
        <v>33720</v>
      </c>
      <c r="L129" t="s">
        <v>36</v>
      </c>
      <c r="M129" t="s">
        <v>37</v>
      </c>
      <c r="N129" t="s">
        <v>84</v>
      </c>
      <c r="O129" t="s">
        <v>61</v>
      </c>
      <c r="P129" t="s">
        <v>78</v>
      </c>
      <c r="Q129">
        <v>4</v>
      </c>
      <c r="R129" s="2">
        <v>45008</v>
      </c>
      <c r="S129">
        <v>2</v>
      </c>
      <c r="T129">
        <v>3</v>
      </c>
      <c r="U129">
        <v>3</v>
      </c>
      <c r="V129" s="1">
        <v>44959</v>
      </c>
      <c r="W129" t="s">
        <v>62</v>
      </c>
      <c r="X129" t="s">
        <v>51</v>
      </c>
      <c r="Y129" t="s">
        <v>63</v>
      </c>
      <c r="Z129">
        <v>5</v>
      </c>
      <c r="AA129">
        <v>398.65</v>
      </c>
      <c r="AB129">
        <v>29</v>
      </c>
    </row>
    <row r="130" spans="1:28" x14ac:dyDescent="0.2">
      <c r="A130">
        <v>3577</v>
      </c>
      <c r="B130" s="1">
        <v>43723</v>
      </c>
      <c r="C130" t="s">
        <v>28</v>
      </c>
      <c r="D130" t="s">
        <v>69</v>
      </c>
      <c r="E130" t="s">
        <v>30</v>
      </c>
      <c r="F130" t="s">
        <v>46</v>
      </c>
      <c r="G130" t="s">
        <v>32</v>
      </c>
      <c r="H130" t="s">
        <v>33</v>
      </c>
      <c r="I130" t="s">
        <v>34</v>
      </c>
      <c r="J130" t="s">
        <v>70</v>
      </c>
      <c r="K130" s="2">
        <v>20970</v>
      </c>
      <c r="L130" t="s">
        <v>36</v>
      </c>
      <c r="M130" t="s">
        <v>48</v>
      </c>
      <c r="N130" t="s">
        <v>38</v>
      </c>
      <c r="O130" t="s">
        <v>39</v>
      </c>
      <c r="P130" t="s">
        <v>40</v>
      </c>
      <c r="Q130">
        <v>4</v>
      </c>
      <c r="R130" s="2">
        <v>44787</v>
      </c>
      <c r="S130">
        <v>5</v>
      </c>
      <c r="T130">
        <v>4</v>
      </c>
      <c r="U130">
        <v>5</v>
      </c>
      <c r="V130" s="1">
        <v>44952</v>
      </c>
      <c r="W130" t="s">
        <v>92</v>
      </c>
      <c r="X130" t="s">
        <v>42</v>
      </c>
      <c r="Y130" t="s">
        <v>73</v>
      </c>
      <c r="Z130">
        <v>5</v>
      </c>
      <c r="AA130">
        <v>931.46</v>
      </c>
      <c r="AB130">
        <v>62</v>
      </c>
    </row>
    <row r="131" spans="1:28" x14ac:dyDescent="0.2">
      <c r="A131">
        <v>3578</v>
      </c>
      <c r="B131" s="1">
        <v>43589</v>
      </c>
      <c r="C131" t="s">
        <v>28</v>
      </c>
      <c r="D131" t="s">
        <v>74</v>
      </c>
      <c r="E131" t="s">
        <v>30</v>
      </c>
      <c r="F131" t="s">
        <v>55</v>
      </c>
      <c r="G131" t="s">
        <v>45</v>
      </c>
      <c r="H131" t="s">
        <v>33</v>
      </c>
      <c r="I131" t="s">
        <v>34</v>
      </c>
      <c r="J131" t="s">
        <v>70</v>
      </c>
      <c r="K131" s="2">
        <v>20970</v>
      </c>
      <c r="L131" t="s">
        <v>36</v>
      </c>
      <c r="M131" t="s">
        <v>48</v>
      </c>
      <c r="N131" t="s">
        <v>49</v>
      </c>
      <c r="O131" t="s">
        <v>67</v>
      </c>
      <c r="P131" t="s">
        <v>78</v>
      </c>
      <c r="Q131">
        <v>2</v>
      </c>
      <c r="R131" s="2">
        <v>44848</v>
      </c>
      <c r="S131">
        <v>1</v>
      </c>
      <c r="T131">
        <v>4</v>
      </c>
      <c r="U131">
        <v>2</v>
      </c>
      <c r="V131" s="1">
        <v>44896</v>
      </c>
      <c r="W131" t="s">
        <v>62</v>
      </c>
      <c r="X131" t="s">
        <v>51</v>
      </c>
      <c r="Y131" t="s">
        <v>63</v>
      </c>
      <c r="Z131">
        <v>5</v>
      </c>
      <c r="AA131">
        <v>115.06</v>
      </c>
      <c r="AB131">
        <v>62</v>
      </c>
    </row>
    <row r="132" spans="1:28" x14ac:dyDescent="0.2">
      <c r="A132">
        <v>3579</v>
      </c>
      <c r="B132" s="1">
        <v>44336</v>
      </c>
      <c r="C132" t="s">
        <v>106</v>
      </c>
      <c r="D132" t="s">
        <v>69</v>
      </c>
      <c r="E132" t="s">
        <v>30</v>
      </c>
      <c r="F132" t="s">
        <v>55</v>
      </c>
      <c r="G132" t="s">
        <v>32</v>
      </c>
      <c r="H132" t="s">
        <v>46</v>
      </c>
      <c r="I132" t="s">
        <v>34</v>
      </c>
      <c r="J132" t="s">
        <v>70</v>
      </c>
      <c r="K132" s="2">
        <v>17121</v>
      </c>
      <c r="L132" t="s">
        <v>36</v>
      </c>
      <c r="M132" t="s">
        <v>37</v>
      </c>
      <c r="N132" t="s">
        <v>84</v>
      </c>
      <c r="O132" t="s">
        <v>39</v>
      </c>
      <c r="P132" t="s">
        <v>98</v>
      </c>
      <c r="Q132">
        <v>4</v>
      </c>
      <c r="R132" s="2">
        <v>45043</v>
      </c>
      <c r="S132">
        <v>5</v>
      </c>
      <c r="T132">
        <v>3</v>
      </c>
      <c r="U132">
        <v>3</v>
      </c>
      <c r="V132" s="1">
        <v>45043</v>
      </c>
      <c r="W132" t="s">
        <v>92</v>
      </c>
      <c r="X132" t="s">
        <v>51</v>
      </c>
      <c r="Y132" t="s">
        <v>43</v>
      </c>
      <c r="Z132">
        <v>2</v>
      </c>
      <c r="AA132">
        <v>199.82</v>
      </c>
      <c r="AB132">
        <v>75</v>
      </c>
    </row>
    <row r="133" spans="1:28" x14ac:dyDescent="0.2">
      <c r="A133">
        <v>3580</v>
      </c>
      <c r="B133" s="1">
        <v>43815</v>
      </c>
      <c r="C133" t="s">
        <v>28</v>
      </c>
      <c r="D133" t="s">
        <v>94</v>
      </c>
      <c r="E133" t="s">
        <v>30</v>
      </c>
      <c r="F133" t="s">
        <v>55</v>
      </c>
      <c r="G133" t="s">
        <v>32</v>
      </c>
      <c r="H133" t="s">
        <v>55</v>
      </c>
      <c r="I133" t="s">
        <v>34</v>
      </c>
      <c r="J133" t="s">
        <v>70</v>
      </c>
      <c r="K133" s="2">
        <v>15452</v>
      </c>
      <c r="L133" t="s">
        <v>36</v>
      </c>
      <c r="M133" t="s">
        <v>48</v>
      </c>
      <c r="N133" t="s">
        <v>60</v>
      </c>
      <c r="O133" t="s">
        <v>67</v>
      </c>
      <c r="P133" t="s">
        <v>40</v>
      </c>
      <c r="Q133">
        <v>4</v>
      </c>
      <c r="R133" s="2">
        <v>44855</v>
      </c>
      <c r="S133">
        <v>2</v>
      </c>
      <c r="T133">
        <v>4</v>
      </c>
      <c r="U133">
        <v>3</v>
      </c>
      <c r="V133" s="1">
        <v>44869</v>
      </c>
      <c r="W133" t="s">
        <v>92</v>
      </c>
      <c r="X133" t="s">
        <v>42</v>
      </c>
      <c r="Y133" t="s">
        <v>43</v>
      </c>
      <c r="Z133">
        <v>5</v>
      </c>
      <c r="AA133">
        <v>940.2</v>
      </c>
      <c r="AB133">
        <v>77</v>
      </c>
    </row>
    <row r="134" spans="1:28" x14ac:dyDescent="0.2">
      <c r="A134">
        <v>3581</v>
      </c>
      <c r="B134" s="1">
        <v>44155</v>
      </c>
      <c r="C134" t="s">
        <v>28</v>
      </c>
      <c r="D134" t="s">
        <v>85</v>
      </c>
      <c r="E134" t="s">
        <v>30</v>
      </c>
      <c r="F134" t="s">
        <v>55</v>
      </c>
      <c r="G134" t="s">
        <v>45</v>
      </c>
      <c r="H134" t="s">
        <v>46</v>
      </c>
      <c r="I134" t="s">
        <v>34</v>
      </c>
      <c r="J134" t="s">
        <v>101</v>
      </c>
      <c r="K134" s="2">
        <v>15773</v>
      </c>
      <c r="L134" t="s">
        <v>36</v>
      </c>
      <c r="M134" t="s">
        <v>48</v>
      </c>
      <c r="N134" t="s">
        <v>60</v>
      </c>
      <c r="O134" t="s">
        <v>77</v>
      </c>
      <c r="P134" t="s">
        <v>40</v>
      </c>
      <c r="Q134">
        <v>2</v>
      </c>
      <c r="R134" s="2">
        <v>44802</v>
      </c>
      <c r="S134">
        <v>3</v>
      </c>
      <c r="T134">
        <v>4</v>
      </c>
      <c r="U134">
        <v>4</v>
      </c>
      <c r="V134" s="1">
        <v>44955</v>
      </c>
      <c r="W134" t="s">
        <v>92</v>
      </c>
      <c r="X134" t="s">
        <v>51</v>
      </c>
      <c r="Y134" t="s">
        <v>63</v>
      </c>
      <c r="Z134">
        <v>1</v>
      </c>
      <c r="AA134">
        <v>122.07</v>
      </c>
      <c r="AB134">
        <v>77</v>
      </c>
    </row>
    <row r="135" spans="1:28" x14ac:dyDescent="0.2">
      <c r="A135">
        <v>3582</v>
      </c>
      <c r="B135" s="1">
        <v>44062</v>
      </c>
      <c r="C135" t="s">
        <v>28</v>
      </c>
      <c r="D135" t="s">
        <v>64</v>
      </c>
      <c r="E135" t="s">
        <v>30</v>
      </c>
      <c r="F135" t="s">
        <v>46</v>
      </c>
      <c r="G135" t="s">
        <v>56</v>
      </c>
      <c r="H135" t="s">
        <v>46</v>
      </c>
      <c r="I135" t="s">
        <v>34</v>
      </c>
      <c r="J135" t="s">
        <v>105</v>
      </c>
      <c r="K135" s="2">
        <v>25059</v>
      </c>
      <c r="L135" t="s">
        <v>36</v>
      </c>
      <c r="M135" t="s">
        <v>48</v>
      </c>
      <c r="N135" t="s">
        <v>84</v>
      </c>
      <c r="O135" t="s">
        <v>39</v>
      </c>
      <c r="P135" t="s">
        <v>40</v>
      </c>
      <c r="Q135">
        <v>4</v>
      </c>
      <c r="R135" s="2">
        <v>44821</v>
      </c>
      <c r="S135">
        <v>2</v>
      </c>
      <c r="T135">
        <v>2</v>
      </c>
      <c r="U135">
        <v>5</v>
      </c>
      <c r="V135" s="1">
        <v>44813</v>
      </c>
      <c r="W135" t="s">
        <v>92</v>
      </c>
      <c r="X135" t="s">
        <v>42</v>
      </c>
      <c r="Y135" t="s">
        <v>63</v>
      </c>
      <c r="Z135">
        <v>4</v>
      </c>
      <c r="AA135">
        <v>875.02</v>
      </c>
      <c r="AB135">
        <v>52</v>
      </c>
    </row>
    <row r="136" spans="1:28" x14ac:dyDescent="0.2">
      <c r="A136">
        <v>3583</v>
      </c>
      <c r="B136" s="1">
        <v>44314</v>
      </c>
      <c r="C136" t="s">
        <v>28</v>
      </c>
      <c r="D136" t="s">
        <v>74</v>
      </c>
      <c r="E136" t="s">
        <v>30</v>
      </c>
      <c r="F136" t="s">
        <v>55</v>
      </c>
      <c r="G136" t="s">
        <v>32</v>
      </c>
      <c r="H136" t="s">
        <v>33</v>
      </c>
      <c r="I136" t="s">
        <v>34</v>
      </c>
      <c r="J136" t="s">
        <v>70</v>
      </c>
      <c r="K136" s="2">
        <v>21509</v>
      </c>
      <c r="L136" t="s">
        <v>36</v>
      </c>
      <c r="M136" t="s">
        <v>37</v>
      </c>
      <c r="N136" t="s">
        <v>38</v>
      </c>
      <c r="O136" t="s">
        <v>67</v>
      </c>
      <c r="P136" t="s">
        <v>98</v>
      </c>
      <c r="Q136">
        <v>4</v>
      </c>
      <c r="R136" s="2">
        <v>45112</v>
      </c>
      <c r="S136">
        <v>4</v>
      </c>
      <c r="T136">
        <v>1</v>
      </c>
      <c r="U136">
        <v>4</v>
      </c>
      <c r="V136" s="1">
        <v>45003</v>
      </c>
      <c r="W136" t="s">
        <v>92</v>
      </c>
      <c r="X136" t="s">
        <v>42</v>
      </c>
      <c r="Y136" t="s">
        <v>52</v>
      </c>
      <c r="Z136">
        <v>4</v>
      </c>
      <c r="AA136">
        <v>116.4</v>
      </c>
      <c r="AB136">
        <v>63</v>
      </c>
    </row>
    <row r="137" spans="1:28" x14ac:dyDescent="0.2">
      <c r="A137">
        <v>3584</v>
      </c>
      <c r="B137" s="1">
        <v>44057</v>
      </c>
      <c r="C137" t="s">
        <v>28</v>
      </c>
      <c r="D137" t="s">
        <v>69</v>
      </c>
      <c r="E137" t="s">
        <v>30</v>
      </c>
      <c r="F137" t="s">
        <v>31</v>
      </c>
      <c r="G137" t="s">
        <v>32</v>
      </c>
      <c r="H137" t="s">
        <v>55</v>
      </c>
      <c r="I137" t="s">
        <v>34</v>
      </c>
      <c r="J137" t="s">
        <v>70</v>
      </c>
      <c r="K137" s="2">
        <v>32088</v>
      </c>
      <c r="L137" t="s">
        <v>36</v>
      </c>
      <c r="M137" t="s">
        <v>37</v>
      </c>
      <c r="N137" t="s">
        <v>60</v>
      </c>
      <c r="O137" t="s">
        <v>67</v>
      </c>
      <c r="P137" t="s">
        <v>40</v>
      </c>
      <c r="Q137">
        <v>4</v>
      </c>
      <c r="R137" s="2">
        <v>45074</v>
      </c>
      <c r="S137">
        <v>2</v>
      </c>
      <c r="T137">
        <v>2</v>
      </c>
      <c r="U137">
        <v>5</v>
      </c>
      <c r="V137" s="1">
        <v>44910</v>
      </c>
      <c r="W137" t="s">
        <v>68</v>
      </c>
      <c r="X137" t="s">
        <v>51</v>
      </c>
      <c r="Y137" t="s">
        <v>73</v>
      </c>
      <c r="Z137">
        <v>5</v>
      </c>
      <c r="AA137">
        <v>341.78</v>
      </c>
      <c r="AB137">
        <v>33</v>
      </c>
    </row>
    <row r="138" spans="1:28" x14ac:dyDescent="0.2">
      <c r="A138">
        <v>3585</v>
      </c>
      <c r="B138" s="1">
        <v>44552</v>
      </c>
      <c r="C138" t="s">
        <v>28</v>
      </c>
      <c r="D138" t="s">
        <v>29</v>
      </c>
      <c r="E138" t="s">
        <v>30</v>
      </c>
      <c r="F138" t="s">
        <v>55</v>
      </c>
      <c r="G138" t="s">
        <v>45</v>
      </c>
      <c r="H138" t="s">
        <v>55</v>
      </c>
      <c r="I138" t="s">
        <v>34</v>
      </c>
      <c r="J138" t="s">
        <v>105</v>
      </c>
      <c r="K138" s="2">
        <v>33801</v>
      </c>
      <c r="L138" t="s">
        <v>36</v>
      </c>
      <c r="M138" t="s">
        <v>37</v>
      </c>
      <c r="N138" t="s">
        <v>72</v>
      </c>
      <c r="O138" t="s">
        <v>77</v>
      </c>
      <c r="P138" t="s">
        <v>40</v>
      </c>
      <c r="Q138">
        <v>4</v>
      </c>
      <c r="R138" s="2">
        <v>44938</v>
      </c>
      <c r="S138">
        <v>1</v>
      </c>
      <c r="T138">
        <v>2</v>
      </c>
      <c r="U138">
        <v>3</v>
      </c>
      <c r="V138" s="1">
        <v>44971</v>
      </c>
      <c r="W138" t="s">
        <v>92</v>
      </c>
      <c r="X138" t="s">
        <v>42</v>
      </c>
      <c r="Y138" t="s">
        <v>63</v>
      </c>
      <c r="Z138">
        <v>4</v>
      </c>
      <c r="AA138">
        <v>107.48</v>
      </c>
      <c r="AB138">
        <v>29</v>
      </c>
    </row>
    <row r="139" spans="1:28" x14ac:dyDescent="0.2">
      <c r="A139">
        <v>3586</v>
      </c>
      <c r="B139" s="1">
        <v>43497</v>
      </c>
      <c r="C139" t="s">
        <v>28</v>
      </c>
      <c r="D139" t="s">
        <v>44</v>
      </c>
      <c r="E139" t="s">
        <v>30</v>
      </c>
      <c r="F139" t="s">
        <v>46</v>
      </c>
      <c r="G139" t="s">
        <v>56</v>
      </c>
      <c r="H139" t="s">
        <v>55</v>
      </c>
      <c r="I139" t="s">
        <v>34</v>
      </c>
      <c r="J139" t="s">
        <v>104</v>
      </c>
      <c r="K139" s="2">
        <v>36887</v>
      </c>
      <c r="L139" t="s">
        <v>36</v>
      </c>
      <c r="M139" t="s">
        <v>37</v>
      </c>
      <c r="N139" t="s">
        <v>49</v>
      </c>
      <c r="O139" t="s">
        <v>61</v>
      </c>
      <c r="P139" t="s">
        <v>40</v>
      </c>
      <c r="Q139">
        <v>2</v>
      </c>
      <c r="R139" s="2">
        <v>44957</v>
      </c>
      <c r="S139">
        <v>4</v>
      </c>
      <c r="T139">
        <v>2</v>
      </c>
      <c r="U139">
        <v>4</v>
      </c>
      <c r="V139" s="1">
        <v>44834</v>
      </c>
      <c r="W139" t="s">
        <v>92</v>
      </c>
      <c r="X139" t="s">
        <v>51</v>
      </c>
      <c r="Y139" t="s">
        <v>63</v>
      </c>
      <c r="Z139">
        <v>1</v>
      </c>
      <c r="AA139">
        <v>502.7</v>
      </c>
      <c r="AB139">
        <v>19</v>
      </c>
    </row>
    <row r="140" spans="1:28" x14ac:dyDescent="0.2">
      <c r="A140">
        <v>3587</v>
      </c>
      <c r="B140" s="1">
        <v>44326</v>
      </c>
      <c r="C140" t="s">
        <v>28</v>
      </c>
      <c r="D140" t="s">
        <v>87</v>
      </c>
      <c r="E140" t="s">
        <v>30</v>
      </c>
      <c r="F140" t="s">
        <v>55</v>
      </c>
      <c r="G140" t="s">
        <v>56</v>
      </c>
      <c r="H140" t="s">
        <v>33</v>
      </c>
      <c r="I140" t="s">
        <v>34</v>
      </c>
      <c r="J140" t="s">
        <v>75</v>
      </c>
      <c r="K140" s="2">
        <v>28484</v>
      </c>
      <c r="L140" t="s">
        <v>36</v>
      </c>
      <c r="M140" t="s">
        <v>48</v>
      </c>
      <c r="N140" t="s">
        <v>60</v>
      </c>
      <c r="O140" t="s">
        <v>77</v>
      </c>
      <c r="P140" t="s">
        <v>40</v>
      </c>
      <c r="Q140">
        <v>2</v>
      </c>
      <c r="R140" s="2">
        <v>45070</v>
      </c>
      <c r="S140">
        <v>1</v>
      </c>
      <c r="T140">
        <v>2</v>
      </c>
      <c r="U140">
        <v>2</v>
      </c>
      <c r="V140" s="1">
        <v>45007</v>
      </c>
      <c r="W140" t="s">
        <v>41</v>
      </c>
      <c r="X140" t="s">
        <v>51</v>
      </c>
      <c r="Y140" t="s">
        <v>63</v>
      </c>
      <c r="Z140">
        <v>5</v>
      </c>
      <c r="AA140">
        <v>570.04</v>
      </c>
      <c r="AB140">
        <v>44</v>
      </c>
    </row>
    <row r="141" spans="1:28" x14ac:dyDescent="0.2">
      <c r="A141">
        <v>3588</v>
      </c>
      <c r="B141" s="1">
        <v>43641</v>
      </c>
      <c r="C141" t="s">
        <v>28</v>
      </c>
      <c r="D141" t="s">
        <v>81</v>
      </c>
      <c r="E141" t="s">
        <v>30</v>
      </c>
      <c r="F141" t="s">
        <v>55</v>
      </c>
      <c r="G141" t="s">
        <v>32</v>
      </c>
      <c r="H141" t="s">
        <v>55</v>
      </c>
      <c r="I141" t="s">
        <v>34</v>
      </c>
      <c r="J141" t="s">
        <v>100</v>
      </c>
      <c r="K141" s="2">
        <v>26366</v>
      </c>
      <c r="L141" t="s">
        <v>36</v>
      </c>
      <c r="M141" t="s">
        <v>48</v>
      </c>
      <c r="N141" t="s">
        <v>72</v>
      </c>
      <c r="O141" t="s">
        <v>39</v>
      </c>
      <c r="P141" t="s">
        <v>40</v>
      </c>
      <c r="Q141">
        <v>2</v>
      </c>
      <c r="R141" s="2">
        <v>45056</v>
      </c>
      <c r="S141">
        <v>4</v>
      </c>
      <c r="T141">
        <v>2</v>
      </c>
      <c r="U141">
        <v>1</v>
      </c>
      <c r="V141" s="1">
        <v>45008</v>
      </c>
      <c r="W141" t="s">
        <v>92</v>
      </c>
      <c r="X141" t="s">
        <v>51</v>
      </c>
      <c r="Y141" t="s">
        <v>73</v>
      </c>
      <c r="Z141">
        <v>1</v>
      </c>
      <c r="AA141">
        <v>538.83000000000004</v>
      </c>
      <c r="AB141">
        <v>47</v>
      </c>
    </row>
    <row r="142" spans="1:28" x14ac:dyDescent="0.2">
      <c r="A142">
        <v>3589</v>
      </c>
      <c r="B142" s="1">
        <v>43580</v>
      </c>
      <c r="C142" t="s">
        <v>28</v>
      </c>
      <c r="D142" t="s">
        <v>54</v>
      </c>
      <c r="E142" t="s">
        <v>30</v>
      </c>
      <c r="F142" t="s">
        <v>31</v>
      </c>
      <c r="G142" t="s">
        <v>56</v>
      </c>
      <c r="H142" t="s">
        <v>33</v>
      </c>
      <c r="I142" t="s">
        <v>34</v>
      </c>
      <c r="J142" t="s">
        <v>70</v>
      </c>
      <c r="K142" s="2">
        <v>18842</v>
      </c>
      <c r="L142" t="s">
        <v>36</v>
      </c>
      <c r="M142" t="s">
        <v>48</v>
      </c>
      <c r="N142" t="s">
        <v>38</v>
      </c>
      <c r="O142" t="s">
        <v>61</v>
      </c>
      <c r="P142" t="s">
        <v>40</v>
      </c>
      <c r="Q142">
        <v>1</v>
      </c>
      <c r="R142" s="2">
        <v>44822</v>
      </c>
      <c r="S142">
        <v>2</v>
      </c>
      <c r="T142">
        <v>3</v>
      </c>
      <c r="U142">
        <v>2</v>
      </c>
      <c r="V142" s="1">
        <v>44933</v>
      </c>
      <c r="W142" t="s">
        <v>92</v>
      </c>
      <c r="X142" t="s">
        <v>42</v>
      </c>
      <c r="Y142" t="s">
        <v>52</v>
      </c>
      <c r="Z142">
        <v>4</v>
      </c>
      <c r="AA142">
        <v>881.8</v>
      </c>
      <c r="AB142">
        <v>68</v>
      </c>
    </row>
    <row r="143" spans="1:28" x14ac:dyDescent="0.2">
      <c r="A143">
        <v>3593</v>
      </c>
      <c r="B143" s="1">
        <v>43981</v>
      </c>
      <c r="C143" t="s">
        <v>28</v>
      </c>
      <c r="D143" t="s">
        <v>74</v>
      </c>
      <c r="E143" t="s">
        <v>30</v>
      </c>
      <c r="F143" t="s">
        <v>31</v>
      </c>
      <c r="G143" t="s">
        <v>45</v>
      </c>
      <c r="H143" t="s">
        <v>55</v>
      </c>
      <c r="I143" t="s">
        <v>34</v>
      </c>
      <c r="J143" t="s">
        <v>65</v>
      </c>
      <c r="K143" s="2">
        <v>18213</v>
      </c>
      <c r="L143" t="s">
        <v>36</v>
      </c>
      <c r="M143" t="s">
        <v>48</v>
      </c>
      <c r="N143" t="s">
        <v>84</v>
      </c>
      <c r="O143" t="s">
        <v>67</v>
      </c>
      <c r="P143" t="s">
        <v>40</v>
      </c>
      <c r="Q143">
        <v>1</v>
      </c>
      <c r="R143" s="2">
        <v>44841</v>
      </c>
      <c r="S143">
        <v>4</v>
      </c>
      <c r="T143">
        <v>4</v>
      </c>
      <c r="U143">
        <v>3</v>
      </c>
      <c r="V143" s="1">
        <v>45092</v>
      </c>
      <c r="W143" t="s">
        <v>62</v>
      </c>
      <c r="X143" t="s">
        <v>42</v>
      </c>
      <c r="Y143" t="s">
        <v>52</v>
      </c>
      <c r="Z143">
        <v>3</v>
      </c>
      <c r="AA143">
        <v>258.07</v>
      </c>
      <c r="AB143">
        <v>71</v>
      </c>
    </row>
    <row r="144" spans="1:28" x14ac:dyDescent="0.2">
      <c r="A144">
        <v>3594</v>
      </c>
      <c r="B144" s="1">
        <v>43445</v>
      </c>
      <c r="C144" t="s">
        <v>28</v>
      </c>
      <c r="D144" t="s">
        <v>94</v>
      </c>
      <c r="E144" t="s">
        <v>30</v>
      </c>
      <c r="F144" t="s">
        <v>46</v>
      </c>
      <c r="G144" t="s">
        <v>56</v>
      </c>
      <c r="H144" t="s">
        <v>46</v>
      </c>
      <c r="I144" t="s">
        <v>34</v>
      </c>
      <c r="J144" t="s">
        <v>70</v>
      </c>
      <c r="K144" s="2">
        <v>24911</v>
      </c>
      <c r="L144" t="s">
        <v>36</v>
      </c>
      <c r="M144" t="s">
        <v>48</v>
      </c>
      <c r="N144" t="s">
        <v>72</v>
      </c>
      <c r="O144" t="s">
        <v>67</v>
      </c>
      <c r="P144" t="s">
        <v>98</v>
      </c>
      <c r="Q144">
        <v>1</v>
      </c>
      <c r="R144" s="2">
        <v>44949</v>
      </c>
      <c r="S144">
        <v>1</v>
      </c>
      <c r="T144">
        <v>5</v>
      </c>
      <c r="U144">
        <v>1</v>
      </c>
      <c r="V144" s="1">
        <v>45051</v>
      </c>
      <c r="W144" t="s">
        <v>41</v>
      </c>
      <c r="X144" t="s">
        <v>42</v>
      </c>
      <c r="Y144" t="s">
        <v>73</v>
      </c>
      <c r="Z144">
        <v>5</v>
      </c>
      <c r="AA144">
        <v>472.64</v>
      </c>
      <c r="AB144">
        <v>50</v>
      </c>
    </row>
    <row r="145" spans="1:28" x14ac:dyDescent="0.2">
      <c r="A145">
        <v>3595</v>
      </c>
      <c r="B145" s="1">
        <v>44096</v>
      </c>
      <c r="C145" t="s">
        <v>28</v>
      </c>
      <c r="D145" t="s">
        <v>74</v>
      </c>
      <c r="E145" t="s">
        <v>30</v>
      </c>
      <c r="F145" t="s">
        <v>31</v>
      </c>
      <c r="G145" t="s">
        <v>45</v>
      </c>
      <c r="H145" t="s">
        <v>33</v>
      </c>
      <c r="I145" t="s">
        <v>34</v>
      </c>
      <c r="J145" t="s">
        <v>79</v>
      </c>
      <c r="K145" s="2">
        <v>19055</v>
      </c>
      <c r="L145" t="s">
        <v>36</v>
      </c>
      <c r="M145" t="s">
        <v>48</v>
      </c>
      <c r="N145" t="s">
        <v>60</v>
      </c>
      <c r="O145" t="s">
        <v>77</v>
      </c>
      <c r="P145" t="s">
        <v>40</v>
      </c>
      <c r="Q145">
        <v>1</v>
      </c>
      <c r="R145" s="2">
        <v>44945</v>
      </c>
      <c r="S145">
        <v>2</v>
      </c>
      <c r="T145">
        <v>3</v>
      </c>
      <c r="U145">
        <v>1</v>
      </c>
      <c r="V145" s="1">
        <v>44978</v>
      </c>
      <c r="W145" t="s">
        <v>68</v>
      </c>
      <c r="X145" t="s">
        <v>51</v>
      </c>
      <c r="Y145" t="s">
        <v>73</v>
      </c>
      <c r="Z145">
        <v>2</v>
      </c>
      <c r="AA145">
        <v>252.88</v>
      </c>
      <c r="AB145">
        <v>68</v>
      </c>
    </row>
    <row r="146" spans="1:28" x14ac:dyDescent="0.2">
      <c r="A146">
        <v>3596</v>
      </c>
      <c r="B146" s="1">
        <v>43674</v>
      </c>
      <c r="C146" t="s">
        <v>28</v>
      </c>
      <c r="D146" t="s">
        <v>81</v>
      </c>
      <c r="E146" t="s">
        <v>30</v>
      </c>
      <c r="F146" t="s">
        <v>46</v>
      </c>
      <c r="G146" t="s">
        <v>32</v>
      </c>
      <c r="H146" t="s">
        <v>55</v>
      </c>
      <c r="I146" t="s">
        <v>34</v>
      </c>
      <c r="J146" t="s">
        <v>89</v>
      </c>
      <c r="K146" s="2">
        <v>30151</v>
      </c>
      <c r="L146" t="s">
        <v>36</v>
      </c>
      <c r="M146" t="s">
        <v>48</v>
      </c>
      <c r="N146" t="s">
        <v>60</v>
      </c>
      <c r="O146" t="s">
        <v>61</v>
      </c>
      <c r="P146" t="s">
        <v>98</v>
      </c>
      <c r="Q146">
        <v>2</v>
      </c>
      <c r="R146" s="2">
        <v>44853</v>
      </c>
      <c r="S146">
        <v>4</v>
      </c>
      <c r="T146">
        <v>3</v>
      </c>
      <c r="U146">
        <v>4</v>
      </c>
      <c r="V146" s="1">
        <v>44909</v>
      </c>
      <c r="W146" t="s">
        <v>68</v>
      </c>
      <c r="X146" t="s">
        <v>42</v>
      </c>
      <c r="Y146" t="s">
        <v>52</v>
      </c>
      <c r="Z146">
        <v>2</v>
      </c>
      <c r="AA146">
        <v>289.68</v>
      </c>
      <c r="AB146">
        <v>37</v>
      </c>
    </row>
    <row r="147" spans="1:28" x14ac:dyDescent="0.2">
      <c r="A147">
        <v>3598</v>
      </c>
      <c r="B147" s="1">
        <v>43371</v>
      </c>
      <c r="C147" t="s">
        <v>106</v>
      </c>
      <c r="D147" t="s">
        <v>85</v>
      </c>
      <c r="E147" t="s">
        <v>108</v>
      </c>
      <c r="F147" t="s">
        <v>46</v>
      </c>
      <c r="G147" t="s">
        <v>45</v>
      </c>
      <c r="H147" t="s">
        <v>55</v>
      </c>
      <c r="I147" t="s">
        <v>34</v>
      </c>
      <c r="J147" t="s">
        <v>99</v>
      </c>
      <c r="K147" s="2">
        <v>18542</v>
      </c>
      <c r="L147" t="s">
        <v>36</v>
      </c>
      <c r="M147" t="s">
        <v>37</v>
      </c>
      <c r="N147" t="s">
        <v>60</v>
      </c>
      <c r="O147" t="s">
        <v>67</v>
      </c>
      <c r="P147" t="s">
        <v>98</v>
      </c>
      <c r="Q147">
        <v>1</v>
      </c>
      <c r="R147" s="2">
        <v>45108</v>
      </c>
      <c r="S147">
        <v>2</v>
      </c>
      <c r="T147">
        <v>5</v>
      </c>
      <c r="U147">
        <v>4</v>
      </c>
      <c r="V147" s="1">
        <v>44845</v>
      </c>
      <c r="W147" t="s">
        <v>68</v>
      </c>
      <c r="X147" t="s">
        <v>42</v>
      </c>
      <c r="Y147" t="s">
        <v>73</v>
      </c>
      <c r="Z147">
        <v>3</v>
      </c>
      <c r="AA147">
        <v>373.87</v>
      </c>
      <c r="AB147">
        <v>68</v>
      </c>
    </row>
    <row r="148" spans="1:28" x14ac:dyDescent="0.2">
      <c r="A148">
        <v>3599</v>
      </c>
      <c r="B148" s="1">
        <v>43933</v>
      </c>
      <c r="C148" t="s">
        <v>106</v>
      </c>
      <c r="D148" t="s">
        <v>64</v>
      </c>
      <c r="E148" t="s">
        <v>30</v>
      </c>
      <c r="F148" t="s">
        <v>46</v>
      </c>
      <c r="G148" t="s">
        <v>45</v>
      </c>
      <c r="H148" t="s">
        <v>33</v>
      </c>
      <c r="I148" t="s">
        <v>34</v>
      </c>
      <c r="J148" t="s">
        <v>65</v>
      </c>
      <c r="K148" s="2">
        <v>18353</v>
      </c>
      <c r="L148" t="s">
        <v>36</v>
      </c>
      <c r="M148" t="s">
        <v>37</v>
      </c>
      <c r="N148" t="s">
        <v>38</v>
      </c>
      <c r="O148" t="s">
        <v>77</v>
      </c>
      <c r="P148" t="s">
        <v>40</v>
      </c>
      <c r="Q148">
        <v>2</v>
      </c>
      <c r="R148" s="2">
        <v>44987</v>
      </c>
      <c r="S148">
        <v>4</v>
      </c>
      <c r="T148">
        <v>4</v>
      </c>
      <c r="U148">
        <v>2</v>
      </c>
      <c r="V148" s="1">
        <v>44987</v>
      </c>
      <c r="W148" t="s">
        <v>41</v>
      </c>
      <c r="X148" t="s">
        <v>42</v>
      </c>
      <c r="Y148" t="s">
        <v>63</v>
      </c>
      <c r="Z148">
        <v>5</v>
      </c>
      <c r="AA148">
        <v>918.86</v>
      </c>
      <c r="AB148">
        <v>70</v>
      </c>
    </row>
    <row r="149" spans="1:28" x14ac:dyDescent="0.2">
      <c r="A149">
        <v>3600</v>
      </c>
      <c r="B149" s="1">
        <v>44866</v>
      </c>
      <c r="C149" t="s">
        <v>106</v>
      </c>
      <c r="D149" t="s">
        <v>74</v>
      </c>
      <c r="E149" t="s">
        <v>30</v>
      </c>
      <c r="F149" t="s">
        <v>31</v>
      </c>
      <c r="G149" t="s">
        <v>56</v>
      </c>
      <c r="H149" t="s">
        <v>33</v>
      </c>
      <c r="I149" t="s">
        <v>34</v>
      </c>
      <c r="J149" t="s">
        <v>70</v>
      </c>
      <c r="K149" s="2">
        <v>18178</v>
      </c>
      <c r="L149" t="s">
        <v>36</v>
      </c>
      <c r="M149" t="s">
        <v>37</v>
      </c>
      <c r="N149" t="s">
        <v>38</v>
      </c>
      <c r="O149" t="s">
        <v>61</v>
      </c>
      <c r="P149" t="s">
        <v>40</v>
      </c>
      <c r="Q149">
        <v>2</v>
      </c>
      <c r="R149" s="2">
        <v>45111</v>
      </c>
      <c r="S149">
        <v>2</v>
      </c>
      <c r="T149">
        <v>1</v>
      </c>
      <c r="U149">
        <v>4</v>
      </c>
      <c r="V149" s="1">
        <v>44866</v>
      </c>
      <c r="W149" t="s">
        <v>41</v>
      </c>
      <c r="X149" t="s">
        <v>42</v>
      </c>
      <c r="Y149" t="s">
        <v>73</v>
      </c>
      <c r="Z149">
        <v>4</v>
      </c>
      <c r="AA149">
        <v>299.7</v>
      </c>
      <c r="AB149">
        <v>73</v>
      </c>
    </row>
    <row r="150" spans="1:28" x14ac:dyDescent="0.2">
      <c r="A150">
        <v>3601</v>
      </c>
      <c r="B150" s="1">
        <v>44886</v>
      </c>
      <c r="C150" t="s">
        <v>106</v>
      </c>
      <c r="D150" t="s">
        <v>69</v>
      </c>
      <c r="E150" t="s">
        <v>30</v>
      </c>
      <c r="F150" t="s">
        <v>46</v>
      </c>
      <c r="G150" t="s">
        <v>56</v>
      </c>
      <c r="H150" t="s">
        <v>55</v>
      </c>
      <c r="I150" t="s">
        <v>34</v>
      </c>
      <c r="J150" t="s">
        <v>101</v>
      </c>
      <c r="K150" s="2">
        <v>24310</v>
      </c>
      <c r="L150" t="s">
        <v>36</v>
      </c>
      <c r="M150" t="s">
        <v>37</v>
      </c>
      <c r="N150" t="s">
        <v>38</v>
      </c>
      <c r="O150" t="s">
        <v>67</v>
      </c>
      <c r="P150" t="s">
        <v>40</v>
      </c>
      <c r="Q150">
        <v>5</v>
      </c>
      <c r="R150" s="2">
        <v>44805</v>
      </c>
      <c r="S150">
        <v>1</v>
      </c>
      <c r="T150">
        <v>1</v>
      </c>
      <c r="U150">
        <v>2</v>
      </c>
      <c r="V150" s="1">
        <v>44929</v>
      </c>
      <c r="W150" t="s">
        <v>62</v>
      </c>
      <c r="X150" t="s">
        <v>51</v>
      </c>
      <c r="Y150" t="s">
        <v>63</v>
      </c>
      <c r="Z150">
        <v>1</v>
      </c>
      <c r="AA150">
        <v>865.58</v>
      </c>
      <c r="AB150">
        <v>56</v>
      </c>
    </row>
    <row r="151" spans="1:28" x14ac:dyDescent="0.2">
      <c r="A151">
        <v>3602</v>
      </c>
      <c r="B151" s="1">
        <v>44297</v>
      </c>
      <c r="C151" t="s">
        <v>106</v>
      </c>
      <c r="D151" t="s">
        <v>29</v>
      </c>
      <c r="E151" t="s">
        <v>108</v>
      </c>
      <c r="F151" t="s">
        <v>55</v>
      </c>
      <c r="G151" t="s">
        <v>56</v>
      </c>
      <c r="H151" t="s">
        <v>46</v>
      </c>
      <c r="I151" t="s">
        <v>34</v>
      </c>
      <c r="J151" t="s">
        <v>79</v>
      </c>
      <c r="K151" s="2">
        <v>34619</v>
      </c>
      <c r="L151" t="s">
        <v>36</v>
      </c>
      <c r="M151" t="s">
        <v>37</v>
      </c>
      <c r="N151" t="s">
        <v>49</v>
      </c>
      <c r="O151" t="s">
        <v>67</v>
      </c>
      <c r="P151" t="s">
        <v>40</v>
      </c>
      <c r="Q151">
        <v>5</v>
      </c>
      <c r="R151" s="2">
        <v>45142</v>
      </c>
      <c r="S151">
        <v>3</v>
      </c>
      <c r="T151">
        <v>3</v>
      </c>
      <c r="U151">
        <v>3</v>
      </c>
      <c r="V151" s="1">
        <v>45025</v>
      </c>
      <c r="W151" t="s">
        <v>68</v>
      </c>
      <c r="X151" t="s">
        <v>51</v>
      </c>
      <c r="Y151" t="s">
        <v>52</v>
      </c>
      <c r="Z151">
        <v>1</v>
      </c>
      <c r="AA151">
        <v>632.59</v>
      </c>
      <c r="AB151">
        <v>27</v>
      </c>
    </row>
    <row r="152" spans="1:28" x14ac:dyDescent="0.2">
      <c r="A152">
        <v>3603</v>
      </c>
      <c r="B152" s="1">
        <v>43433</v>
      </c>
      <c r="C152" t="s">
        <v>106</v>
      </c>
      <c r="D152" t="s">
        <v>44</v>
      </c>
      <c r="E152" t="s">
        <v>108</v>
      </c>
      <c r="F152" t="s">
        <v>55</v>
      </c>
      <c r="G152" t="s">
        <v>45</v>
      </c>
      <c r="H152" t="s">
        <v>46</v>
      </c>
      <c r="I152" t="s">
        <v>34</v>
      </c>
      <c r="J152" t="s">
        <v>70</v>
      </c>
      <c r="K152" s="2">
        <v>28171</v>
      </c>
      <c r="L152" t="s">
        <v>36</v>
      </c>
      <c r="M152" t="s">
        <v>37</v>
      </c>
      <c r="N152" t="s">
        <v>38</v>
      </c>
      <c r="O152" t="s">
        <v>67</v>
      </c>
      <c r="P152" t="s">
        <v>40</v>
      </c>
      <c r="Q152">
        <v>2</v>
      </c>
      <c r="R152" s="2">
        <v>44842</v>
      </c>
      <c r="S152">
        <v>5</v>
      </c>
      <c r="T152">
        <v>1</v>
      </c>
      <c r="U152">
        <v>3</v>
      </c>
      <c r="V152" s="1">
        <v>44836</v>
      </c>
      <c r="W152" t="s">
        <v>68</v>
      </c>
      <c r="X152" t="s">
        <v>51</v>
      </c>
      <c r="Y152" t="s">
        <v>52</v>
      </c>
      <c r="Z152">
        <v>3</v>
      </c>
      <c r="AA152">
        <v>680.48</v>
      </c>
      <c r="AB152">
        <v>41</v>
      </c>
    </row>
    <row r="153" spans="1:28" x14ac:dyDescent="0.2">
      <c r="A153">
        <v>3604</v>
      </c>
      <c r="B153" s="1">
        <v>43481</v>
      </c>
      <c r="C153" t="s">
        <v>106</v>
      </c>
      <c r="D153" t="s">
        <v>87</v>
      </c>
      <c r="E153" t="s">
        <v>30</v>
      </c>
      <c r="F153" t="s">
        <v>46</v>
      </c>
      <c r="G153" t="s">
        <v>56</v>
      </c>
      <c r="H153" t="s">
        <v>55</v>
      </c>
      <c r="I153" t="s">
        <v>34</v>
      </c>
      <c r="J153" t="s">
        <v>70</v>
      </c>
      <c r="K153" s="2">
        <v>17601</v>
      </c>
      <c r="L153" t="s">
        <v>36</v>
      </c>
      <c r="M153" t="s">
        <v>37</v>
      </c>
      <c r="N153" t="s">
        <v>49</v>
      </c>
      <c r="O153" t="s">
        <v>77</v>
      </c>
      <c r="P153" t="s">
        <v>98</v>
      </c>
      <c r="Q153">
        <v>4</v>
      </c>
      <c r="R153" s="2">
        <v>44910</v>
      </c>
      <c r="S153">
        <v>3</v>
      </c>
      <c r="T153">
        <v>5</v>
      </c>
      <c r="U153">
        <v>4</v>
      </c>
      <c r="V153" s="1">
        <v>45008</v>
      </c>
      <c r="W153" t="s">
        <v>62</v>
      </c>
      <c r="X153" t="s">
        <v>51</v>
      </c>
      <c r="Y153" t="s">
        <v>43</v>
      </c>
      <c r="Z153">
        <v>3</v>
      </c>
      <c r="AA153">
        <v>287.70999999999998</v>
      </c>
      <c r="AB153">
        <v>71</v>
      </c>
    </row>
    <row r="154" spans="1:28" x14ac:dyDescent="0.2">
      <c r="A154">
        <v>3605</v>
      </c>
      <c r="B154" s="1">
        <v>43726</v>
      </c>
      <c r="C154" t="s">
        <v>28</v>
      </c>
      <c r="D154" t="s">
        <v>29</v>
      </c>
      <c r="E154" t="s">
        <v>30</v>
      </c>
      <c r="F154" t="s">
        <v>31</v>
      </c>
      <c r="G154" t="s">
        <v>32</v>
      </c>
      <c r="H154" t="s">
        <v>33</v>
      </c>
      <c r="I154" t="s">
        <v>34</v>
      </c>
      <c r="J154" t="s">
        <v>79</v>
      </c>
      <c r="K154" s="2">
        <v>15943</v>
      </c>
      <c r="L154" t="s">
        <v>36</v>
      </c>
      <c r="M154" t="s">
        <v>48</v>
      </c>
      <c r="N154" t="s">
        <v>60</v>
      </c>
      <c r="O154" t="s">
        <v>77</v>
      </c>
      <c r="P154" t="s">
        <v>40</v>
      </c>
      <c r="Q154">
        <v>4</v>
      </c>
      <c r="R154" s="2">
        <v>45116</v>
      </c>
      <c r="S154">
        <v>5</v>
      </c>
      <c r="T154">
        <v>1</v>
      </c>
      <c r="U154">
        <v>3</v>
      </c>
      <c r="V154" s="1">
        <v>44882</v>
      </c>
      <c r="W154" t="s">
        <v>92</v>
      </c>
      <c r="X154" t="s">
        <v>51</v>
      </c>
      <c r="Y154" t="s">
        <v>73</v>
      </c>
      <c r="Z154">
        <v>2</v>
      </c>
      <c r="AA154">
        <v>102.92</v>
      </c>
      <c r="AB154">
        <v>76</v>
      </c>
    </row>
    <row r="155" spans="1:28" x14ac:dyDescent="0.2">
      <c r="A155">
        <v>3606</v>
      </c>
      <c r="B155" s="1">
        <v>43678</v>
      </c>
      <c r="C155" t="s">
        <v>28</v>
      </c>
      <c r="D155" t="s">
        <v>85</v>
      </c>
      <c r="E155" t="s">
        <v>108</v>
      </c>
      <c r="F155" t="s">
        <v>46</v>
      </c>
      <c r="G155" t="s">
        <v>32</v>
      </c>
      <c r="H155" t="s">
        <v>55</v>
      </c>
      <c r="I155" t="s">
        <v>34</v>
      </c>
      <c r="J155" t="s">
        <v>109</v>
      </c>
      <c r="K155" s="2">
        <v>23814</v>
      </c>
      <c r="L155" t="s">
        <v>36</v>
      </c>
      <c r="M155" t="s">
        <v>48</v>
      </c>
      <c r="N155" t="s">
        <v>60</v>
      </c>
      <c r="O155" t="s">
        <v>77</v>
      </c>
      <c r="P155" t="s">
        <v>40</v>
      </c>
      <c r="Q155">
        <v>3</v>
      </c>
      <c r="R155" s="2">
        <v>45012</v>
      </c>
      <c r="S155">
        <v>3</v>
      </c>
      <c r="T155">
        <v>5</v>
      </c>
      <c r="U155">
        <v>1</v>
      </c>
      <c r="V155" s="1">
        <v>44865</v>
      </c>
      <c r="W155" t="s">
        <v>62</v>
      </c>
      <c r="X155" t="s">
        <v>42</v>
      </c>
      <c r="Y155" t="s">
        <v>73</v>
      </c>
      <c r="Z155">
        <v>2</v>
      </c>
      <c r="AA155">
        <v>255.6</v>
      </c>
      <c r="AB155">
        <v>54</v>
      </c>
    </row>
    <row r="156" spans="1:28" x14ac:dyDescent="0.2">
      <c r="A156">
        <v>3607</v>
      </c>
      <c r="B156" s="1">
        <v>43634</v>
      </c>
      <c r="C156" t="s">
        <v>28</v>
      </c>
      <c r="D156" t="s">
        <v>44</v>
      </c>
      <c r="E156" t="s">
        <v>30</v>
      </c>
      <c r="F156" t="s">
        <v>55</v>
      </c>
      <c r="G156" t="s">
        <v>45</v>
      </c>
      <c r="H156" t="s">
        <v>55</v>
      </c>
      <c r="I156" t="s">
        <v>34</v>
      </c>
      <c r="J156" t="s">
        <v>96</v>
      </c>
      <c r="K156" s="2">
        <v>27975</v>
      </c>
      <c r="L156" t="s">
        <v>36</v>
      </c>
      <c r="M156" t="s">
        <v>48</v>
      </c>
      <c r="N156" t="s">
        <v>60</v>
      </c>
      <c r="O156" t="s">
        <v>67</v>
      </c>
      <c r="P156" t="s">
        <v>40</v>
      </c>
      <c r="Q156">
        <v>5</v>
      </c>
      <c r="R156" s="2">
        <v>45125</v>
      </c>
      <c r="S156">
        <v>2</v>
      </c>
      <c r="T156">
        <v>4</v>
      </c>
      <c r="U156">
        <v>1</v>
      </c>
      <c r="V156" s="1">
        <v>45050</v>
      </c>
      <c r="W156" t="s">
        <v>50</v>
      </c>
      <c r="X156" t="s">
        <v>51</v>
      </c>
      <c r="Y156" t="s">
        <v>73</v>
      </c>
      <c r="Z156">
        <v>4</v>
      </c>
      <c r="AA156">
        <v>321.91000000000003</v>
      </c>
      <c r="AB156">
        <v>43</v>
      </c>
    </row>
    <row r="157" spans="1:28" x14ac:dyDescent="0.2">
      <c r="A157">
        <v>3608</v>
      </c>
      <c r="B157" s="1">
        <v>43509</v>
      </c>
      <c r="C157" t="s">
        <v>28</v>
      </c>
      <c r="D157" t="s">
        <v>87</v>
      </c>
      <c r="E157" t="s">
        <v>30</v>
      </c>
      <c r="F157" t="s">
        <v>55</v>
      </c>
      <c r="G157" t="s">
        <v>32</v>
      </c>
      <c r="H157" t="s">
        <v>46</v>
      </c>
      <c r="I157" t="s">
        <v>34</v>
      </c>
      <c r="J157" t="s">
        <v>70</v>
      </c>
      <c r="K157" s="2">
        <v>29042</v>
      </c>
      <c r="L157" t="s">
        <v>36</v>
      </c>
      <c r="M157" t="s">
        <v>48</v>
      </c>
      <c r="N157" t="s">
        <v>60</v>
      </c>
      <c r="O157" t="s">
        <v>67</v>
      </c>
      <c r="P157" t="s">
        <v>40</v>
      </c>
      <c r="Q157">
        <v>3</v>
      </c>
      <c r="R157" s="2">
        <v>44938</v>
      </c>
      <c r="S157">
        <v>1</v>
      </c>
      <c r="T157">
        <v>3</v>
      </c>
      <c r="U157">
        <v>1</v>
      </c>
      <c r="V157" s="1">
        <v>44999</v>
      </c>
      <c r="W157" t="s">
        <v>62</v>
      </c>
      <c r="X157" t="s">
        <v>51</v>
      </c>
      <c r="Y157" t="s">
        <v>63</v>
      </c>
      <c r="Z157">
        <v>3</v>
      </c>
      <c r="AA157">
        <v>834.12</v>
      </c>
      <c r="AB157">
        <v>40</v>
      </c>
    </row>
    <row r="158" spans="1:28" x14ac:dyDescent="0.2">
      <c r="A158">
        <v>3609</v>
      </c>
      <c r="B158" s="1">
        <v>44349</v>
      </c>
      <c r="C158" t="s">
        <v>28</v>
      </c>
      <c r="D158" t="s">
        <v>64</v>
      </c>
      <c r="E158" t="s">
        <v>30</v>
      </c>
      <c r="F158" t="s">
        <v>31</v>
      </c>
      <c r="G158" t="s">
        <v>56</v>
      </c>
      <c r="H158" t="s">
        <v>55</v>
      </c>
      <c r="I158" t="s">
        <v>34</v>
      </c>
      <c r="J158" t="s">
        <v>100</v>
      </c>
      <c r="K158" s="2">
        <v>34129</v>
      </c>
      <c r="L158" t="s">
        <v>36</v>
      </c>
      <c r="M158" t="s">
        <v>37</v>
      </c>
      <c r="N158" t="s">
        <v>60</v>
      </c>
      <c r="O158" t="s">
        <v>39</v>
      </c>
      <c r="P158" t="s">
        <v>40</v>
      </c>
      <c r="Q158">
        <v>3</v>
      </c>
      <c r="R158" s="2">
        <v>44870</v>
      </c>
      <c r="S158">
        <v>2</v>
      </c>
      <c r="T158">
        <v>2</v>
      </c>
      <c r="U158">
        <v>4</v>
      </c>
      <c r="V158" s="1">
        <v>44827</v>
      </c>
      <c r="W158" t="s">
        <v>50</v>
      </c>
      <c r="X158" t="s">
        <v>42</v>
      </c>
      <c r="Y158" t="s">
        <v>73</v>
      </c>
      <c r="Z158">
        <v>4</v>
      </c>
      <c r="AA158">
        <v>273.88</v>
      </c>
      <c r="AB158">
        <v>28</v>
      </c>
    </row>
    <row r="159" spans="1:28" x14ac:dyDescent="0.2">
      <c r="A159">
        <v>3610</v>
      </c>
      <c r="B159" s="1">
        <v>43384</v>
      </c>
      <c r="C159" t="s">
        <v>28</v>
      </c>
      <c r="D159" t="s">
        <v>94</v>
      </c>
      <c r="E159" t="s">
        <v>30</v>
      </c>
      <c r="F159" t="s">
        <v>46</v>
      </c>
      <c r="G159" t="s">
        <v>32</v>
      </c>
      <c r="H159" t="s">
        <v>55</v>
      </c>
      <c r="I159" t="s">
        <v>34</v>
      </c>
      <c r="J159" t="s">
        <v>70</v>
      </c>
      <c r="K159" s="2">
        <v>26761</v>
      </c>
      <c r="L159" t="s">
        <v>36</v>
      </c>
      <c r="M159" t="s">
        <v>37</v>
      </c>
      <c r="N159" t="s">
        <v>60</v>
      </c>
      <c r="O159" t="s">
        <v>61</v>
      </c>
      <c r="P159" t="s">
        <v>40</v>
      </c>
      <c r="Q159">
        <v>3</v>
      </c>
      <c r="R159" s="2">
        <v>44909</v>
      </c>
      <c r="S159">
        <v>4</v>
      </c>
      <c r="T159">
        <v>5</v>
      </c>
      <c r="U159">
        <v>5</v>
      </c>
      <c r="V159" s="1">
        <v>44972</v>
      </c>
      <c r="W159" t="s">
        <v>50</v>
      </c>
      <c r="X159" t="s">
        <v>42</v>
      </c>
      <c r="Y159" t="s">
        <v>52</v>
      </c>
      <c r="Z159">
        <v>4</v>
      </c>
      <c r="AA159">
        <v>217.57</v>
      </c>
      <c r="AB159">
        <v>45</v>
      </c>
    </row>
    <row r="160" spans="1:28" x14ac:dyDescent="0.2">
      <c r="A160">
        <v>3611</v>
      </c>
      <c r="B160" s="1">
        <v>44264</v>
      </c>
      <c r="C160" t="s">
        <v>28</v>
      </c>
      <c r="D160" t="s">
        <v>74</v>
      </c>
      <c r="E160" t="s">
        <v>30</v>
      </c>
      <c r="F160" t="s">
        <v>31</v>
      </c>
      <c r="G160" t="s">
        <v>32</v>
      </c>
      <c r="H160" t="s">
        <v>55</v>
      </c>
      <c r="I160" t="s">
        <v>34</v>
      </c>
      <c r="J160" t="s">
        <v>96</v>
      </c>
      <c r="K160" s="2">
        <v>19013</v>
      </c>
      <c r="L160" t="s">
        <v>36</v>
      </c>
      <c r="M160" t="s">
        <v>37</v>
      </c>
      <c r="N160" t="s">
        <v>49</v>
      </c>
      <c r="O160" t="s">
        <v>67</v>
      </c>
      <c r="P160" t="s">
        <v>40</v>
      </c>
      <c r="Q160">
        <v>2</v>
      </c>
      <c r="R160" s="2">
        <v>44820</v>
      </c>
      <c r="S160">
        <v>2</v>
      </c>
      <c r="T160">
        <v>3</v>
      </c>
      <c r="U160">
        <v>4</v>
      </c>
      <c r="V160" s="1">
        <v>44933</v>
      </c>
      <c r="W160" t="s">
        <v>50</v>
      </c>
      <c r="X160" t="s">
        <v>42</v>
      </c>
      <c r="Y160" t="s">
        <v>63</v>
      </c>
      <c r="Z160">
        <v>1</v>
      </c>
      <c r="AA160">
        <v>482.09</v>
      </c>
      <c r="AB160">
        <v>69</v>
      </c>
    </row>
    <row r="161" spans="1:28" x14ac:dyDescent="0.2">
      <c r="A161">
        <v>3612</v>
      </c>
      <c r="B161" s="1">
        <v>44584</v>
      </c>
      <c r="C161" t="s">
        <v>28</v>
      </c>
      <c r="D161" t="s">
        <v>81</v>
      </c>
      <c r="E161" t="s">
        <v>30</v>
      </c>
      <c r="F161" t="s">
        <v>31</v>
      </c>
      <c r="G161" t="s">
        <v>45</v>
      </c>
      <c r="H161" t="s">
        <v>46</v>
      </c>
      <c r="I161" t="s">
        <v>34</v>
      </c>
      <c r="J161" t="s">
        <v>70</v>
      </c>
      <c r="K161" s="2">
        <v>31041</v>
      </c>
      <c r="L161" t="s">
        <v>36</v>
      </c>
      <c r="M161" t="s">
        <v>48</v>
      </c>
      <c r="N161" t="s">
        <v>72</v>
      </c>
      <c r="O161" t="s">
        <v>61</v>
      </c>
      <c r="P161" t="s">
        <v>107</v>
      </c>
      <c r="Q161">
        <v>4</v>
      </c>
      <c r="R161" s="2">
        <v>45114</v>
      </c>
      <c r="S161">
        <v>5</v>
      </c>
      <c r="T161">
        <v>3</v>
      </c>
      <c r="U161">
        <v>3</v>
      </c>
      <c r="V161" s="1">
        <v>45110</v>
      </c>
      <c r="W161" t="s">
        <v>41</v>
      </c>
      <c r="X161" t="s">
        <v>51</v>
      </c>
      <c r="Y161" t="s">
        <v>43</v>
      </c>
      <c r="Z161">
        <v>2</v>
      </c>
      <c r="AA161">
        <v>614.11</v>
      </c>
      <c r="AB161">
        <v>38</v>
      </c>
    </row>
    <row r="162" spans="1:28" x14ac:dyDescent="0.2">
      <c r="A162">
        <v>3613</v>
      </c>
      <c r="B162" s="1">
        <v>43520</v>
      </c>
      <c r="C162" t="s">
        <v>28</v>
      </c>
      <c r="D162" t="s">
        <v>54</v>
      </c>
      <c r="E162" t="s">
        <v>30</v>
      </c>
      <c r="F162" t="s">
        <v>31</v>
      </c>
      <c r="G162" t="s">
        <v>56</v>
      </c>
      <c r="H162" t="s">
        <v>46</v>
      </c>
      <c r="I162" t="s">
        <v>34</v>
      </c>
      <c r="J162" t="s">
        <v>70</v>
      </c>
      <c r="K162" s="2">
        <v>26829</v>
      </c>
      <c r="L162" t="s">
        <v>36</v>
      </c>
      <c r="M162" t="s">
        <v>48</v>
      </c>
      <c r="N162" t="s">
        <v>84</v>
      </c>
      <c r="O162" t="s">
        <v>67</v>
      </c>
      <c r="P162" t="s">
        <v>78</v>
      </c>
      <c r="Q162">
        <v>1</v>
      </c>
      <c r="R162" s="2">
        <v>44847</v>
      </c>
      <c r="S162">
        <v>1</v>
      </c>
      <c r="T162">
        <v>5</v>
      </c>
      <c r="U162">
        <v>2</v>
      </c>
      <c r="V162" s="1">
        <v>44842</v>
      </c>
      <c r="W162" t="s">
        <v>50</v>
      </c>
      <c r="X162" t="s">
        <v>42</v>
      </c>
      <c r="Y162" t="s">
        <v>52</v>
      </c>
      <c r="Z162">
        <v>1</v>
      </c>
      <c r="AA162">
        <v>354.22</v>
      </c>
      <c r="AB162">
        <v>46</v>
      </c>
    </row>
    <row r="163" spans="1:28" x14ac:dyDescent="0.2">
      <c r="A163">
        <v>3614</v>
      </c>
      <c r="B163" s="1">
        <v>43838</v>
      </c>
      <c r="C163" t="s">
        <v>28</v>
      </c>
      <c r="D163" t="s">
        <v>69</v>
      </c>
      <c r="E163" t="s">
        <v>30</v>
      </c>
      <c r="F163" t="s">
        <v>31</v>
      </c>
      <c r="G163" t="s">
        <v>56</v>
      </c>
      <c r="H163" t="s">
        <v>33</v>
      </c>
      <c r="I163" t="s">
        <v>34</v>
      </c>
      <c r="J163" t="s">
        <v>96</v>
      </c>
      <c r="K163" s="2">
        <v>26907</v>
      </c>
      <c r="L163" t="s">
        <v>36</v>
      </c>
      <c r="M163" t="s">
        <v>48</v>
      </c>
      <c r="N163" t="s">
        <v>38</v>
      </c>
      <c r="O163" t="s">
        <v>67</v>
      </c>
      <c r="P163" t="s">
        <v>40</v>
      </c>
      <c r="Q163">
        <v>2</v>
      </c>
      <c r="R163" s="2">
        <v>45111</v>
      </c>
      <c r="S163">
        <v>4</v>
      </c>
      <c r="T163">
        <v>5</v>
      </c>
      <c r="U163">
        <v>1</v>
      </c>
      <c r="V163" s="1">
        <v>45081</v>
      </c>
      <c r="W163" t="s">
        <v>41</v>
      </c>
      <c r="X163" t="s">
        <v>51</v>
      </c>
      <c r="Y163" t="s">
        <v>73</v>
      </c>
      <c r="Z163">
        <v>3</v>
      </c>
      <c r="AA163">
        <v>868.85</v>
      </c>
      <c r="AB163">
        <v>47</v>
      </c>
    </row>
    <row r="164" spans="1:28" x14ac:dyDescent="0.2">
      <c r="A164">
        <v>3616</v>
      </c>
      <c r="B164" s="1">
        <v>44604</v>
      </c>
      <c r="C164" t="s">
        <v>28</v>
      </c>
      <c r="D164" t="s">
        <v>85</v>
      </c>
      <c r="E164" t="s">
        <v>30</v>
      </c>
      <c r="F164" t="s">
        <v>31</v>
      </c>
      <c r="G164" t="s">
        <v>32</v>
      </c>
      <c r="H164" t="s">
        <v>55</v>
      </c>
      <c r="I164" t="s">
        <v>34</v>
      </c>
      <c r="J164" t="s">
        <v>65</v>
      </c>
      <c r="K164" s="2">
        <v>29669</v>
      </c>
      <c r="L164" t="s">
        <v>36</v>
      </c>
      <c r="M164" t="s">
        <v>37</v>
      </c>
      <c r="N164" t="s">
        <v>49</v>
      </c>
      <c r="O164" t="s">
        <v>67</v>
      </c>
      <c r="P164" t="s">
        <v>40</v>
      </c>
      <c r="Q164">
        <v>4</v>
      </c>
      <c r="R164" s="2">
        <v>45142</v>
      </c>
      <c r="S164">
        <v>1</v>
      </c>
      <c r="T164">
        <v>1</v>
      </c>
      <c r="U164">
        <v>1</v>
      </c>
      <c r="V164" s="1">
        <v>44956</v>
      </c>
      <c r="W164" t="s">
        <v>50</v>
      </c>
      <c r="X164" t="s">
        <v>42</v>
      </c>
      <c r="Y164" t="s">
        <v>52</v>
      </c>
      <c r="Z164">
        <v>4</v>
      </c>
      <c r="AA164">
        <v>134.93</v>
      </c>
      <c r="AB164">
        <v>41</v>
      </c>
    </row>
    <row r="165" spans="1:28" x14ac:dyDescent="0.2">
      <c r="A165">
        <v>3617</v>
      </c>
      <c r="B165" s="1">
        <v>44958</v>
      </c>
      <c r="C165" t="s">
        <v>28</v>
      </c>
      <c r="D165" t="s">
        <v>44</v>
      </c>
      <c r="E165" t="s">
        <v>30</v>
      </c>
      <c r="F165" t="s">
        <v>55</v>
      </c>
      <c r="G165" t="s">
        <v>32</v>
      </c>
      <c r="H165" t="s">
        <v>55</v>
      </c>
      <c r="I165" t="s">
        <v>34</v>
      </c>
      <c r="J165" t="s">
        <v>101</v>
      </c>
      <c r="K165" s="2">
        <v>22330</v>
      </c>
      <c r="L165" t="s">
        <v>36</v>
      </c>
      <c r="M165" t="s">
        <v>37</v>
      </c>
      <c r="N165" t="s">
        <v>49</v>
      </c>
      <c r="O165" t="s">
        <v>67</v>
      </c>
      <c r="P165" t="s">
        <v>40</v>
      </c>
      <c r="Q165">
        <v>1</v>
      </c>
      <c r="R165" s="2">
        <v>44983</v>
      </c>
      <c r="S165">
        <v>2</v>
      </c>
      <c r="T165">
        <v>3</v>
      </c>
      <c r="U165">
        <v>3</v>
      </c>
      <c r="V165" s="1">
        <v>45025</v>
      </c>
      <c r="W165" t="s">
        <v>50</v>
      </c>
      <c r="X165" t="s">
        <v>42</v>
      </c>
      <c r="Y165" t="s">
        <v>63</v>
      </c>
      <c r="Z165">
        <v>5</v>
      </c>
      <c r="AA165">
        <v>531.1</v>
      </c>
      <c r="AB165">
        <v>62</v>
      </c>
    </row>
    <row r="166" spans="1:28" x14ac:dyDescent="0.2">
      <c r="A166">
        <v>3618</v>
      </c>
      <c r="B166" s="1">
        <v>44961</v>
      </c>
      <c r="C166" t="s">
        <v>28</v>
      </c>
      <c r="D166" t="s">
        <v>87</v>
      </c>
      <c r="E166" t="s">
        <v>30</v>
      </c>
      <c r="F166" t="s">
        <v>46</v>
      </c>
      <c r="G166" t="s">
        <v>56</v>
      </c>
      <c r="H166" t="s">
        <v>33</v>
      </c>
      <c r="I166" t="s">
        <v>34</v>
      </c>
      <c r="J166" t="s">
        <v>89</v>
      </c>
      <c r="K166" s="2">
        <v>16197</v>
      </c>
      <c r="L166" t="s">
        <v>36</v>
      </c>
      <c r="M166" t="s">
        <v>48</v>
      </c>
      <c r="N166" t="s">
        <v>72</v>
      </c>
      <c r="O166" t="s">
        <v>67</v>
      </c>
      <c r="P166" t="s">
        <v>40</v>
      </c>
      <c r="Q166">
        <v>3</v>
      </c>
      <c r="R166" s="2">
        <v>44901</v>
      </c>
      <c r="S166">
        <v>3</v>
      </c>
      <c r="T166">
        <v>4</v>
      </c>
      <c r="U166">
        <v>5</v>
      </c>
      <c r="V166" s="1">
        <v>44921</v>
      </c>
      <c r="W166" t="s">
        <v>41</v>
      </c>
      <c r="X166" t="s">
        <v>51</v>
      </c>
      <c r="Y166" t="s">
        <v>73</v>
      </c>
      <c r="Z166">
        <v>3</v>
      </c>
      <c r="AA166">
        <v>609.29999999999995</v>
      </c>
      <c r="AB166">
        <v>79</v>
      </c>
    </row>
    <row r="167" spans="1:28" x14ac:dyDescent="0.2">
      <c r="A167">
        <v>3619</v>
      </c>
      <c r="B167" s="1">
        <v>45008</v>
      </c>
      <c r="C167" t="s">
        <v>28</v>
      </c>
      <c r="D167" t="s">
        <v>64</v>
      </c>
      <c r="E167" t="s">
        <v>30</v>
      </c>
      <c r="F167" t="s">
        <v>55</v>
      </c>
      <c r="G167" t="s">
        <v>45</v>
      </c>
      <c r="H167" t="s">
        <v>55</v>
      </c>
      <c r="I167" t="s">
        <v>34</v>
      </c>
      <c r="J167" t="s">
        <v>65</v>
      </c>
      <c r="K167" s="2">
        <v>30758</v>
      </c>
      <c r="L167" t="s">
        <v>36</v>
      </c>
      <c r="M167" t="s">
        <v>48</v>
      </c>
      <c r="N167" t="s">
        <v>84</v>
      </c>
      <c r="O167" t="s">
        <v>67</v>
      </c>
      <c r="P167" t="s">
        <v>40</v>
      </c>
      <c r="Q167">
        <v>3</v>
      </c>
      <c r="R167" s="2">
        <v>45046</v>
      </c>
      <c r="S167">
        <v>1</v>
      </c>
      <c r="T167">
        <v>5</v>
      </c>
      <c r="U167">
        <v>2</v>
      </c>
      <c r="V167" s="1">
        <v>44875</v>
      </c>
      <c r="W167" t="s">
        <v>62</v>
      </c>
      <c r="X167" t="s">
        <v>42</v>
      </c>
      <c r="Y167" t="s">
        <v>73</v>
      </c>
      <c r="Z167">
        <v>2</v>
      </c>
      <c r="AA167">
        <v>656.68</v>
      </c>
      <c r="AB167">
        <v>39</v>
      </c>
    </row>
    <row r="168" spans="1:28" x14ac:dyDescent="0.2">
      <c r="A168">
        <v>3620</v>
      </c>
      <c r="B168" s="1">
        <v>45007</v>
      </c>
      <c r="C168" t="s">
        <v>28</v>
      </c>
      <c r="D168" t="s">
        <v>94</v>
      </c>
      <c r="E168" t="s">
        <v>30</v>
      </c>
      <c r="F168" t="s">
        <v>46</v>
      </c>
      <c r="G168" t="s">
        <v>45</v>
      </c>
      <c r="H168" t="s">
        <v>33</v>
      </c>
      <c r="I168" t="s">
        <v>34</v>
      </c>
      <c r="J168" t="s">
        <v>75</v>
      </c>
      <c r="K168" s="2">
        <v>34619</v>
      </c>
      <c r="L168" t="s">
        <v>36</v>
      </c>
      <c r="M168" t="s">
        <v>48</v>
      </c>
      <c r="N168" t="s">
        <v>49</v>
      </c>
      <c r="O168" t="s">
        <v>67</v>
      </c>
      <c r="P168" t="s">
        <v>40</v>
      </c>
      <c r="Q168">
        <v>2</v>
      </c>
      <c r="R168" s="2">
        <v>44802</v>
      </c>
      <c r="S168">
        <v>1</v>
      </c>
      <c r="T168">
        <v>2</v>
      </c>
      <c r="U168">
        <v>2</v>
      </c>
      <c r="V168" s="1">
        <v>44915</v>
      </c>
      <c r="W168" t="s">
        <v>68</v>
      </c>
      <c r="X168" t="s">
        <v>42</v>
      </c>
      <c r="Y168" t="s">
        <v>63</v>
      </c>
      <c r="Z168">
        <v>3</v>
      </c>
      <c r="AA168">
        <v>654.22</v>
      </c>
      <c r="AB168">
        <v>29</v>
      </c>
    </row>
    <row r="169" spans="1:28" x14ac:dyDescent="0.2">
      <c r="A169">
        <v>3621</v>
      </c>
      <c r="B169" s="1">
        <v>43432</v>
      </c>
      <c r="C169" t="s">
        <v>28</v>
      </c>
      <c r="D169" t="s">
        <v>74</v>
      </c>
      <c r="E169" t="s">
        <v>30</v>
      </c>
      <c r="F169" t="s">
        <v>31</v>
      </c>
      <c r="G169" t="s">
        <v>45</v>
      </c>
      <c r="H169" t="s">
        <v>55</v>
      </c>
      <c r="I169" t="s">
        <v>34</v>
      </c>
      <c r="J169" t="s">
        <v>103</v>
      </c>
      <c r="K169" s="2">
        <v>35682</v>
      </c>
      <c r="L169" t="s">
        <v>36</v>
      </c>
      <c r="M169" t="s">
        <v>48</v>
      </c>
      <c r="N169" t="s">
        <v>38</v>
      </c>
      <c r="O169" t="s">
        <v>67</v>
      </c>
      <c r="P169" t="s">
        <v>40</v>
      </c>
      <c r="Q169">
        <v>2</v>
      </c>
      <c r="R169" s="2">
        <v>45100</v>
      </c>
      <c r="S169">
        <v>2</v>
      </c>
      <c r="T169">
        <v>3</v>
      </c>
      <c r="U169">
        <v>2</v>
      </c>
      <c r="V169" s="1">
        <v>45122</v>
      </c>
      <c r="W169" t="s">
        <v>41</v>
      </c>
      <c r="X169" t="s">
        <v>51</v>
      </c>
      <c r="Y169" t="s">
        <v>73</v>
      </c>
      <c r="Z169">
        <v>3</v>
      </c>
      <c r="AA169">
        <v>879.89</v>
      </c>
      <c r="AB169">
        <v>21</v>
      </c>
    </row>
    <row r="170" spans="1:28" x14ac:dyDescent="0.2">
      <c r="A170">
        <v>3622</v>
      </c>
      <c r="B170" s="1">
        <v>44021</v>
      </c>
      <c r="C170" t="s">
        <v>106</v>
      </c>
      <c r="D170" t="s">
        <v>85</v>
      </c>
      <c r="E170" t="s">
        <v>30</v>
      </c>
      <c r="F170" t="s">
        <v>46</v>
      </c>
      <c r="G170" t="s">
        <v>45</v>
      </c>
      <c r="H170" t="s">
        <v>33</v>
      </c>
      <c r="I170" t="s">
        <v>34</v>
      </c>
      <c r="J170" t="s">
        <v>70</v>
      </c>
      <c r="K170" s="2">
        <v>34988</v>
      </c>
      <c r="L170" t="s">
        <v>36</v>
      </c>
      <c r="M170" t="s">
        <v>37</v>
      </c>
      <c r="N170" t="s">
        <v>49</v>
      </c>
      <c r="O170" t="s">
        <v>77</v>
      </c>
      <c r="P170" t="s">
        <v>40</v>
      </c>
      <c r="Q170">
        <v>3</v>
      </c>
      <c r="R170" s="2">
        <v>45133</v>
      </c>
      <c r="S170">
        <v>3</v>
      </c>
      <c r="T170">
        <v>1</v>
      </c>
      <c r="U170">
        <v>5</v>
      </c>
      <c r="V170" s="1">
        <v>45057</v>
      </c>
      <c r="W170" t="s">
        <v>62</v>
      </c>
      <c r="X170" t="s">
        <v>51</v>
      </c>
      <c r="Y170" t="s">
        <v>63</v>
      </c>
      <c r="Z170">
        <v>1</v>
      </c>
      <c r="AA170">
        <v>977.23</v>
      </c>
      <c r="AB170">
        <v>25</v>
      </c>
    </row>
    <row r="171" spans="1:28" x14ac:dyDescent="0.2">
      <c r="A171">
        <v>3623</v>
      </c>
      <c r="B171" s="1">
        <v>43507</v>
      </c>
      <c r="C171" t="s">
        <v>106</v>
      </c>
      <c r="D171" t="s">
        <v>44</v>
      </c>
      <c r="E171" t="s">
        <v>30</v>
      </c>
      <c r="F171" t="s">
        <v>46</v>
      </c>
      <c r="G171" t="s">
        <v>45</v>
      </c>
      <c r="H171" t="s">
        <v>55</v>
      </c>
      <c r="I171" t="s">
        <v>34</v>
      </c>
      <c r="J171" t="s">
        <v>79</v>
      </c>
      <c r="K171" s="2">
        <v>21300</v>
      </c>
      <c r="L171" t="s">
        <v>36</v>
      </c>
      <c r="M171" t="s">
        <v>37</v>
      </c>
      <c r="N171" t="s">
        <v>84</v>
      </c>
      <c r="O171" t="s">
        <v>77</v>
      </c>
      <c r="P171" t="s">
        <v>40</v>
      </c>
      <c r="Q171">
        <v>3</v>
      </c>
      <c r="R171" s="2">
        <v>44899</v>
      </c>
      <c r="S171">
        <v>2</v>
      </c>
      <c r="T171">
        <v>2</v>
      </c>
      <c r="U171">
        <v>5</v>
      </c>
      <c r="V171" s="1">
        <v>45141</v>
      </c>
      <c r="W171" t="s">
        <v>62</v>
      </c>
      <c r="X171" t="s">
        <v>51</v>
      </c>
      <c r="Y171" t="s">
        <v>63</v>
      </c>
      <c r="Z171">
        <v>2</v>
      </c>
      <c r="AA171">
        <v>763.37</v>
      </c>
      <c r="AB171">
        <v>61</v>
      </c>
    </row>
    <row r="172" spans="1:28" x14ac:dyDescent="0.2">
      <c r="A172">
        <v>3624</v>
      </c>
      <c r="B172" s="1">
        <v>43839</v>
      </c>
      <c r="C172" t="s">
        <v>106</v>
      </c>
      <c r="D172" t="s">
        <v>87</v>
      </c>
      <c r="E172" t="s">
        <v>30</v>
      </c>
      <c r="F172" t="s">
        <v>46</v>
      </c>
      <c r="G172" t="s">
        <v>56</v>
      </c>
      <c r="H172" t="s">
        <v>46</v>
      </c>
      <c r="I172" t="s">
        <v>34</v>
      </c>
      <c r="J172" t="s">
        <v>110</v>
      </c>
      <c r="K172" s="2">
        <v>35099</v>
      </c>
      <c r="L172" t="s">
        <v>36</v>
      </c>
      <c r="M172" t="s">
        <v>37</v>
      </c>
      <c r="N172" t="s">
        <v>84</v>
      </c>
      <c r="O172" t="s">
        <v>67</v>
      </c>
      <c r="P172" t="s">
        <v>40</v>
      </c>
      <c r="Q172">
        <v>4</v>
      </c>
      <c r="R172" s="2">
        <v>44935</v>
      </c>
      <c r="S172">
        <v>2</v>
      </c>
      <c r="T172">
        <v>2</v>
      </c>
      <c r="U172">
        <v>2</v>
      </c>
      <c r="V172" s="1">
        <v>45021</v>
      </c>
      <c r="W172" t="s">
        <v>92</v>
      </c>
      <c r="X172" t="s">
        <v>51</v>
      </c>
      <c r="Y172" t="s">
        <v>73</v>
      </c>
      <c r="Z172">
        <v>5</v>
      </c>
      <c r="AA172">
        <v>962.13</v>
      </c>
      <c r="AB172">
        <v>24</v>
      </c>
    </row>
    <row r="173" spans="1:28" x14ac:dyDescent="0.2">
      <c r="A173">
        <v>3625</v>
      </c>
      <c r="B173" s="1">
        <v>44511</v>
      </c>
      <c r="C173" t="s">
        <v>106</v>
      </c>
      <c r="D173" t="s">
        <v>64</v>
      </c>
      <c r="E173" t="s">
        <v>108</v>
      </c>
      <c r="F173" t="s">
        <v>31</v>
      </c>
      <c r="G173" t="s">
        <v>56</v>
      </c>
      <c r="H173" t="s">
        <v>46</v>
      </c>
      <c r="I173" t="s">
        <v>34</v>
      </c>
      <c r="J173" t="s">
        <v>79</v>
      </c>
      <c r="K173" s="2">
        <v>27742</v>
      </c>
      <c r="L173" t="s">
        <v>36</v>
      </c>
      <c r="M173" t="s">
        <v>37</v>
      </c>
      <c r="N173" t="s">
        <v>84</v>
      </c>
      <c r="O173" t="s">
        <v>61</v>
      </c>
      <c r="P173" t="s">
        <v>40</v>
      </c>
      <c r="Q173">
        <v>5</v>
      </c>
      <c r="R173" s="2">
        <v>44801</v>
      </c>
      <c r="S173">
        <v>5</v>
      </c>
      <c r="T173">
        <v>2</v>
      </c>
      <c r="U173">
        <v>4</v>
      </c>
      <c r="V173" s="1">
        <v>45011</v>
      </c>
      <c r="W173" t="s">
        <v>68</v>
      </c>
      <c r="X173" t="s">
        <v>51</v>
      </c>
      <c r="Y173" t="s">
        <v>52</v>
      </c>
      <c r="Z173">
        <v>2</v>
      </c>
      <c r="AA173">
        <v>617.27</v>
      </c>
      <c r="AB173">
        <v>46</v>
      </c>
    </row>
    <row r="174" spans="1:28" x14ac:dyDescent="0.2">
      <c r="A174">
        <v>3626</v>
      </c>
      <c r="B174" s="1">
        <v>44331</v>
      </c>
      <c r="C174" t="s">
        <v>106</v>
      </c>
      <c r="D174" t="s">
        <v>94</v>
      </c>
      <c r="E174" t="s">
        <v>30</v>
      </c>
      <c r="F174" t="s">
        <v>55</v>
      </c>
      <c r="G174" t="s">
        <v>56</v>
      </c>
      <c r="H174" t="s">
        <v>33</v>
      </c>
      <c r="I174" t="s">
        <v>34</v>
      </c>
      <c r="J174" t="s">
        <v>70</v>
      </c>
      <c r="K174" s="2">
        <v>34270</v>
      </c>
      <c r="L174" t="s">
        <v>36</v>
      </c>
      <c r="M174" t="s">
        <v>37</v>
      </c>
      <c r="N174" t="s">
        <v>84</v>
      </c>
      <c r="O174" t="s">
        <v>61</v>
      </c>
      <c r="P174" t="s">
        <v>40</v>
      </c>
      <c r="Q174">
        <v>2</v>
      </c>
      <c r="R174" s="2">
        <v>44981</v>
      </c>
      <c r="S174">
        <v>2</v>
      </c>
      <c r="T174">
        <v>5</v>
      </c>
      <c r="U174">
        <v>1</v>
      </c>
      <c r="V174" s="1">
        <v>44829</v>
      </c>
      <c r="W174" t="s">
        <v>92</v>
      </c>
      <c r="X174" t="s">
        <v>42</v>
      </c>
      <c r="Y174" t="s">
        <v>43</v>
      </c>
      <c r="Z174">
        <v>2</v>
      </c>
      <c r="AA174">
        <v>559.78</v>
      </c>
      <c r="AB174">
        <v>28</v>
      </c>
    </row>
    <row r="175" spans="1:28" x14ac:dyDescent="0.2">
      <c r="A175">
        <v>3627</v>
      </c>
      <c r="B175" s="1">
        <v>43698</v>
      </c>
      <c r="C175" t="s">
        <v>106</v>
      </c>
      <c r="D175" t="s">
        <v>74</v>
      </c>
      <c r="E175" t="s">
        <v>108</v>
      </c>
      <c r="F175" t="s">
        <v>31</v>
      </c>
      <c r="G175" t="s">
        <v>32</v>
      </c>
      <c r="H175" t="s">
        <v>55</v>
      </c>
      <c r="I175" t="s">
        <v>34</v>
      </c>
      <c r="J175" t="s">
        <v>70</v>
      </c>
      <c r="K175" s="2">
        <v>24526</v>
      </c>
      <c r="L175" t="s">
        <v>36</v>
      </c>
      <c r="M175" t="s">
        <v>37</v>
      </c>
      <c r="N175" t="s">
        <v>72</v>
      </c>
      <c r="O175" t="s">
        <v>67</v>
      </c>
      <c r="P175" t="s">
        <v>40</v>
      </c>
      <c r="Q175">
        <v>3</v>
      </c>
      <c r="R175" s="2">
        <v>44955</v>
      </c>
      <c r="S175">
        <v>1</v>
      </c>
      <c r="T175">
        <v>1</v>
      </c>
      <c r="U175">
        <v>4</v>
      </c>
      <c r="V175" s="1">
        <v>44803</v>
      </c>
      <c r="W175" t="s">
        <v>41</v>
      </c>
      <c r="X175" t="s">
        <v>42</v>
      </c>
      <c r="Y175" t="s">
        <v>52</v>
      </c>
      <c r="Z175">
        <v>5</v>
      </c>
      <c r="AA175">
        <v>113.89</v>
      </c>
      <c r="AB175">
        <v>52</v>
      </c>
    </row>
    <row r="176" spans="1:28" x14ac:dyDescent="0.2">
      <c r="A176">
        <v>3628</v>
      </c>
      <c r="B176" s="1">
        <v>44092</v>
      </c>
      <c r="C176" t="s">
        <v>106</v>
      </c>
      <c r="D176" t="s">
        <v>81</v>
      </c>
      <c r="E176" t="s">
        <v>30</v>
      </c>
      <c r="F176" t="s">
        <v>31</v>
      </c>
      <c r="G176" t="s">
        <v>56</v>
      </c>
      <c r="H176" t="s">
        <v>46</v>
      </c>
      <c r="I176" t="s">
        <v>34</v>
      </c>
      <c r="J176" t="s">
        <v>79</v>
      </c>
      <c r="K176" s="2">
        <v>16829</v>
      </c>
      <c r="L176" t="s">
        <v>36</v>
      </c>
      <c r="M176" t="s">
        <v>37</v>
      </c>
      <c r="N176" t="s">
        <v>49</v>
      </c>
      <c r="O176" t="s">
        <v>67</v>
      </c>
      <c r="P176" t="s">
        <v>40</v>
      </c>
      <c r="Q176">
        <v>3</v>
      </c>
      <c r="R176" s="2">
        <v>45073</v>
      </c>
      <c r="S176">
        <v>4</v>
      </c>
      <c r="T176">
        <v>3</v>
      </c>
      <c r="U176">
        <v>1</v>
      </c>
      <c r="V176" s="1">
        <v>44829</v>
      </c>
      <c r="W176" t="s">
        <v>41</v>
      </c>
      <c r="X176" t="s">
        <v>42</v>
      </c>
      <c r="Y176" t="s">
        <v>52</v>
      </c>
      <c r="Z176">
        <v>4</v>
      </c>
      <c r="AA176">
        <v>858.62</v>
      </c>
      <c r="AB176">
        <v>74</v>
      </c>
    </row>
    <row r="177" spans="1:28" x14ac:dyDescent="0.2">
      <c r="A177">
        <v>3629</v>
      </c>
      <c r="B177" s="1">
        <v>44800</v>
      </c>
      <c r="C177" t="s">
        <v>28</v>
      </c>
      <c r="D177" t="s">
        <v>81</v>
      </c>
      <c r="E177" t="s">
        <v>108</v>
      </c>
      <c r="F177" t="s">
        <v>31</v>
      </c>
      <c r="G177" t="s">
        <v>56</v>
      </c>
      <c r="H177" t="s">
        <v>55</v>
      </c>
      <c r="I177" t="s">
        <v>34</v>
      </c>
      <c r="J177" t="s">
        <v>70</v>
      </c>
      <c r="K177" s="2">
        <v>30646</v>
      </c>
      <c r="L177" t="s">
        <v>36</v>
      </c>
      <c r="M177" t="s">
        <v>48</v>
      </c>
      <c r="N177" t="s">
        <v>72</v>
      </c>
      <c r="O177" t="s">
        <v>77</v>
      </c>
      <c r="P177" t="s">
        <v>40</v>
      </c>
      <c r="Q177">
        <v>5</v>
      </c>
      <c r="R177" s="2">
        <v>44883</v>
      </c>
      <c r="S177">
        <v>2</v>
      </c>
      <c r="T177">
        <v>4</v>
      </c>
      <c r="U177">
        <v>4</v>
      </c>
      <c r="V177" s="1">
        <v>45137</v>
      </c>
      <c r="W177" t="s">
        <v>68</v>
      </c>
      <c r="X177" t="s">
        <v>42</v>
      </c>
      <c r="Y177" t="s">
        <v>52</v>
      </c>
      <c r="Z177">
        <v>1</v>
      </c>
      <c r="AA177">
        <v>343.76</v>
      </c>
      <c r="AB177">
        <v>39</v>
      </c>
    </row>
    <row r="178" spans="1:28" x14ac:dyDescent="0.2">
      <c r="A178">
        <v>3630</v>
      </c>
      <c r="B178" s="1">
        <v>43519</v>
      </c>
      <c r="C178" t="s">
        <v>28</v>
      </c>
      <c r="D178" t="s">
        <v>87</v>
      </c>
      <c r="E178" t="s">
        <v>30</v>
      </c>
      <c r="F178" t="s">
        <v>31</v>
      </c>
      <c r="G178" t="s">
        <v>56</v>
      </c>
      <c r="H178" t="s">
        <v>55</v>
      </c>
      <c r="I178" t="s">
        <v>34</v>
      </c>
      <c r="J178" t="s">
        <v>70</v>
      </c>
      <c r="K178" s="2">
        <v>23869</v>
      </c>
      <c r="L178" t="s">
        <v>36</v>
      </c>
      <c r="M178" t="s">
        <v>48</v>
      </c>
      <c r="N178" t="s">
        <v>60</v>
      </c>
      <c r="O178" t="s">
        <v>39</v>
      </c>
      <c r="P178" t="s">
        <v>40</v>
      </c>
      <c r="Q178">
        <v>5</v>
      </c>
      <c r="R178" s="2">
        <v>44853</v>
      </c>
      <c r="S178">
        <v>5</v>
      </c>
      <c r="T178">
        <v>3</v>
      </c>
      <c r="U178">
        <v>2</v>
      </c>
      <c r="V178" s="1">
        <v>44828</v>
      </c>
      <c r="W178" t="s">
        <v>68</v>
      </c>
      <c r="X178" t="s">
        <v>42</v>
      </c>
      <c r="Y178" t="s">
        <v>43</v>
      </c>
      <c r="Z178">
        <v>5</v>
      </c>
      <c r="AA178">
        <v>507.58</v>
      </c>
      <c r="AB178">
        <v>54</v>
      </c>
    </row>
    <row r="179" spans="1:28" x14ac:dyDescent="0.2">
      <c r="A179">
        <v>3631</v>
      </c>
      <c r="B179" s="1">
        <v>44781</v>
      </c>
      <c r="C179" t="s">
        <v>28</v>
      </c>
      <c r="D179" t="s">
        <v>44</v>
      </c>
      <c r="E179" t="s">
        <v>30</v>
      </c>
      <c r="F179" t="s">
        <v>31</v>
      </c>
      <c r="G179" t="s">
        <v>32</v>
      </c>
      <c r="H179" t="s">
        <v>55</v>
      </c>
      <c r="I179" t="s">
        <v>34</v>
      </c>
      <c r="J179" t="s">
        <v>101</v>
      </c>
      <c r="K179" s="2">
        <v>17285</v>
      </c>
      <c r="L179" t="s">
        <v>36</v>
      </c>
      <c r="M179" t="s">
        <v>48</v>
      </c>
      <c r="N179" t="s">
        <v>60</v>
      </c>
      <c r="O179" t="s">
        <v>77</v>
      </c>
      <c r="P179" t="s">
        <v>40</v>
      </c>
      <c r="Q179">
        <v>3</v>
      </c>
      <c r="R179" s="2">
        <v>44967</v>
      </c>
      <c r="S179">
        <v>4</v>
      </c>
      <c r="T179">
        <v>1</v>
      </c>
      <c r="U179">
        <v>5</v>
      </c>
      <c r="V179" s="1">
        <v>45026</v>
      </c>
      <c r="W179" t="s">
        <v>50</v>
      </c>
      <c r="X179" t="s">
        <v>42</v>
      </c>
      <c r="Y179" t="s">
        <v>63</v>
      </c>
      <c r="Z179">
        <v>1</v>
      </c>
      <c r="AA179">
        <v>691.12</v>
      </c>
      <c r="AB179">
        <v>75</v>
      </c>
    </row>
    <row r="180" spans="1:28" x14ac:dyDescent="0.2">
      <c r="A180">
        <v>3632</v>
      </c>
      <c r="B180" s="1">
        <v>44828</v>
      </c>
      <c r="C180" t="s">
        <v>28</v>
      </c>
      <c r="D180" t="s">
        <v>29</v>
      </c>
      <c r="E180" t="s">
        <v>30</v>
      </c>
      <c r="F180" t="s">
        <v>31</v>
      </c>
      <c r="G180" t="s">
        <v>32</v>
      </c>
      <c r="H180" t="s">
        <v>55</v>
      </c>
      <c r="I180" t="s">
        <v>34</v>
      </c>
      <c r="J180" t="s">
        <v>70</v>
      </c>
      <c r="K180" s="2">
        <v>16713</v>
      </c>
      <c r="L180" t="s">
        <v>36</v>
      </c>
      <c r="M180" t="s">
        <v>48</v>
      </c>
      <c r="N180" t="s">
        <v>84</v>
      </c>
      <c r="O180" t="s">
        <v>67</v>
      </c>
      <c r="P180" t="s">
        <v>40</v>
      </c>
      <c r="Q180">
        <v>3</v>
      </c>
      <c r="R180" s="2">
        <v>44984</v>
      </c>
      <c r="S180">
        <v>3</v>
      </c>
      <c r="T180">
        <v>4</v>
      </c>
      <c r="U180">
        <v>5</v>
      </c>
      <c r="V180" s="1">
        <v>45100</v>
      </c>
      <c r="W180" t="s">
        <v>68</v>
      </c>
      <c r="X180" t="s">
        <v>42</v>
      </c>
      <c r="Y180" t="s">
        <v>63</v>
      </c>
      <c r="Z180">
        <v>2</v>
      </c>
      <c r="AA180">
        <v>174.85</v>
      </c>
      <c r="AB180">
        <v>77</v>
      </c>
    </row>
    <row r="181" spans="1:28" x14ac:dyDescent="0.2">
      <c r="A181">
        <v>3633</v>
      </c>
      <c r="B181" s="1">
        <v>44641</v>
      </c>
      <c r="C181" t="s">
        <v>28</v>
      </c>
      <c r="D181" t="s">
        <v>69</v>
      </c>
      <c r="E181" t="s">
        <v>30</v>
      </c>
      <c r="F181" t="s">
        <v>31</v>
      </c>
      <c r="G181" t="s">
        <v>56</v>
      </c>
      <c r="H181" t="s">
        <v>33</v>
      </c>
      <c r="I181" t="s">
        <v>34</v>
      </c>
      <c r="J181" t="s">
        <v>47</v>
      </c>
      <c r="K181" s="2">
        <v>31860</v>
      </c>
      <c r="L181" t="s">
        <v>36</v>
      </c>
      <c r="M181" t="s">
        <v>37</v>
      </c>
      <c r="N181" t="s">
        <v>49</v>
      </c>
      <c r="O181" t="s">
        <v>61</v>
      </c>
      <c r="P181" t="s">
        <v>40</v>
      </c>
      <c r="Q181">
        <v>5</v>
      </c>
      <c r="R181" s="2">
        <v>44869</v>
      </c>
      <c r="S181">
        <v>4</v>
      </c>
      <c r="T181">
        <v>4</v>
      </c>
      <c r="U181">
        <v>4</v>
      </c>
      <c r="V181" s="1">
        <v>44896</v>
      </c>
      <c r="W181" t="s">
        <v>92</v>
      </c>
      <c r="X181" t="s">
        <v>42</v>
      </c>
      <c r="Y181" t="s">
        <v>52</v>
      </c>
      <c r="Z181">
        <v>3</v>
      </c>
      <c r="AA181">
        <v>699.39</v>
      </c>
      <c r="AB181">
        <v>35</v>
      </c>
    </row>
    <row r="182" spans="1:28" x14ac:dyDescent="0.2">
      <c r="A182">
        <v>3634</v>
      </c>
      <c r="B182" s="1">
        <v>45100</v>
      </c>
      <c r="C182" t="s">
        <v>28</v>
      </c>
      <c r="D182" t="s">
        <v>94</v>
      </c>
      <c r="E182" t="s">
        <v>30</v>
      </c>
      <c r="F182" t="s">
        <v>46</v>
      </c>
      <c r="G182" t="s">
        <v>56</v>
      </c>
      <c r="H182" t="s">
        <v>55</v>
      </c>
      <c r="I182" t="s">
        <v>34</v>
      </c>
      <c r="J182" t="s">
        <v>58</v>
      </c>
      <c r="K182" s="2">
        <v>22762</v>
      </c>
      <c r="L182" t="s">
        <v>36</v>
      </c>
      <c r="M182" t="s">
        <v>37</v>
      </c>
      <c r="N182" t="s">
        <v>60</v>
      </c>
      <c r="O182" t="s">
        <v>67</v>
      </c>
      <c r="P182" t="s">
        <v>40</v>
      </c>
      <c r="Q182">
        <v>5</v>
      </c>
      <c r="R182" s="2">
        <v>45102</v>
      </c>
      <c r="S182">
        <v>2</v>
      </c>
      <c r="T182">
        <v>5</v>
      </c>
      <c r="U182">
        <v>2</v>
      </c>
      <c r="V182" s="1">
        <v>44819</v>
      </c>
      <c r="W182" t="s">
        <v>68</v>
      </c>
      <c r="X182" t="s">
        <v>51</v>
      </c>
      <c r="Y182" t="s">
        <v>52</v>
      </c>
      <c r="Z182">
        <v>3</v>
      </c>
      <c r="AA182">
        <v>254.68</v>
      </c>
      <c r="AB182">
        <v>61</v>
      </c>
    </row>
    <row r="183" spans="1:28" x14ac:dyDescent="0.2">
      <c r="A183">
        <v>3635</v>
      </c>
      <c r="B183" s="1">
        <v>44130</v>
      </c>
      <c r="C183" t="s">
        <v>28</v>
      </c>
      <c r="D183" t="s">
        <v>74</v>
      </c>
      <c r="E183" t="s">
        <v>30</v>
      </c>
      <c r="F183" t="s">
        <v>46</v>
      </c>
      <c r="G183" t="s">
        <v>32</v>
      </c>
      <c r="H183" t="s">
        <v>46</v>
      </c>
      <c r="I183" t="s">
        <v>34</v>
      </c>
      <c r="J183" t="s">
        <v>105</v>
      </c>
      <c r="K183" s="2">
        <v>28561</v>
      </c>
      <c r="L183" t="s">
        <v>36</v>
      </c>
      <c r="M183" t="s">
        <v>37</v>
      </c>
      <c r="N183" t="s">
        <v>49</v>
      </c>
      <c r="O183" t="s">
        <v>61</v>
      </c>
      <c r="P183" t="s">
        <v>40</v>
      </c>
      <c r="Q183">
        <v>4</v>
      </c>
      <c r="R183" s="2">
        <v>44841</v>
      </c>
      <c r="S183">
        <v>1</v>
      </c>
      <c r="T183">
        <v>5</v>
      </c>
      <c r="U183">
        <v>4</v>
      </c>
      <c r="V183" s="1">
        <v>45090</v>
      </c>
      <c r="W183" t="s">
        <v>68</v>
      </c>
      <c r="X183" t="s">
        <v>51</v>
      </c>
      <c r="Y183" t="s">
        <v>43</v>
      </c>
      <c r="Z183">
        <v>2</v>
      </c>
      <c r="AA183">
        <v>534.54999999999995</v>
      </c>
      <c r="AB183">
        <v>42</v>
      </c>
    </row>
    <row r="184" spans="1:28" x14ac:dyDescent="0.2">
      <c r="A184">
        <v>3636</v>
      </c>
      <c r="B184" s="1">
        <v>43859</v>
      </c>
      <c r="C184" t="s">
        <v>28</v>
      </c>
      <c r="D184" t="s">
        <v>81</v>
      </c>
      <c r="E184" t="s">
        <v>30</v>
      </c>
      <c r="F184" t="s">
        <v>31</v>
      </c>
      <c r="G184" t="s">
        <v>56</v>
      </c>
      <c r="H184" t="s">
        <v>33</v>
      </c>
      <c r="I184" t="s">
        <v>34</v>
      </c>
      <c r="J184" t="s">
        <v>102</v>
      </c>
      <c r="K184" s="2">
        <v>30023</v>
      </c>
      <c r="L184" t="s">
        <v>36</v>
      </c>
      <c r="M184" t="s">
        <v>48</v>
      </c>
      <c r="N184" t="s">
        <v>84</v>
      </c>
      <c r="O184" t="s">
        <v>77</v>
      </c>
      <c r="P184" t="s">
        <v>40</v>
      </c>
      <c r="Q184">
        <v>3</v>
      </c>
      <c r="R184" s="2">
        <v>44903</v>
      </c>
      <c r="S184">
        <v>3</v>
      </c>
      <c r="T184">
        <v>5</v>
      </c>
      <c r="U184">
        <v>3</v>
      </c>
      <c r="V184" s="1">
        <v>44799</v>
      </c>
      <c r="W184" t="s">
        <v>92</v>
      </c>
      <c r="X184" t="s">
        <v>51</v>
      </c>
      <c r="Y184" t="s">
        <v>73</v>
      </c>
      <c r="Z184">
        <v>3</v>
      </c>
      <c r="AA184">
        <v>795.72</v>
      </c>
      <c r="AB184">
        <v>38</v>
      </c>
    </row>
    <row r="185" spans="1:28" x14ac:dyDescent="0.2">
      <c r="A185">
        <v>3637</v>
      </c>
      <c r="B185" s="1">
        <v>44674</v>
      </c>
      <c r="C185" t="s">
        <v>28</v>
      </c>
      <c r="D185" t="s">
        <v>54</v>
      </c>
      <c r="E185" t="s">
        <v>30</v>
      </c>
      <c r="F185" t="s">
        <v>55</v>
      </c>
      <c r="G185" t="s">
        <v>32</v>
      </c>
      <c r="H185" t="s">
        <v>55</v>
      </c>
      <c r="I185" t="s">
        <v>34</v>
      </c>
      <c r="J185" t="s">
        <v>47</v>
      </c>
      <c r="K185" s="2">
        <v>34806</v>
      </c>
      <c r="L185" t="s">
        <v>36</v>
      </c>
      <c r="M185" t="s">
        <v>48</v>
      </c>
      <c r="N185" t="s">
        <v>84</v>
      </c>
      <c r="O185" t="s">
        <v>77</v>
      </c>
      <c r="P185" t="s">
        <v>40</v>
      </c>
      <c r="Q185">
        <v>3</v>
      </c>
      <c r="R185" s="2">
        <v>45053</v>
      </c>
      <c r="S185">
        <v>2</v>
      </c>
      <c r="T185">
        <v>1</v>
      </c>
      <c r="U185">
        <v>3</v>
      </c>
      <c r="V185" s="1">
        <v>45006</v>
      </c>
      <c r="W185" t="s">
        <v>62</v>
      </c>
      <c r="X185" t="s">
        <v>51</v>
      </c>
      <c r="Y185" t="s">
        <v>63</v>
      </c>
      <c r="Z185">
        <v>4</v>
      </c>
      <c r="AA185">
        <v>977.23</v>
      </c>
      <c r="AB185">
        <v>27</v>
      </c>
    </row>
    <row r="186" spans="1:28" x14ac:dyDescent="0.2">
      <c r="A186">
        <v>3638</v>
      </c>
      <c r="B186" s="1">
        <v>45092</v>
      </c>
      <c r="C186" t="s">
        <v>28</v>
      </c>
      <c r="D186" t="s">
        <v>69</v>
      </c>
      <c r="E186" t="s">
        <v>30</v>
      </c>
      <c r="F186" t="s">
        <v>55</v>
      </c>
      <c r="G186" t="s">
        <v>32</v>
      </c>
      <c r="H186" t="s">
        <v>46</v>
      </c>
      <c r="I186" t="s">
        <v>34</v>
      </c>
      <c r="J186" t="s">
        <v>70</v>
      </c>
      <c r="K186" s="2">
        <v>28834</v>
      </c>
      <c r="L186" t="s">
        <v>36</v>
      </c>
      <c r="M186" t="s">
        <v>48</v>
      </c>
      <c r="N186" t="s">
        <v>49</v>
      </c>
      <c r="O186" t="s">
        <v>61</v>
      </c>
      <c r="P186" t="s">
        <v>40</v>
      </c>
      <c r="Q186">
        <v>3</v>
      </c>
      <c r="R186" s="2">
        <v>45061</v>
      </c>
      <c r="S186">
        <v>4</v>
      </c>
      <c r="T186">
        <v>5</v>
      </c>
      <c r="U186">
        <v>1</v>
      </c>
      <c r="V186" s="1">
        <v>44927</v>
      </c>
      <c r="W186" t="s">
        <v>50</v>
      </c>
      <c r="X186" t="s">
        <v>42</v>
      </c>
      <c r="Y186" t="s">
        <v>63</v>
      </c>
      <c r="Z186">
        <v>3</v>
      </c>
      <c r="AA186">
        <v>370.79</v>
      </c>
      <c r="AB186">
        <v>45</v>
      </c>
    </row>
    <row r="187" spans="1:28" x14ac:dyDescent="0.2">
      <c r="A187">
        <v>3640</v>
      </c>
      <c r="B187" s="1">
        <v>44933</v>
      </c>
      <c r="C187" t="s">
        <v>28</v>
      </c>
      <c r="D187" t="s">
        <v>85</v>
      </c>
      <c r="E187" t="s">
        <v>30</v>
      </c>
      <c r="F187" t="s">
        <v>31</v>
      </c>
      <c r="G187" t="s">
        <v>45</v>
      </c>
      <c r="H187" t="s">
        <v>33</v>
      </c>
      <c r="I187" t="s">
        <v>34</v>
      </c>
      <c r="J187" t="s">
        <v>70</v>
      </c>
      <c r="K187" s="2">
        <v>36790</v>
      </c>
      <c r="L187" t="s">
        <v>36</v>
      </c>
      <c r="M187" t="s">
        <v>37</v>
      </c>
      <c r="N187" t="s">
        <v>84</v>
      </c>
      <c r="O187" t="s">
        <v>77</v>
      </c>
      <c r="P187" t="s">
        <v>40</v>
      </c>
      <c r="Q187">
        <v>3</v>
      </c>
      <c r="R187" s="2">
        <v>45132</v>
      </c>
      <c r="S187">
        <v>2</v>
      </c>
      <c r="T187">
        <v>1</v>
      </c>
      <c r="U187">
        <v>2</v>
      </c>
      <c r="V187" s="1">
        <v>44957</v>
      </c>
      <c r="W187" t="s">
        <v>92</v>
      </c>
      <c r="X187" t="s">
        <v>51</v>
      </c>
      <c r="Y187" t="s">
        <v>73</v>
      </c>
      <c r="Z187">
        <v>1</v>
      </c>
      <c r="AA187">
        <v>699.48</v>
      </c>
      <c r="AB187">
        <v>23</v>
      </c>
    </row>
    <row r="188" spans="1:28" x14ac:dyDescent="0.2">
      <c r="A188">
        <v>3643</v>
      </c>
      <c r="B188" s="1">
        <v>43937</v>
      </c>
      <c r="C188" t="s">
        <v>28</v>
      </c>
      <c r="D188" t="s">
        <v>64</v>
      </c>
      <c r="E188" t="s">
        <v>30</v>
      </c>
      <c r="F188" t="s">
        <v>55</v>
      </c>
      <c r="G188" t="s">
        <v>45</v>
      </c>
      <c r="H188" t="s">
        <v>55</v>
      </c>
      <c r="I188" t="s">
        <v>34</v>
      </c>
      <c r="J188" t="s">
        <v>102</v>
      </c>
      <c r="K188" s="2">
        <v>22362</v>
      </c>
      <c r="L188" t="s">
        <v>36</v>
      </c>
      <c r="M188" t="s">
        <v>48</v>
      </c>
      <c r="N188" t="s">
        <v>84</v>
      </c>
      <c r="O188" t="s">
        <v>61</v>
      </c>
      <c r="P188" t="s">
        <v>40</v>
      </c>
      <c r="Q188">
        <v>3</v>
      </c>
      <c r="R188" s="2">
        <v>45095</v>
      </c>
      <c r="S188">
        <v>1</v>
      </c>
      <c r="T188">
        <v>5</v>
      </c>
      <c r="U188">
        <v>3</v>
      </c>
      <c r="V188" s="1">
        <v>45012</v>
      </c>
      <c r="W188" t="s">
        <v>41</v>
      </c>
      <c r="X188" t="s">
        <v>42</v>
      </c>
      <c r="Y188" t="s">
        <v>63</v>
      </c>
      <c r="Z188">
        <v>4</v>
      </c>
      <c r="AA188">
        <v>712.43</v>
      </c>
      <c r="AB188">
        <v>59</v>
      </c>
    </row>
    <row r="189" spans="1:28" x14ac:dyDescent="0.2">
      <c r="A189">
        <v>3644</v>
      </c>
      <c r="B189" s="1">
        <v>44728</v>
      </c>
      <c r="C189" t="s">
        <v>28</v>
      </c>
      <c r="D189" t="s">
        <v>94</v>
      </c>
      <c r="E189" t="s">
        <v>30</v>
      </c>
      <c r="F189" t="s">
        <v>46</v>
      </c>
      <c r="G189" t="s">
        <v>56</v>
      </c>
      <c r="H189" t="s">
        <v>55</v>
      </c>
      <c r="I189" t="s">
        <v>34</v>
      </c>
      <c r="J189" t="s">
        <v>70</v>
      </c>
      <c r="K189" s="2">
        <v>31587</v>
      </c>
      <c r="L189" t="s">
        <v>36</v>
      </c>
      <c r="M189" t="s">
        <v>48</v>
      </c>
      <c r="N189" t="s">
        <v>72</v>
      </c>
      <c r="O189" t="s">
        <v>67</v>
      </c>
      <c r="P189" t="s">
        <v>40</v>
      </c>
      <c r="Q189">
        <v>3</v>
      </c>
      <c r="R189" s="2">
        <v>44876</v>
      </c>
      <c r="S189">
        <v>4</v>
      </c>
      <c r="T189">
        <v>4</v>
      </c>
      <c r="U189">
        <v>4</v>
      </c>
      <c r="V189" s="1">
        <v>44963</v>
      </c>
      <c r="W189" t="s">
        <v>68</v>
      </c>
      <c r="X189" t="s">
        <v>42</v>
      </c>
      <c r="Y189" t="s">
        <v>52</v>
      </c>
      <c r="Z189">
        <v>1</v>
      </c>
      <c r="AA189">
        <v>504.66</v>
      </c>
      <c r="AB189">
        <v>36</v>
      </c>
    </row>
    <row r="190" spans="1:28" x14ac:dyDescent="0.2">
      <c r="A190">
        <v>3645</v>
      </c>
      <c r="B190" s="1">
        <v>43668</v>
      </c>
      <c r="C190" t="s">
        <v>28</v>
      </c>
      <c r="D190" t="s">
        <v>74</v>
      </c>
      <c r="E190" t="s">
        <v>30</v>
      </c>
      <c r="F190" t="s">
        <v>46</v>
      </c>
      <c r="G190" t="s">
        <v>32</v>
      </c>
      <c r="H190" t="s">
        <v>55</v>
      </c>
      <c r="I190" t="s">
        <v>34</v>
      </c>
      <c r="J190" t="s">
        <v>65</v>
      </c>
      <c r="K190" s="2">
        <v>28384</v>
      </c>
      <c r="L190" t="s">
        <v>36</v>
      </c>
      <c r="M190" t="s">
        <v>48</v>
      </c>
      <c r="N190" t="s">
        <v>84</v>
      </c>
      <c r="O190" t="s">
        <v>61</v>
      </c>
      <c r="P190" t="s">
        <v>40</v>
      </c>
      <c r="Q190">
        <v>3</v>
      </c>
      <c r="R190" s="2">
        <v>45085</v>
      </c>
      <c r="S190">
        <v>1</v>
      </c>
      <c r="T190">
        <v>3</v>
      </c>
      <c r="U190">
        <v>3</v>
      </c>
      <c r="V190" s="1">
        <v>45052</v>
      </c>
      <c r="W190" t="s">
        <v>41</v>
      </c>
      <c r="X190" t="s">
        <v>51</v>
      </c>
      <c r="Y190" t="s">
        <v>52</v>
      </c>
      <c r="Z190">
        <v>5</v>
      </c>
      <c r="AA190">
        <v>398.36</v>
      </c>
      <c r="AB190">
        <v>42</v>
      </c>
    </row>
    <row r="191" spans="1:28" x14ac:dyDescent="0.2">
      <c r="A191">
        <v>3646</v>
      </c>
      <c r="B191" s="1">
        <v>45038</v>
      </c>
      <c r="C191" t="s">
        <v>106</v>
      </c>
      <c r="D191" t="s">
        <v>85</v>
      </c>
      <c r="E191" t="s">
        <v>30</v>
      </c>
      <c r="F191" t="s">
        <v>46</v>
      </c>
      <c r="G191" t="s">
        <v>45</v>
      </c>
      <c r="H191" t="s">
        <v>55</v>
      </c>
      <c r="I191" t="s">
        <v>34</v>
      </c>
      <c r="J191" t="s">
        <v>89</v>
      </c>
      <c r="K191" s="2">
        <v>24838</v>
      </c>
      <c r="L191" t="s">
        <v>36</v>
      </c>
      <c r="M191" t="s">
        <v>37</v>
      </c>
      <c r="N191" t="s">
        <v>49</v>
      </c>
      <c r="O191" t="s">
        <v>39</v>
      </c>
      <c r="P191" t="s">
        <v>40</v>
      </c>
      <c r="Q191">
        <v>3</v>
      </c>
      <c r="R191" s="2">
        <v>45137</v>
      </c>
      <c r="S191">
        <v>5</v>
      </c>
      <c r="T191">
        <v>4</v>
      </c>
      <c r="U191">
        <v>4</v>
      </c>
      <c r="V191" s="1">
        <v>45129</v>
      </c>
      <c r="W191" t="s">
        <v>92</v>
      </c>
      <c r="X191" t="s">
        <v>51</v>
      </c>
      <c r="Y191" t="s">
        <v>43</v>
      </c>
      <c r="Z191">
        <v>4</v>
      </c>
      <c r="AA191">
        <v>533.61</v>
      </c>
      <c r="AB191">
        <v>55</v>
      </c>
    </row>
    <row r="192" spans="1:28" x14ac:dyDescent="0.2">
      <c r="A192">
        <v>3647</v>
      </c>
      <c r="B192" s="1">
        <v>44193</v>
      </c>
      <c r="C192" t="s">
        <v>106</v>
      </c>
      <c r="D192" t="s">
        <v>44</v>
      </c>
      <c r="E192" t="s">
        <v>108</v>
      </c>
      <c r="F192" t="s">
        <v>46</v>
      </c>
      <c r="G192" t="s">
        <v>45</v>
      </c>
      <c r="H192" t="s">
        <v>46</v>
      </c>
      <c r="I192" t="s">
        <v>34</v>
      </c>
      <c r="J192" t="s">
        <v>79</v>
      </c>
      <c r="K192" s="2">
        <v>24312</v>
      </c>
      <c r="L192" t="s">
        <v>36</v>
      </c>
      <c r="M192" t="s">
        <v>37</v>
      </c>
      <c r="N192" t="s">
        <v>72</v>
      </c>
      <c r="O192" t="s">
        <v>61</v>
      </c>
      <c r="P192" t="s">
        <v>40</v>
      </c>
      <c r="Q192">
        <v>3</v>
      </c>
      <c r="R192" s="2">
        <v>44923</v>
      </c>
      <c r="S192">
        <v>2</v>
      </c>
      <c r="T192">
        <v>4</v>
      </c>
      <c r="U192">
        <v>4</v>
      </c>
      <c r="V192" s="1">
        <v>44783</v>
      </c>
      <c r="W192" t="s">
        <v>68</v>
      </c>
      <c r="X192" t="s">
        <v>42</v>
      </c>
      <c r="Y192" t="s">
        <v>63</v>
      </c>
      <c r="Z192">
        <v>4</v>
      </c>
      <c r="AA192">
        <v>199.55</v>
      </c>
      <c r="AB192">
        <v>54</v>
      </c>
    </row>
    <row r="193" spans="1:28" x14ac:dyDescent="0.2">
      <c r="A193">
        <v>3648</v>
      </c>
      <c r="B193" s="1">
        <v>44615</v>
      </c>
      <c r="C193" t="s">
        <v>106</v>
      </c>
      <c r="D193" t="s">
        <v>87</v>
      </c>
      <c r="E193" t="s">
        <v>30</v>
      </c>
      <c r="F193" t="s">
        <v>31</v>
      </c>
      <c r="G193" t="s">
        <v>45</v>
      </c>
      <c r="H193" t="s">
        <v>55</v>
      </c>
      <c r="I193" t="s">
        <v>34</v>
      </c>
      <c r="J193" t="s">
        <v>47</v>
      </c>
      <c r="K193" s="2">
        <v>17711</v>
      </c>
      <c r="L193" t="s">
        <v>36</v>
      </c>
      <c r="M193" t="s">
        <v>37</v>
      </c>
      <c r="N193" t="s">
        <v>60</v>
      </c>
      <c r="O193" t="s">
        <v>77</v>
      </c>
      <c r="P193" t="s">
        <v>78</v>
      </c>
      <c r="Q193">
        <v>4</v>
      </c>
      <c r="R193" s="2">
        <v>44832</v>
      </c>
      <c r="S193">
        <v>3</v>
      </c>
      <c r="T193">
        <v>3</v>
      </c>
      <c r="U193">
        <v>5</v>
      </c>
      <c r="V193" s="1">
        <v>44983</v>
      </c>
      <c r="W193" t="s">
        <v>41</v>
      </c>
      <c r="X193" t="s">
        <v>42</v>
      </c>
      <c r="Y193" t="s">
        <v>63</v>
      </c>
      <c r="Z193">
        <v>2</v>
      </c>
      <c r="AA193">
        <v>325.77999999999997</v>
      </c>
      <c r="AB193">
        <v>74</v>
      </c>
    </row>
    <row r="194" spans="1:28" x14ac:dyDescent="0.2">
      <c r="A194">
        <v>3649</v>
      </c>
      <c r="B194" s="1">
        <v>44786</v>
      </c>
      <c r="C194" t="s">
        <v>106</v>
      </c>
      <c r="D194" t="s">
        <v>64</v>
      </c>
      <c r="E194" t="s">
        <v>30</v>
      </c>
      <c r="F194" t="s">
        <v>31</v>
      </c>
      <c r="G194" t="s">
        <v>45</v>
      </c>
      <c r="H194" t="s">
        <v>46</v>
      </c>
      <c r="I194" t="s">
        <v>34</v>
      </c>
      <c r="J194" t="s">
        <v>70</v>
      </c>
      <c r="K194" s="2">
        <v>24995</v>
      </c>
      <c r="L194" t="s">
        <v>36</v>
      </c>
      <c r="M194" t="s">
        <v>37</v>
      </c>
      <c r="N194" t="s">
        <v>38</v>
      </c>
      <c r="O194" t="s">
        <v>67</v>
      </c>
      <c r="P194" t="s">
        <v>78</v>
      </c>
      <c r="Q194">
        <v>4</v>
      </c>
      <c r="R194" s="2">
        <v>44812</v>
      </c>
      <c r="S194">
        <v>1</v>
      </c>
      <c r="T194">
        <v>2</v>
      </c>
      <c r="U194">
        <v>2</v>
      </c>
      <c r="V194" s="1">
        <v>44913</v>
      </c>
      <c r="W194" t="s">
        <v>41</v>
      </c>
      <c r="X194" t="s">
        <v>51</v>
      </c>
      <c r="Y194" t="s">
        <v>63</v>
      </c>
      <c r="Z194">
        <v>4</v>
      </c>
      <c r="AA194">
        <v>336.33</v>
      </c>
      <c r="AB194">
        <v>54</v>
      </c>
    </row>
    <row r="195" spans="1:28" x14ac:dyDescent="0.2">
      <c r="A195">
        <v>3650</v>
      </c>
      <c r="B195" s="1">
        <v>43741</v>
      </c>
      <c r="C195" t="s">
        <v>106</v>
      </c>
      <c r="D195" t="s">
        <v>94</v>
      </c>
      <c r="E195" t="s">
        <v>108</v>
      </c>
      <c r="F195" t="s">
        <v>55</v>
      </c>
      <c r="G195" t="s">
        <v>56</v>
      </c>
      <c r="H195" t="s">
        <v>46</v>
      </c>
      <c r="I195" t="s">
        <v>34</v>
      </c>
      <c r="J195" t="s">
        <v>70</v>
      </c>
      <c r="K195" s="2">
        <v>33597</v>
      </c>
      <c r="L195" t="s">
        <v>36</v>
      </c>
      <c r="M195" t="s">
        <v>37</v>
      </c>
      <c r="N195" t="s">
        <v>38</v>
      </c>
      <c r="O195" t="s">
        <v>77</v>
      </c>
      <c r="P195" t="s">
        <v>40</v>
      </c>
      <c r="Q195">
        <v>3</v>
      </c>
      <c r="R195" s="2">
        <v>45107</v>
      </c>
      <c r="S195">
        <v>3</v>
      </c>
      <c r="T195">
        <v>2</v>
      </c>
      <c r="U195">
        <v>4</v>
      </c>
      <c r="V195" s="1">
        <v>44935</v>
      </c>
      <c r="W195" t="s">
        <v>92</v>
      </c>
      <c r="X195" t="s">
        <v>51</v>
      </c>
      <c r="Y195" t="s">
        <v>73</v>
      </c>
      <c r="Z195">
        <v>4</v>
      </c>
      <c r="AA195">
        <v>242.71</v>
      </c>
      <c r="AB195">
        <v>28</v>
      </c>
    </row>
    <row r="196" spans="1:28" x14ac:dyDescent="0.2">
      <c r="A196">
        <v>3651</v>
      </c>
      <c r="B196" s="1">
        <v>43752</v>
      </c>
      <c r="C196" t="s">
        <v>106</v>
      </c>
      <c r="D196" t="s">
        <v>74</v>
      </c>
      <c r="E196" t="s">
        <v>30</v>
      </c>
      <c r="F196" t="s">
        <v>55</v>
      </c>
      <c r="G196" t="s">
        <v>32</v>
      </c>
      <c r="H196" t="s">
        <v>55</v>
      </c>
      <c r="I196" t="s">
        <v>34</v>
      </c>
      <c r="J196" t="s">
        <v>65</v>
      </c>
      <c r="K196" s="2">
        <v>33257</v>
      </c>
      <c r="L196" t="s">
        <v>36</v>
      </c>
      <c r="M196" t="s">
        <v>37</v>
      </c>
      <c r="N196" t="s">
        <v>38</v>
      </c>
      <c r="O196" t="s">
        <v>61</v>
      </c>
      <c r="P196" t="s">
        <v>40</v>
      </c>
      <c r="Q196">
        <v>3</v>
      </c>
      <c r="R196" s="2">
        <v>44859</v>
      </c>
      <c r="S196">
        <v>1</v>
      </c>
      <c r="T196">
        <v>4</v>
      </c>
      <c r="U196">
        <v>1</v>
      </c>
      <c r="V196" s="1">
        <v>45060</v>
      </c>
      <c r="W196" t="s">
        <v>41</v>
      </c>
      <c r="X196" t="s">
        <v>42</v>
      </c>
      <c r="Y196" t="s">
        <v>43</v>
      </c>
      <c r="Z196">
        <v>4</v>
      </c>
      <c r="AA196">
        <v>651.28</v>
      </c>
      <c r="AB196">
        <v>28</v>
      </c>
    </row>
    <row r="197" spans="1:28" x14ac:dyDescent="0.2">
      <c r="A197">
        <v>3652</v>
      </c>
      <c r="B197" s="1">
        <v>43707</v>
      </c>
      <c r="C197" t="s">
        <v>28</v>
      </c>
      <c r="D197" t="s">
        <v>81</v>
      </c>
      <c r="E197" t="s">
        <v>108</v>
      </c>
      <c r="F197" t="s">
        <v>46</v>
      </c>
      <c r="G197" t="s">
        <v>32</v>
      </c>
      <c r="H197" t="s">
        <v>46</v>
      </c>
      <c r="I197" t="s">
        <v>34</v>
      </c>
      <c r="J197" t="s">
        <v>70</v>
      </c>
      <c r="K197" s="2">
        <v>17030</v>
      </c>
      <c r="L197" t="s">
        <v>36</v>
      </c>
      <c r="M197" t="s">
        <v>48</v>
      </c>
      <c r="N197" t="s">
        <v>60</v>
      </c>
      <c r="O197" t="s">
        <v>67</v>
      </c>
      <c r="P197" t="s">
        <v>40</v>
      </c>
      <c r="Q197">
        <v>3</v>
      </c>
      <c r="R197" s="2">
        <v>44805</v>
      </c>
      <c r="S197">
        <v>1</v>
      </c>
      <c r="T197">
        <v>5</v>
      </c>
      <c r="U197">
        <v>2</v>
      </c>
      <c r="V197" s="1">
        <v>44957</v>
      </c>
      <c r="W197" t="s">
        <v>92</v>
      </c>
      <c r="X197" t="s">
        <v>51</v>
      </c>
      <c r="Y197" t="s">
        <v>52</v>
      </c>
      <c r="Z197">
        <v>3</v>
      </c>
      <c r="AA197">
        <v>962.45</v>
      </c>
      <c r="AB197">
        <v>73</v>
      </c>
    </row>
    <row r="198" spans="1:28" x14ac:dyDescent="0.2">
      <c r="A198">
        <v>3653</v>
      </c>
      <c r="B198" s="1">
        <v>44231</v>
      </c>
      <c r="C198" t="s">
        <v>28</v>
      </c>
      <c r="D198" t="s">
        <v>54</v>
      </c>
      <c r="E198" t="s">
        <v>108</v>
      </c>
      <c r="F198" t="s">
        <v>31</v>
      </c>
      <c r="G198" t="s">
        <v>56</v>
      </c>
      <c r="H198" t="s">
        <v>46</v>
      </c>
      <c r="I198" t="s">
        <v>34</v>
      </c>
      <c r="J198" t="s">
        <v>65</v>
      </c>
      <c r="K198" s="2">
        <v>34879</v>
      </c>
      <c r="L198" t="s">
        <v>36</v>
      </c>
      <c r="M198" t="s">
        <v>48</v>
      </c>
      <c r="N198" t="s">
        <v>84</v>
      </c>
      <c r="O198" t="s">
        <v>39</v>
      </c>
      <c r="P198" t="s">
        <v>78</v>
      </c>
      <c r="Q198">
        <v>3</v>
      </c>
      <c r="R198" s="2">
        <v>45077</v>
      </c>
      <c r="S198">
        <v>4</v>
      </c>
      <c r="T198">
        <v>4</v>
      </c>
      <c r="U198">
        <v>3</v>
      </c>
      <c r="V198" s="1">
        <v>44946</v>
      </c>
      <c r="W198" t="s">
        <v>50</v>
      </c>
      <c r="X198" t="s">
        <v>51</v>
      </c>
      <c r="Y198" t="s">
        <v>43</v>
      </c>
      <c r="Z198">
        <v>1</v>
      </c>
      <c r="AA198">
        <v>791.72</v>
      </c>
      <c r="AB198">
        <v>26</v>
      </c>
    </row>
    <row r="199" spans="1:28" x14ac:dyDescent="0.2">
      <c r="A199">
        <v>3654</v>
      </c>
      <c r="B199" s="1">
        <v>44888</v>
      </c>
      <c r="C199" t="s">
        <v>28</v>
      </c>
      <c r="D199" t="s">
        <v>94</v>
      </c>
      <c r="E199" t="s">
        <v>30</v>
      </c>
      <c r="F199" t="s">
        <v>46</v>
      </c>
      <c r="G199" t="s">
        <v>45</v>
      </c>
      <c r="H199" t="s">
        <v>46</v>
      </c>
      <c r="I199" t="s">
        <v>34</v>
      </c>
      <c r="J199" t="s">
        <v>47</v>
      </c>
      <c r="K199" s="2">
        <v>34788</v>
      </c>
      <c r="L199" t="s">
        <v>36</v>
      </c>
      <c r="M199" t="s">
        <v>48</v>
      </c>
      <c r="N199" t="s">
        <v>84</v>
      </c>
      <c r="O199" t="s">
        <v>77</v>
      </c>
      <c r="P199" t="s">
        <v>78</v>
      </c>
      <c r="Q199">
        <v>4</v>
      </c>
      <c r="R199" s="2">
        <v>44928</v>
      </c>
      <c r="S199">
        <v>2</v>
      </c>
      <c r="T199">
        <v>4</v>
      </c>
      <c r="U199">
        <v>1</v>
      </c>
      <c r="V199" s="1">
        <v>45027</v>
      </c>
      <c r="W199" t="s">
        <v>62</v>
      </c>
      <c r="X199" t="s">
        <v>42</v>
      </c>
      <c r="Y199" t="s">
        <v>52</v>
      </c>
      <c r="Z199">
        <v>4</v>
      </c>
      <c r="AA199">
        <v>553.86</v>
      </c>
      <c r="AB199">
        <v>27</v>
      </c>
    </row>
    <row r="200" spans="1:28" x14ac:dyDescent="0.2">
      <c r="A200">
        <v>3655</v>
      </c>
      <c r="B200" s="1">
        <v>44982</v>
      </c>
      <c r="C200" t="s">
        <v>28</v>
      </c>
      <c r="D200" t="s">
        <v>85</v>
      </c>
      <c r="E200" t="s">
        <v>30</v>
      </c>
      <c r="F200" t="s">
        <v>46</v>
      </c>
      <c r="G200" t="s">
        <v>32</v>
      </c>
      <c r="H200" t="s">
        <v>55</v>
      </c>
      <c r="I200" t="s">
        <v>34</v>
      </c>
      <c r="J200" t="s">
        <v>79</v>
      </c>
      <c r="K200" s="2">
        <v>36088</v>
      </c>
      <c r="L200" t="s">
        <v>36</v>
      </c>
      <c r="M200" t="s">
        <v>48</v>
      </c>
      <c r="N200" t="s">
        <v>84</v>
      </c>
      <c r="O200" t="s">
        <v>67</v>
      </c>
      <c r="P200" t="s">
        <v>40</v>
      </c>
      <c r="Q200">
        <v>3</v>
      </c>
      <c r="R200" s="2">
        <v>45021</v>
      </c>
      <c r="S200">
        <v>1</v>
      </c>
      <c r="T200">
        <v>5</v>
      </c>
      <c r="U200">
        <v>1</v>
      </c>
      <c r="V200" s="1">
        <v>44930</v>
      </c>
      <c r="W200" t="s">
        <v>68</v>
      </c>
      <c r="X200" t="s">
        <v>51</v>
      </c>
      <c r="Y200" t="s">
        <v>73</v>
      </c>
      <c r="Z200">
        <v>1</v>
      </c>
      <c r="AA200">
        <v>735.72</v>
      </c>
      <c r="AB200">
        <v>25</v>
      </c>
    </row>
    <row r="201" spans="1:28" x14ac:dyDescent="0.2">
      <c r="A201">
        <v>3656</v>
      </c>
      <c r="B201" s="1">
        <v>43814</v>
      </c>
      <c r="C201" t="s">
        <v>28</v>
      </c>
      <c r="D201" t="s">
        <v>64</v>
      </c>
      <c r="E201" t="s">
        <v>30</v>
      </c>
      <c r="F201" t="s">
        <v>46</v>
      </c>
      <c r="G201" t="s">
        <v>56</v>
      </c>
      <c r="H201" t="s">
        <v>46</v>
      </c>
      <c r="I201" t="s">
        <v>34</v>
      </c>
      <c r="J201" t="s">
        <v>111</v>
      </c>
      <c r="K201" s="2">
        <v>36995</v>
      </c>
      <c r="L201" t="s">
        <v>36</v>
      </c>
      <c r="M201" t="s">
        <v>48</v>
      </c>
      <c r="N201" t="s">
        <v>49</v>
      </c>
      <c r="O201" t="s">
        <v>77</v>
      </c>
      <c r="P201" t="s">
        <v>78</v>
      </c>
      <c r="Q201">
        <v>5</v>
      </c>
      <c r="R201" s="2">
        <v>44879</v>
      </c>
      <c r="S201">
        <v>5</v>
      </c>
      <c r="T201">
        <v>3</v>
      </c>
      <c r="U201">
        <v>2</v>
      </c>
      <c r="V201" s="1">
        <v>45091</v>
      </c>
      <c r="W201" t="s">
        <v>62</v>
      </c>
      <c r="X201" t="s">
        <v>42</v>
      </c>
      <c r="Y201" t="s">
        <v>43</v>
      </c>
      <c r="Z201">
        <v>4</v>
      </c>
      <c r="AA201">
        <v>867.03</v>
      </c>
      <c r="AB201">
        <v>18</v>
      </c>
    </row>
    <row r="202" spans="1:28" x14ac:dyDescent="0.2">
      <c r="A202">
        <v>3657</v>
      </c>
      <c r="B202" s="1">
        <v>44437</v>
      </c>
      <c r="C202" t="s">
        <v>28</v>
      </c>
      <c r="D202" t="s">
        <v>74</v>
      </c>
      <c r="E202" t="s">
        <v>30</v>
      </c>
      <c r="F202" t="s">
        <v>46</v>
      </c>
      <c r="G202" t="s">
        <v>32</v>
      </c>
      <c r="H202" t="s">
        <v>55</v>
      </c>
      <c r="I202" t="s">
        <v>34</v>
      </c>
      <c r="J202" t="s">
        <v>65</v>
      </c>
      <c r="K202" s="2">
        <v>33667</v>
      </c>
      <c r="L202" t="s">
        <v>36</v>
      </c>
      <c r="M202" t="s">
        <v>37</v>
      </c>
      <c r="N202" t="s">
        <v>72</v>
      </c>
      <c r="O202" t="s">
        <v>61</v>
      </c>
      <c r="P202" t="s">
        <v>40</v>
      </c>
      <c r="Q202">
        <v>4</v>
      </c>
      <c r="R202" s="2">
        <v>45011</v>
      </c>
      <c r="S202">
        <v>4</v>
      </c>
      <c r="T202">
        <v>2</v>
      </c>
      <c r="U202">
        <v>4</v>
      </c>
      <c r="V202" s="1">
        <v>45072</v>
      </c>
      <c r="W202" t="s">
        <v>62</v>
      </c>
      <c r="X202" t="s">
        <v>51</v>
      </c>
      <c r="Y202" t="s">
        <v>52</v>
      </c>
      <c r="Z202">
        <v>1</v>
      </c>
      <c r="AA202">
        <v>710.14</v>
      </c>
      <c r="AB202">
        <v>29</v>
      </c>
    </row>
    <row r="203" spans="1:28" x14ac:dyDescent="0.2">
      <c r="A203">
        <v>3658</v>
      </c>
      <c r="B203" s="1">
        <v>44869</v>
      </c>
      <c r="C203" t="s">
        <v>28</v>
      </c>
      <c r="D203" t="s">
        <v>69</v>
      </c>
      <c r="E203" t="s">
        <v>30</v>
      </c>
      <c r="F203" t="s">
        <v>46</v>
      </c>
      <c r="G203" t="s">
        <v>32</v>
      </c>
      <c r="H203" t="s">
        <v>33</v>
      </c>
      <c r="I203" t="s">
        <v>34</v>
      </c>
      <c r="J203" t="s">
        <v>96</v>
      </c>
      <c r="K203" s="2">
        <v>24436</v>
      </c>
      <c r="L203" t="s">
        <v>36</v>
      </c>
      <c r="M203" t="s">
        <v>37</v>
      </c>
      <c r="N203" t="s">
        <v>72</v>
      </c>
      <c r="O203" t="s">
        <v>77</v>
      </c>
      <c r="P203" t="s">
        <v>40</v>
      </c>
      <c r="Q203">
        <v>3</v>
      </c>
      <c r="R203" s="2">
        <v>45140</v>
      </c>
      <c r="S203">
        <v>5</v>
      </c>
      <c r="T203">
        <v>4</v>
      </c>
      <c r="U203">
        <v>2</v>
      </c>
      <c r="V203" s="1">
        <v>44791</v>
      </c>
      <c r="W203" t="s">
        <v>41</v>
      </c>
      <c r="X203" t="s">
        <v>51</v>
      </c>
      <c r="Y203" t="s">
        <v>52</v>
      </c>
      <c r="Z203">
        <v>2</v>
      </c>
      <c r="AA203">
        <v>799.88</v>
      </c>
      <c r="AB203">
        <v>56</v>
      </c>
    </row>
    <row r="204" spans="1:28" x14ac:dyDescent="0.2">
      <c r="A204">
        <v>3659</v>
      </c>
      <c r="B204" s="1">
        <v>43740</v>
      </c>
      <c r="C204" t="s">
        <v>28</v>
      </c>
      <c r="D204" t="s">
        <v>29</v>
      </c>
      <c r="E204" t="s">
        <v>30</v>
      </c>
      <c r="F204" t="s">
        <v>55</v>
      </c>
      <c r="G204" t="s">
        <v>45</v>
      </c>
      <c r="H204" t="s">
        <v>46</v>
      </c>
      <c r="I204" t="s">
        <v>34</v>
      </c>
      <c r="J204" t="s">
        <v>70</v>
      </c>
      <c r="K204" s="2">
        <v>32811</v>
      </c>
      <c r="L204" t="s">
        <v>36</v>
      </c>
      <c r="M204" t="s">
        <v>48</v>
      </c>
      <c r="N204" t="s">
        <v>60</v>
      </c>
      <c r="O204" t="s">
        <v>77</v>
      </c>
      <c r="P204" t="s">
        <v>78</v>
      </c>
      <c r="Q204">
        <v>1</v>
      </c>
      <c r="R204" s="2">
        <v>44799</v>
      </c>
      <c r="S204">
        <v>3</v>
      </c>
      <c r="T204">
        <v>1</v>
      </c>
      <c r="U204">
        <v>5</v>
      </c>
      <c r="V204" s="1">
        <v>44953</v>
      </c>
      <c r="W204" t="s">
        <v>41</v>
      </c>
      <c r="X204" t="s">
        <v>51</v>
      </c>
      <c r="Y204" t="s">
        <v>73</v>
      </c>
      <c r="Z204">
        <v>5</v>
      </c>
      <c r="AA204">
        <v>242.87</v>
      </c>
      <c r="AB204">
        <v>30</v>
      </c>
    </row>
    <row r="205" spans="1:28" x14ac:dyDescent="0.2">
      <c r="A205">
        <v>3660</v>
      </c>
      <c r="B205" s="1">
        <v>43609</v>
      </c>
      <c r="C205" t="s">
        <v>28</v>
      </c>
      <c r="D205" t="s">
        <v>44</v>
      </c>
      <c r="E205" t="s">
        <v>30</v>
      </c>
      <c r="F205" t="s">
        <v>55</v>
      </c>
      <c r="G205" t="s">
        <v>45</v>
      </c>
      <c r="H205" t="s">
        <v>55</v>
      </c>
      <c r="I205" t="s">
        <v>34</v>
      </c>
      <c r="J205" t="s">
        <v>70</v>
      </c>
      <c r="K205" s="2">
        <v>27201</v>
      </c>
      <c r="L205" t="s">
        <v>36</v>
      </c>
      <c r="M205" t="s">
        <v>48</v>
      </c>
      <c r="N205" t="s">
        <v>49</v>
      </c>
      <c r="O205" t="s">
        <v>61</v>
      </c>
      <c r="P205" t="s">
        <v>78</v>
      </c>
      <c r="Q205">
        <v>3</v>
      </c>
      <c r="R205" s="2">
        <v>44803</v>
      </c>
      <c r="S205">
        <v>3</v>
      </c>
      <c r="T205">
        <v>2</v>
      </c>
      <c r="U205">
        <v>4</v>
      </c>
      <c r="V205" s="1">
        <v>45065</v>
      </c>
      <c r="W205" t="s">
        <v>41</v>
      </c>
      <c r="X205" t="s">
        <v>42</v>
      </c>
      <c r="Y205" t="s">
        <v>73</v>
      </c>
      <c r="Z205">
        <v>4</v>
      </c>
      <c r="AA205">
        <v>849.77</v>
      </c>
      <c r="AB205">
        <v>45</v>
      </c>
    </row>
    <row r="206" spans="1:28" x14ac:dyDescent="0.2">
      <c r="A206">
        <v>3661</v>
      </c>
      <c r="B206" s="1">
        <v>44620</v>
      </c>
      <c r="C206" t="s">
        <v>28</v>
      </c>
      <c r="D206" t="s">
        <v>87</v>
      </c>
      <c r="E206" t="s">
        <v>30</v>
      </c>
      <c r="F206" t="s">
        <v>31</v>
      </c>
      <c r="G206" t="s">
        <v>32</v>
      </c>
      <c r="H206" t="s">
        <v>33</v>
      </c>
      <c r="I206" t="s">
        <v>34</v>
      </c>
      <c r="J206" t="s">
        <v>82</v>
      </c>
      <c r="K206" s="2">
        <v>19136</v>
      </c>
      <c r="L206" t="s">
        <v>36</v>
      </c>
      <c r="M206" t="s">
        <v>48</v>
      </c>
      <c r="N206" t="s">
        <v>84</v>
      </c>
      <c r="O206" t="s">
        <v>67</v>
      </c>
      <c r="P206" t="s">
        <v>40</v>
      </c>
      <c r="Q206">
        <v>3</v>
      </c>
      <c r="R206" s="2">
        <v>45113</v>
      </c>
      <c r="S206">
        <v>3</v>
      </c>
      <c r="T206">
        <v>2</v>
      </c>
      <c r="U206">
        <v>5</v>
      </c>
      <c r="V206" s="1">
        <v>45052</v>
      </c>
      <c r="W206" t="s">
        <v>50</v>
      </c>
      <c r="X206" t="s">
        <v>51</v>
      </c>
      <c r="Y206" t="s">
        <v>73</v>
      </c>
      <c r="Z206">
        <v>2</v>
      </c>
      <c r="AA206">
        <v>471.5</v>
      </c>
      <c r="AB206">
        <v>70</v>
      </c>
    </row>
    <row r="207" spans="1:28" x14ac:dyDescent="0.2">
      <c r="A207">
        <v>3662</v>
      </c>
      <c r="B207" s="1">
        <v>45090</v>
      </c>
      <c r="C207" t="s">
        <v>28</v>
      </c>
      <c r="D207" t="s">
        <v>81</v>
      </c>
      <c r="E207" t="s">
        <v>30</v>
      </c>
      <c r="F207" t="s">
        <v>55</v>
      </c>
      <c r="G207" t="s">
        <v>56</v>
      </c>
      <c r="H207" t="s">
        <v>33</v>
      </c>
      <c r="I207" t="s">
        <v>34</v>
      </c>
      <c r="J207" t="s">
        <v>101</v>
      </c>
      <c r="K207" s="2">
        <v>26772</v>
      </c>
      <c r="L207" t="s">
        <v>36</v>
      </c>
      <c r="M207" t="s">
        <v>48</v>
      </c>
      <c r="N207" t="s">
        <v>60</v>
      </c>
      <c r="O207" t="s">
        <v>67</v>
      </c>
      <c r="P207" t="s">
        <v>78</v>
      </c>
      <c r="Q207">
        <v>2</v>
      </c>
      <c r="R207" s="2">
        <v>45121</v>
      </c>
      <c r="S207">
        <v>3</v>
      </c>
      <c r="T207">
        <v>5</v>
      </c>
      <c r="U207">
        <v>3</v>
      </c>
      <c r="V207" s="1">
        <v>45066</v>
      </c>
      <c r="W207" t="s">
        <v>50</v>
      </c>
      <c r="X207" t="s">
        <v>42</v>
      </c>
      <c r="Y207" t="s">
        <v>73</v>
      </c>
      <c r="Z207">
        <v>1</v>
      </c>
      <c r="AA207">
        <v>535.92999999999995</v>
      </c>
      <c r="AB207">
        <v>50</v>
      </c>
    </row>
    <row r="208" spans="1:28" x14ac:dyDescent="0.2">
      <c r="A208">
        <v>3665</v>
      </c>
      <c r="B208" s="1">
        <v>43791</v>
      </c>
      <c r="C208" t="s">
        <v>28</v>
      </c>
      <c r="D208" t="s">
        <v>85</v>
      </c>
      <c r="E208" t="s">
        <v>30</v>
      </c>
      <c r="F208" t="s">
        <v>55</v>
      </c>
      <c r="G208" t="s">
        <v>56</v>
      </c>
      <c r="H208" t="s">
        <v>33</v>
      </c>
      <c r="I208" t="s">
        <v>34</v>
      </c>
      <c r="J208" t="s">
        <v>70</v>
      </c>
      <c r="K208" s="2">
        <v>31136</v>
      </c>
      <c r="L208" t="s">
        <v>36</v>
      </c>
      <c r="M208" t="s">
        <v>48</v>
      </c>
      <c r="N208" t="s">
        <v>84</v>
      </c>
      <c r="O208" t="s">
        <v>67</v>
      </c>
      <c r="P208" t="s">
        <v>40</v>
      </c>
      <c r="Q208">
        <v>3</v>
      </c>
      <c r="R208" s="2">
        <v>44987</v>
      </c>
      <c r="S208">
        <v>5</v>
      </c>
      <c r="T208">
        <v>2</v>
      </c>
      <c r="U208">
        <v>1</v>
      </c>
      <c r="V208" s="1">
        <v>44935</v>
      </c>
      <c r="W208" t="s">
        <v>62</v>
      </c>
      <c r="X208" t="s">
        <v>42</v>
      </c>
      <c r="Y208" t="s">
        <v>73</v>
      </c>
      <c r="Z208">
        <v>3</v>
      </c>
      <c r="AA208">
        <v>752.33</v>
      </c>
      <c r="AB208">
        <v>34</v>
      </c>
    </row>
    <row r="209" spans="1:28" x14ac:dyDescent="0.2">
      <c r="A209">
        <v>3666</v>
      </c>
      <c r="B209" s="1">
        <v>44680</v>
      </c>
      <c r="C209" t="s">
        <v>28</v>
      </c>
      <c r="D209" t="s">
        <v>64</v>
      </c>
      <c r="E209" t="s">
        <v>30</v>
      </c>
      <c r="F209" t="s">
        <v>55</v>
      </c>
      <c r="G209" t="s">
        <v>45</v>
      </c>
      <c r="H209" t="s">
        <v>55</v>
      </c>
      <c r="I209" t="s">
        <v>34</v>
      </c>
      <c r="J209" t="s">
        <v>70</v>
      </c>
      <c r="K209" s="2">
        <v>20594</v>
      </c>
      <c r="L209" t="s">
        <v>36</v>
      </c>
      <c r="M209" t="s">
        <v>48</v>
      </c>
      <c r="N209" t="s">
        <v>49</v>
      </c>
      <c r="O209" t="s">
        <v>61</v>
      </c>
      <c r="P209" t="s">
        <v>40</v>
      </c>
      <c r="Q209">
        <v>3</v>
      </c>
      <c r="R209" s="2">
        <v>45042</v>
      </c>
      <c r="S209">
        <v>5</v>
      </c>
      <c r="T209">
        <v>2</v>
      </c>
      <c r="U209">
        <v>1</v>
      </c>
      <c r="V209" s="1">
        <v>45140</v>
      </c>
      <c r="W209" t="s">
        <v>62</v>
      </c>
      <c r="X209" t="s">
        <v>42</v>
      </c>
      <c r="Y209" t="s">
        <v>63</v>
      </c>
      <c r="Z209">
        <v>3</v>
      </c>
      <c r="AA209">
        <v>343.52</v>
      </c>
      <c r="AB209">
        <v>66</v>
      </c>
    </row>
    <row r="210" spans="1:28" x14ac:dyDescent="0.2">
      <c r="A210">
        <v>3667</v>
      </c>
      <c r="B210" s="1">
        <v>44906</v>
      </c>
      <c r="C210" t="s">
        <v>28</v>
      </c>
      <c r="D210" t="s">
        <v>74</v>
      </c>
      <c r="E210" t="s">
        <v>30</v>
      </c>
      <c r="F210" t="s">
        <v>46</v>
      </c>
      <c r="G210" t="s">
        <v>56</v>
      </c>
      <c r="H210" t="s">
        <v>33</v>
      </c>
      <c r="I210" t="s">
        <v>34</v>
      </c>
      <c r="J210" t="s">
        <v>109</v>
      </c>
      <c r="K210" s="2">
        <v>36030</v>
      </c>
      <c r="L210" t="s">
        <v>36</v>
      </c>
      <c r="M210" t="s">
        <v>48</v>
      </c>
      <c r="N210" t="s">
        <v>72</v>
      </c>
      <c r="O210" t="s">
        <v>61</v>
      </c>
      <c r="P210" t="s">
        <v>40</v>
      </c>
      <c r="Q210">
        <v>3</v>
      </c>
      <c r="R210" s="2">
        <v>44883</v>
      </c>
      <c r="S210">
        <v>1</v>
      </c>
      <c r="T210">
        <v>1</v>
      </c>
      <c r="U210">
        <v>2</v>
      </c>
      <c r="V210" s="1">
        <v>44960</v>
      </c>
      <c r="W210" t="s">
        <v>41</v>
      </c>
      <c r="X210" t="s">
        <v>42</v>
      </c>
      <c r="Y210" t="s">
        <v>63</v>
      </c>
      <c r="Z210">
        <v>3</v>
      </c>
      <c r="AA210">
        <v>860.31</v>
      </c>
      <c r="AB210">
        <v>24</v>
      </c>
    </row>
    <row r="211" spans="1:28" x14ac:dyDescent="0.2">
      <c r="A211">
        <v>3668</v>
      </c>
      <c r="B211" s="1">
        <v>45144</v>
      </c>
      <c r="C211" t="s">
        <v>28</v>
      </c>
      <c r="D211" t="s">
        <v>69</v>
      </c>
      <c r="E211" t="s">
        <v>30</v>
      </c>
      <c r="F211" t="s">
        <v>55</v>
      </c>
      <c r="G211" t="s">
        <v>32</v>
      </c>
      <c r="H211" t="s">
        <v>55</v>
      </c>
      <c r="I211" t="s">
        <v>34</v>
      </c>
      <c r="J211" t="s">
        <v>111</v>
      </c>
      <c r="K211" s="2">
        <v>35209</v>
      </c>
      <c r="L211" t="s">
        <v>36</v>
      </c>
      <c r="M211" t="s">
        <v>48</v>
      </c>
      <c r="N211" t="s">
        <v>84</v>
      </c>
      <c r="O211" t="s">
        <v>39</v>
      </c>
      <c r="P211" t="s">
        <v>98</v>
      </c>
      <c r="Q211">
        <v>3</v>
      </c>
      <c r="R211" s="2">
        <v>45106</v>
      </c>
      <c r="S211">
        <v>1</v>
      </c>
      <c r="T211">
        <v>5</v>
      </c>
      <c r="U211">
        <v>1</v>
      </c>
      <c r="V211" s="1">
        <v>44893</v>
      </c>
      <c r="W211" t="s">
        <v>50</v>
      </c>
      <c r="X211" t="s">
        <v>51</v>
      </c>
      <c r="Y211" t="s">
        <v>63</v>
      </c>
      <c r="Z211">
        <v>4</v>
      </c>
      <c r="AA211">
        <v>265.55</v>
      </c>
      <c r="AB211">
        <v>27</v>
      </c>
    </row>
    <row r="212" spans="1:28" x14ac:dyDescent="0.2">
      <c r="A212">
        <v>3669</v>
      </c>
      <c r="B212" s="1">
        <v>43918</v>
      </c>
      <c r="C212" t="s">
        <v>28</v>
      </c>
      <c r="D212" t="s">
        <v>29</v>
      </c>
      <c r="E212" t="s">
        <v>108</v>
      </c>
      <c r="F212" t="s">
        <v>31</v>
      </c>
      <c r="G212" t="s">
        <v>45</v>
      </c>
      <c r="H212" t="s">
        <v>33</v>
      </c>
      <c r="I212" t="s">
        <v>34</v>
      </c>
      <c r="J212" t="s">
        <v>35</v>
      </c>
      <c r="K212" s="2">
        <v>24488</v>
      </c>
      <c r="L212" t="s">
        <v>36</v>
      </c>
      <c r="M212" t="s">
        <v>48</v>
      </c>
      <c r="N212" t="s">
        <v>72</v>
      </c>
      <c r="O212" t="s">
        <v>39</v>
      </c>
      <c r="P212" t="s">
        <v>40</v>
      </c>
      <c r="Q212">
        <v>3</v>
      </c>
      <c r="R212" s="2">
        <v>45027</v>
      </c>
      <c r="S212">
        <v>4</v>
      </c>
      <c r="T212">
        <v>2</v>
      </c>
      <c r="U212">
        <v>4</v>
      </c>
      <c r="V212" s="1">
        <v>45141</v>
      </c>
      <c r="W212" t="s">
        <v>62</v>
      </c>
      <c r="X212" t="s">
        <v>42</v>
      </c>
      <c r="Y212" t="s">
        <v>63</v>
      </c>
      <c r="Z212">
        <v>1</v>
      </c>
      <c r="AA212">
        <v>183.85</v>
      </c>
      <c r="AB212">
        <v>53</v>
      </c>
    </row>
    <row r="213" spans="1:28" x14ac:dyDescent="0.2">
      <c r="A213">
        <v>3670</v>
      </c>
      <c r="B213" s="1">
        <v>44784</v>
      </c>
      <c r="C213" t="s">
        <v>106</v>
      </c>
      <c r="D213" t="s">
        <v>85</v>
      </c>
      <c r="E213" t="s">
        <v>30</v>
      </c>
      <c r="F213" t="s">
        <v>55</v>
      </c>
      <c r="G213" t="s">
        <v>45</v>
      </c>
      <c r="H213" t="s">
        <v>55</v>
      </c>
      <c r="I213" t="s">
        <v>34</v>
      </c>
      <c r="J213" t="s">
        <v>109</v>
      </c>
      <c r="K213" s="2">
        <v>25220</v>
      </c>
      <c r="L213" t="s">
        <v>36</v>
      </c>
      <c r="M213" t="s">
        <v>37</v>
      </c>
      <c r="N213" t="s">
        <v>49</v>
      </c>
      <c r="O213" t="s">
        <v>39</v>
      </c>
      <c r="P213" t="s">
        <v>98</v>
      </c>
      <c r="Q213">
        <v>3</v>
      </c>
      <c r="R213" s="2">
        <v>44789</v>
      </c>
      <c r="S213">
        <v>2</v>
      </c>
      <c r="T213">
        <v>2</v>
      </c>
      <c r="U213">
        <v>3</v>
      </c>
      <c r="V213" s="1">
        <v>44829</v>
      </c>
      <c r="W213" t="s">
        <v>62</v>
      </c>
      <c r="X213" t="s">
        <v>51</v>
      </c>
      <c r="Y213" t="s">
        <v>63</v>
      </c>
      <c r="Z213">
        <v>5</v>
      </c>
      <c r="AA213">
        <v>942.09</v>
      </c>
      <c r="AB213">
        <v>53</v>
      </c>
    </row>
    <row r="214" spans="1:28" x14ac:dyDescent="0.2">
      <c r="A214">
        <v>3671</v>
      </c>
      <c r="B214" s="1">
        <v>44952</v>
      </c>
      <c r="C214" t="s">
        <v>106</v>
      </c>
      <c r="D214" t="s">
        <v>44</v>
      </c>
      <c r="E214" t="s">
        <v>108</v>
      </c>
      <c r="F214" t="s">
        <v>46</v>
      </c>
      <c r="G214" t="s">
        <v>45</v>
      </c>
      <c r="H214" t="s">
        <v>33</v>
      </c>
      <c r="I214" t="s">
        <v>34</v>
      </c>
      <c r="J214" t="s">
        <v>89</v>
      </c>
      <c r="K214" s="2">
        <v>32871</v>
      </c>
      <c r="L214" t="s">
        <v>36</v>
      </c>
      <c r="M214" t="s">
        <v>37</v>
      </c>
      <c r="N214" t="s">
        <v>84</v>
      </c>
      <c r="O214" t="s">
        <v>77</v>
      </c>
      <c r="P214" t="s">
        <v>98</v>
      </c>
      <c r="Q214">
        <v>3</v>
      </c>
      <c r="R214" s="2">
        <v>44936</v>
      </c>
      <c r="S214">
        <v>3</v>
      </c>
      <c r="T214">
        <v>4</v>
      </c>
      <c r="U214">
        <v>5</v>
      </c>
      <c r="V214" s="1">
        <v>44946</v>
      </c>
      <c r="W214" t="s">
        <v>92</v>
      </c>
      <c r="X214" t="s">
        <v>51</v>
      </c>
      <c r="Y214" t="s">
        <v>73</v>
      </c>
      <c r="Z214">
        <v>4</v>
      </c>
      <c r="AA214">
        <v>381.94</v>
      </c>
      <c r="AB214">
        <v>34</v>
      </c>
    </row>
    <row r="215" spans="1:28" x14ac:dyDescent="0.2">
      <c r="A215">
        <v>3672</v>
      </c>
      <c r="B215" s="1">
        <v>43479</v>
      </c>
      <c r="C215" t="s">
        <v>106</v>
      </c>
      <c r="D215" t="s">
        <v>87</v>
      </c>
      <c r="E215" t="s">
        <v>30</v>
      </c>
      <c r="F215" t="s">
        <v>46</v>
      </c>
      <c r="G215" t="s">
        <v>45</v>
      </c>
      <c r="H215" t="s">
        <v>55</v>
      </c>
      <c r="I215" t="s">
        <v>34</v>
      </c>
      <c r="J215" t="s">
        <v>65</v>
      </c>
      <c r="K215" s="2">
        <v>33293</v>
      </c>
      <c r="L215" t="s">
        <v>36</v>
      </c>
      <c r="M215" t="s">
        <v>37</v>
      </c>
      <c r="N215" t="s">
        <v>84</v>
      </c>
      <c r="O215" t="s">
        <v>77</v>
      </c>
      <c r="P215" t="s">
        <v>40</v>
      </c>
      <c r="Q215">
        <v>3</v>
      </c>
      <c r="R215" s="2">
        <v>44895</v>
      </c>
      <c r="S215">
        <v>3</v>
      </c>
      <c r="T215">
        <v>2</v>
      </c>
      <c r="U215">
        <v>4</v>
      </c>
      <c r="V215" s="1">
        <v>44802</v>
      </c>
      <c r="W215" t="s">
        <v>62</v>
      </c>
      <c r="X215" t="s">
        <v>51</v>
      </c>
      <c r="Y215" t="s">
        <v>43</v>
      </c>
      <c r="Z215">
        <v>1</v>
      </c>
      <c r="AA215">
        <v>358.73</v>
      </c>
      <c r="AB215">
        <v>28</v>
      </c>
    </row>
    <row r="216" spans="1:28" x14ac:dyDescent="0.2">
      <c r="A216">
        <v>3673</v>
      </c>
      <c r="B216" s="1">
        <v>44723</v>
      </c>
      <c r="C216" t="s">
        <v>106</v>
      </c>
      <c r="D216" t="s">
        <v>64</v>
      </c>
      <c r="E216" t="s">
        <v>108</v>
      </c>
      <c r="F216" t="s">
        <v>55</v>
      </c>
      <c r="G216" t="s">
        <v>56</v>
      </c>
      <c r="H216" t="s">
        <v>33</v>
      </c>
      <c r="I216" t="s">
        <v>34</v>
      </c>
      <c r="J216" t="s">
        <v>104</v>
      </c>
      <c r="K216" s="2">
        <v>26714</v>
      </c>
      <c r="L216" t="s">
        <v>36</v>
      </c>
      <c r="M216" t="s">
        <v>37</v>
      </c>
      <c r="N216" t="s">
        <v>60</v>
      </c>
      <c r="O216" t="s">
        <v>39</v>
      </c>
      <c r="P216" t="s">
        <v>40</v>
      </c>
      <c r="Q216">
        <v>3</v>
      </c>
      <c r="R216" s="2">
        <v>45085</v>
      </c>
      <c r="S216">
        <v>3</v>
      </c>
      <c r="T216">
        <v>3</v>
      </c>
      <c r="U216">
        <v>1</v>
      </c>
      <c r="V216" s="1">
        <v>45006</v>
      </c>
      <c r="W216" t="s">
        <v>50</v>
      </c>
      <c r="X216" t="s">
        <v>51</v>
      </c>
      <c r="Y216" t="s">
        <v>73</v>
      </c>
      <c r="Z216">
        <v>3</v>
      </c>
      <c r="AA216">
        <v>578.02</v>
      </c>
      <c r="AB216">
        <v>49</v>
      </c>
    </row>
    <row r="217" spans="1:28" x14ac:dyDescent="0.2">
      <c r="A217">
        <v>3674</v>
      </c>
      <c r="B217" s="1">
        <v>44007</v>
      </c>
      <c r="C217" t="s">
        <v>106</v>
      </c>
      <c r="D217" t="s">
        <v>69</v>
      </c>
      <c r="E217" t="s">
        <v>108</v>
      </c>
      <c r="F217" t="s">
        <v>46</v>
      </c>
      <c r="G217" t="s">
        <v>32</v>
      </c>
      <c r="H217" t="s">
        <v>46</v>
      </c>
      <c r="I217" t="s">
        <v>34</v>
      </c>
      <c r="J217" t="s">
        <v>79</v>
      </c>
      <c r="K217" s="2">
        <v>35186</v>
      </c>
      <c r="L217" t="s">
        <v>36</v>
      </c>
      <c r="M217" t="s">
        <v>37</v>
      </c>
      <c r="N217" t="s">
        <v>60</v>
      </c>
      <c r="O217" t="s">
        <v>61</v>
      </c>
      <c r="P217" t="s">
        <v>40</v>
      </c>
      <c r="Q217">
        <v>3</v>
      </c>
      <c r="R217" s="2">
        <v>45018</v>
      </c>
      <c r="S217">
        <v>4</v>
      </c>
      <c r="T217">
        <v>4</v>
      </c>
      <c r="U217">
        <v>3</v>
      </c>
      <c r="V217" s="1">
        <v>44873</v>
      </c>
      <c r="W217" t="s">
        <v>62</v>
      </c>
      <c r="X217" t="s">
        <v>42</v>
      </c>
      <c r="Y217" t="s">
        <v>63</v>
      </c>
      <c r="Z217">
        <v>2</v>
      </c>
      <c r="AA217">
        <v>223.29</v>
      </c>
      <c r="AB217">
        <v>24</v>
      </c>
    </row>
    <row r="218" spans="1:28" x14ac:dyDescent="0.2">
      <c r="A218">
        <v>3675</v>
      </c>
      <c r="B218" s="1">
        <v>43990</v>
      </c>
      <c r="C218" t="s">
        <v>106</v>
      </c>
      <c r="D218" t="s">
        <v>29</v>
      </c>
      <c r="E218" t="s">
        <v>30</v>
      </c>
      <c r="F218" t="s">
        <v>55</v>
      </c>
      <c r="G218" t="s">
        <v>32</v>
      </c>
      <c r="H218" t="s">
        <v>55</v>
      </c>
      <c r="I218" t="s">
        <v>34</v>
      </c>
      <c r="J218" t="s">
        <v>79</v>
      </c>
      <c r="K218" s="2">
        <v>19234</v>
      </c>
      <c r="L218" t="s">
        <v>36</v>
      </c>
      <c r="M218" t="s">
        <v>37</v>
      </c>
      <c r="N218" t="s">
        <v>49</v>
      </c>
      <c r="O218" t="s">
        <v>77</v>
      </c>
      <c r="P218" t="s">
        <v>40</v>
      </c>
      <c r="Q218">
        <v>3</v>
      </c>
      <c r="R218" s="2">
        <v>45051</v>
      </c>
      <c r="S218">
        <v>5</v>
      </c>
      <c r="T218">
        <v>3</v>
      </c>
      <c r="U218">
        <v>2</v>
      </c>
      <c r="V218" s="1">
        <v>44811</v>
      </c>
      <c r="W218" t="s">
        <v>50</v>
      </c>
      <c r="X218" t="s">
        <v>42</v>
      </c>
      <c r="Y218" t="s">
        <v>73</v>
      </c>
      <c r="Z218">
        <v>5</v>
      </c>
      <c r="AA218">
        <v>992.37</v>
      </c>
      <c r="AB218">
        <v>68</v>
      </c>
    </row>
    <row r="219" spans="1:28" x14ac:dyDescent="0.2">
      <c r="A219">
        <v>3676</v>
      </c>
      <c r="B219" s="1">
        <v>43341</v>
      </c>
      <c r="C219" t="s">
        <v>28</v>
      </c>
      <c r="D219" t="s">
        <v>69</v>
      </c>
      <c r="E219" t="s">
        <v>30</v>
      </c>
      <c r="F219" t="s">
        <v>31</v>
      </c>
      <c r="G219" t="s">
        <v>56</v>
      </c>
      <c r="H219" t="s">
        <v>46</v>
      </c>
      <c r="I219" t="s">
        <v>34</v>
      </c>
      <c r="J219" t="s">
        <v>105</v>
      </c>
      <c r="K219" s="2">
        <v>34302</v>
      </c>
      <c r="L219" t="s">
        <v>36</v>
      </c>
      <c r="M219" t="s">
        <v>48</v>
      </c>
      <c r="N219" t="s">
        <v>72</v>
      </c>
      <c r="O219" t="s">
        <v>77</v>
      </c>
      <c r="P219" t="s">
        <v>40</v>
      </c>
      <c r="Q219">
        <v>3</v>
      </c>
      <c r="R219" s="2">
        <v>44811</v>
      </c>
      <c r="S219">
        <v>3</v>
      </c>
      <c r="T219">
        <v>4</v>
      </c>
      <c r="U219">
        <v>1</v>
      </c>
      <c r="V219" s="1">
        <v>44967</v>
      </c>
      <c r="W219" t="s">
        <v>50</v>
      </c>
      <c r="X219" t="s">
        <v>42</v>
      </c>
      <c r="Y219" t="s">
        <v>43</v>
      </c>
      <c r="Z219">
        <v>5</v>
      </c>
      <c r="AA219">
        <v>113.48</v>
      </c>
      <c r="AB219">
        <v>25</v>
      </c>
    </row>
    <row r="220" spans="1:28" x14ac:dyDescent="0.2">
      <c r="A220">
        <v>3677</v>
      </c>
      <c r="B220" s="1">
        <v>44835</v>
      </c>
      <c r="C220" t="s">
        <v>28</v>
      </c>
      <c r="D220" t="s">
        <v>29</v>
      </c>
      <c r="E220" t="s">
        <v>30</v>
      </c>
      <c r="F220" t="s">
        <v>55</v>
      </c>
      <c r="G220" t="s">
        <v>45</v>
      </c>
      <c r="H220" t="s">
        <v>55</v>
      </c>
      <c r="I220" t="s">
        <v>34</v>
      </c>
      <c r="J220" t="s">
        <v>70</v>
      </c>
      <c r="K220" s="2">
        <v>21950</v>
      </c>
      <c r="L220" t="s">
        <v>36</v>
      </c>
      <c r="M220" t="s">
        <v>48</v>
      </c>
      <c r="N220" t="s">
        <v>49</v>
      </c>
      <c r="O220" t="s">
        <v>61</v>
      </c>
      <c r="P220" t="s">
        <v>40</v>
      </c>
      <c r="Q220">
        <v>3</v>
      </c>
      <c r="R220" s="2">
        <v>45132</v>
      </c>
      <c r="S220">
        <v>3</v>
      </c>
      <c r="T220">
        <v>5</v>
      </c>
      <c r="U220">
        <v>5</v>
      </c>
      <c r="V220" s="1">
        <v>44839</v>
      </c>
      <c r="W220" t="s">
        <v>41</v>
      </c>
      <c r="X220" t="s">
        <v>51</v>
      </c>
      <c r="Y220" t="s">
        <v>52</v>
      </c>
      <c r="Z220">
        <v>4</v>
      </c>
      <c r="AA220">
        <v>882.2</v>
      </c>
      <c r="AB220">
        <v>62</v>
      </c>
    </row>
    <row r="221" spans="1:28" x14ac:dyDescent="0.2">
      <c r="A221">
        <v>3678</v>
      </c>
      <c r="B221" s="1">
        <v>44399</v>
      </c>
      <c r="C221" t="s">
        <v>28</v>
      </c>
      <c r="D221" t="s">
        <v>85</v>
      </c>
      <c r="E221" t="s">
        <v>30</v>
      </c>
      <c r="F221" t="s">
        <v>55</v>
      </c>
      <c r="G221" t="s">
        <v>45</v>
      </c>
      <c r="H221" t="s">
        <v>55</v>
      </c>
      <c r="I221" t="s">
        <v>34</v>
      </c>
      <c r="J221" t="s">
        <v>75</v>
      </c>
      <c r="K221" s="2">
        <v>36304</v>
      </c>
      <c r="L221" t="s">
        <v>36</v>
      </c>
      <c r="M221" t="s">
        <v>48</v>
      </c>
      <c r="N221" t="s">
        <v>84</v>
      </c>
      <c r="O221" t="s">
        <v>61</v>
      </c>
      <c r="P221" t="s">
        <v>40</v>
      </c>
      <c r="Q221">
        <v>3</v>
      </c>
      <c r="R221" s="2">
        <v>44885</v>
      </c>
      <c r="S221">
        <v>3</v>
      </c>
      <c r="T221">
        <v>4</v>
      </c>
      <c r="U221">
        <v>4</v>
      </c>
      <c r="V221" s="1">
        <v>44810</v>
      </c>
      <c r="W221" t="s">
        <v>50</v>
      </c>
      <c r="X221" t="s">
        <v>42</v>
      </c>
      <c r="Y221" t="s">
        <v>52</v>
      </c>
      <c r="Z221">
        <v>2</v>
      </c>
      <c r="AA221">
        <v>288.16000000000003</v>
      </c>
      <c r="AB221">
        <v>22</v>
      </c>
    </row>
    <row r="222" spans="1:28" x14ac:dyDescent="0.2">
      <c r="A222">
        <v>3679</v>
      </c>
      <c r="B222" s="1">
        <v>43813</v>
      </c>
      <c r="C222" t="s">
        <v>28</v>
      </c>
      <c r="D222" t="s">
        <v>44</v>
      </c>
      <c r="E222" t="s">
        <v>30</v>
      </c>
      <c r="F222" t="s">
        <v>55</v>
      </c>
      <c r="G222" t="s">
        <v>45</v>
      </c>
      <c r="H222" t="s">
        <v>55</v>
      </c>
      <c r="I222" t="s">
        <v>34</v>
      </c>
      <c r="J222" t="s">
        <v>79</v>
      </c>
      <c r="K222" s="2">
        <v>32705</v>
      </c>
      <c r="L222" t="s">
        <v>36</v>
      </c>
      <c r="M222" t="s">
        <v>48</v>
      </c>
      <c r="N222" t="s">
        <v>84</v>
      </c>
      <c r="O222" t="s">
        <v>77</v>
      </c>
      <c r="P222" t="s">
        <v>40</v>
      </c>
      <c r="Q222">
        <v>3</v>
      </c>
      <c r="R222" s="2">
        <v>44860</v>
      </c>
      <c r="S222">
        <v>4</v>
      </c>
      <c r="T222">
        <v>2</v>
      </c>
      <c r="U222">
        <v>5</v>
      </c>
      <c r="V222" s="1">
        <v>44942</v>
      </c>
      <c r="W222" t="s">
        <v>41</v>
      </c>
      <c r="X222" t="s">
        <v>51</v>
      </c>
      <c r="Y222" t="s">
        <v>63</v>
      </c>
      <c r="Z222">
        <v>1</v>
      </c>
      <c r="AA222">
        <v>815.52</v>
      </c>
      <c r="AB222">
        <v>30</v>
      </c>
    </row>
    <row r="223" spans="1:28" x14ac:dyDescent="0.2">
      <c r="A223">
        <v>3680</v>
      </c>
      <c r="B223" s="1">
        <v>43917</v>
      </c>
      <c r="C223" t="s">
        <v>28</v>
      </c>
      <c r="D223" t="s">
        <v>87</v>
      </c>
      <c r="E223" t="s">
        <v>30</v>
      </c>
      <c r="F223" t="s">
        <v>46</v>
      </c>
      <c r="G223" t="s">
        <v>56</v>
      </c>
      <c r="H223" t="s">
        <v>55</v>
      </c>
      <c r="I223" t="s">
        <v>34</v>
      </c>
      <c r="J223" t="s">
        <v>111</v>
      </c>
      <c r="K223" s="2">
        <v>31304</v>
      </c>
      <c r="L223" t="s">
        <v>36</v>
      </c>
      <c r="M223" t="s">
        <v>37</v>
      </c>
      <c r="N223" t="s">
        <v>60</v>
      </c>
      <c r="O223" t="s">
        <v>77</v>
      </c>
      <c r="P223" t="s">
        <v>40</v>
      </c>
      <c r="Q223">
        <v>3</v>
      </c>
      <c r="R223" s="2">
        <v>45039</v>
      </c>
      <c r="S223">
        <v>3</v>
      </c>
      <c r="T223">
        <v>2</v>
      </c>
      <c r="U223">
        <v>3</v>
      </c>
      <c r="V223" s="1">
        <v>45061</v>
      </c>
      <c r="W223" t="s">
        <v>41</v>
      </c>
      <c r="X223" t="s">
        <v>42</v>
      </c>
      <c r="Y223" t="s">
        <v>63</v>
      </c>
      <c r="Z223">
        <v>4</v>
      </c>
      <c r="AA223">
        <v>461.06</v>
      </c>
      <c r="AB223">
        <v>35</v>
      </c>
    </row>
    <row r="224" spans="1:28" x14ac:dyDescent="0.2">
      <c r="A224">
        <v>3681</v>
      </c>
      <c r="B224" s="1">
        <v>44525</v>
      </c>
      <c r="C224" t="s">
        <v>28</v>
      </c>
      <c r="D224" t="s">
        <v>64</v>
      </c>
      <c r="E224" t="s">
        <v>30</v>
      </c>
      <c r="F224" t="s">
        <v>46</v>
      </c>
      <c r="G224" t="s">
        <v>56</v>
      </c>
      <c r="H224" t="s">
        <v>33</v>
      </c>
      <c r="I224" t="s">
        <v>34</v>
      </c>
      <c r="J224" t="s">
        <v>79</v>
      </c>
      <c r="K224" s="2">
        <v>27836</v>
      </c>
      <c r="L224" t="s">
        <v>36</v>
      </c>
      <c r="M224" t="s">
        <v>37</v>
      </c>
      <c r="N224" t="s">
        <v>72</v>
      </c>
      <c r="O224" t="s">
        <v>39</v>
      </c>
      <c r="P224" t="s">
        <v>40</v>
      </c>
      <c r="Q224">
        <v>3</v>
      </c>
      <c r="R224" s="2">
        <v>44786</v>
      </c>
      <c r="S224">
        <v>5</v>
      </c>
      <c r="T224">
        <v>2</v>
      </c>
      <c r="U224">
        <v>5</v>
      </c>
      <c r="V224" s="1">
        <v>45007</v>
      </c>
      <c r="W224" t="s">
        <v>50</v>
      </c>
      <c r="X224" t="s">
        <v>51</v>
      </c>
      <c r="Y224" t="s">
        <v>52</v>
      </c>
      <c r="Z224">
        <v>2</v>
      </c>
      <c r="AA224">
        <v>580.16</v>
      </c>
      <c r="AB224">
        <v>45</v>
      </c>
    </row>
    <row r="225" spans="1:28" x14ac:dyDescent="0.2">
      <c r="A225">
        <v>3682</v>
      </c>
      <c r="B225" s="1">
        <v>45115</v>
      </c>
      <c r="C225" t="s">
        <v>28</v>
      </c>
      <c r="D225" t="s">
        <v>94</v>
      </c>
      <c r="E225" t="s">
        <v>30</v>
      </c>
      <c r="F225" t="s">
        <v>55</v>
      </c>
      <c r="G225" t="s">
        <v>32</v>
      </c>
      <c r="H225" t="s">
        <v>33</v>
      </c>
      <c r="I225" t="s">
        <v>34</v>
      </c>
      <c r="J225" t="s">
        <v>70</v>
      </c>
      <c r="K225" s="2">
        <v>15824</v>
      </c>
      <c r="L225" t="s">
        <v>36</v>
      </c>
      <c r="M225" t="s">
        <v>37</v>
      </c>
      <c r="N225" t="s">
        <v>72</v>
      </c>
      <c r="O225" t="s">
        <v>61</v>
      </c>
      <c r="P225" t="s">
        <v>40</v>
      </c>
      <c r="Q225">
        <v>4</v>
      </c>
      <c r="R225" s="2">
        <v>45137</v>
      </c>
      <c r="S225">
        <v>3</v>
      </c>
      <c r="T225">
        <v>3</v>
      </c>
      <c r="U225">
        <v>3</v>
      </c>
      <c r="V225" s="1">
        <v>44851</v>
      </c>
      <c r="W225" t="s">
        <v>92</v>
      </c>
      <c r="X225" t="s">
        <v>51</v>
      </c>
      <c r="Y225" t="s">
        <v>52</v>
      </c>
      <c r="Z225">
        <v>3</v>
      </c>
      <c r="AA225">
        <v>336.69</v>
      </c>
      <c r="AB225">
        <v>80</v>
      </c>
    </row>
    <row r="226" spans="1:28" x14ac:dyDescent="0.2">
      <c r="A226">
        <v>3683</v>
      </c>
      <c r="B226" s="1">
        <v>44502</v>
      </c>
      <c r="C226" t="s">
        <v>28</v>
      </c>
      <c r="D226" t="s">
        <v>74</v>
      </c>
      <c r="E226" t="s">
        <v>30</v>
      </c>
      <c r="F226" t="s">
        <v>46</v>
      </c>
      <c r="G226" t="s">
        <v>32</v>
      </c>
      <c r="H226" t="s">
        <v>33</v>
      </c>
      <c r="I226" t="s">
        <v>34</v>
      </c>
      <c r="J226" t="s">
        <v>35</v>
      </c>
      <c r="K226" s="2">
        <v>20460</v>
      </c>
      <c r="L226" t="s">
        <v>36</v>
      </c>
      <c r="M226" t="s">
        <v>48</v>
      </c>
      <c r="N226" t="s">
        <v>60</v>
      </c>
      <c r="O226" t="s">
        <v>77</v>
      </c>
      <c r="P226" t="s">
        <v>40</v>
      </c>
      <c r="Q226">
        <v>3</v>
      </c>
      <c r="R226" s="2">
        <v>44859</v>
      </c>
      <c r="S226">
        <v>2</v>
      </c>
      <c r="T226">
        <v>1</v>
      </c>
      <c r="U226">
        <v>5</v>
      </c>
      <c r="V226" s="1">
        <v>44923</v>
      </c>
      <c r="W226" t="s">
        <v>62</v>
      </c>
      <c r="X226" t="s">
        <v>42</v>
      </c>
      <c r="Y226" t="s">
        <v>63</v>
      </c>
      <c r="Z226">
        <v>1</v>
      </c>
      <c r="AA226">
        <v>990.69</v>
      </c>
      <c r="AB226">
        <v>65</v>
      </c>
    </row>
    <row r="227" spans="1:28" x14ac:dyDescent="0.2">
      <c r="A227">
        <v>3684</v>
      </c>
      <c r="B227" s="1">
        <v>43800</v>
      </c>
      <c r="C227" t="s">
        <v>28</v>
      </c>
      <c r="D227" t="s">
        <v>81</v>
      </c>
      <c r="E227" t="s">
        <v>30</v>
      </c>
      <c r="F227" t="s">
        <v>31</v>
      </c>
      <c r="G227" t="s">
        <v>32</v>
      </c>
      <c r="H227" t="s">
        <v>46</v>
      </c>
      <c r="I227" t="s">
        <v>34</v>
      </c>
      <c r="J227" t="s">
        <v>70</v>
      </c>
      <c r="K227" s="2">
        <v>19939</v>
      </c>
      <c r="L227" t="s">
        <v>36</v>
      </c>
      <c r="M227" t="s">
        <v>48</v>
      </c>
      <c r="N227" t="s">
        <v>49</v>
      </c>
      <c r="O227" t="s">
        <v>39</v>
      </c>
      <c r="P227" t="s">
        <v>40</v>
      </c>
      <c r="Q227">
        <v>3</v>
      </c>
      <c r="R227" s="2">
        <v>45032</v>
      </c>
      <c r="S227">
        <v>5</v>
      </c>
      <c r="T227">
        <v>5</v>
      </c>
      <c r="U227">
        <v>3</v>
      </c>
      <c r="V227" s="1">
        <v>44863</v>
      </c>
      <c r="W227" t="s">
        <v>92</v>
      </c>
      <c r="X227" t="s">
        <v>42</v>
      </c>
      <c r="Y227" t="s">
        <v>63</v>
      </c>
      <c r="Z227">
        <v>2</v>
      </c>
      <c r="AA227">
        <v>939.39</v>
      </c>
      <c r="AB227">
        <v>65</v>
      </c>
    </row>
    <row r="228" spans="1:28" x14ac:dyDescent="0.2">
      <c r="A228">
        <v>3685</v>
      </c>
      <c r="B228" s="1">
        <v>44789</v>
      </c>
      <c r="C228" t="s">
        <v>28</v>
      </c>
      <c r="D228" t="s">
        <v>54</v>
      </c>
      <c r="E228" t="s">
        <v>30</v>
      </c>
      <c r="F228" t="s">
        <v>55</v>
      </c>
      <c r="G228" t="s">
        <v>32</v>
      </c>
      <c r="H228" t="s">
        <v>55</v>
      </c>
      <c r="I228" t="s">
        <v>34</v>
      </c>
      <c r="J228" t="s">
        <v>96</v>
      </c>
      <c r="K228" s="2">
        <v>31585</v>
      </c>
      <c r="L228" t="s">
        <v>36</v>
      </c>
      <c r="M228" t="s">
        <v>48</v>
      </c>
      <c r="N228" t="s">
        <v>84</v>
      </c>
      <c r="O228" t="s">
        <v>39</v>
      </c>
      <c r="P228" t="s">
        <v>40</v>
      </c>
      <c r="Q228">
        <v>3</v>
      </c>
      <c r="R228" s="2">
        <v>44929</v>
      </c>
      <c r="S228">
        <v>4</v>
      </c>
      <c r="T228">
        <v>3</v>
      </c>
      <c r="U228">
        <v>4</v>
      </c>
      <c r="V228" s="1">
        <v>44932</v>
      </c>
      <c r="W228" t="s">
        <v>41</v>
      </c>
      <c r="X228" t="s">
        <v>51</v>
      </c>
      <c r="Y228" t="s">
        <v>73</v>
      </c>
      <c r="Z228">
        <v>1</v>
      </c>
      <c r="AA228">
        <v>941.12</v>
      </c>
      <c r="AB228">
        <v>36</v>
      </c>
    </row>
    <row r="229" spans="1:28" x14ac:dyDescent="0.2">
      <c r="A229">
        <v>3687</v>
      </c>
      <c r="B229" s="1">
        <v>43602</v>
      </c>
      <c r="C229" t="s">
        <v>28</v>
      </c>
      <c r="D229" t="s">
        <v>29</v>
      </c>
      <c r="E229" t="s">
        <v>30</v>
      </c>
      <c r="F229" t="s">
        <v>46</v>
      </c>
      <c r="G229" t="s">
        <v>56</v>
      </c>
      <c r="H229" t="s">
        <v>33</v>
      </c>
      <c r="I229" t="s">
        <v>34</v>
      </c>
      <c r="J229" t="s">
        <v>70</v>
      </c>
      <c r="K229" s="2">
        <v>16304</v>
      </c>
      <c r="L229" t="s">
        <v>36</v>
      </c>
      <c r="M229" t="s">
        <v>37</v>
      </c>
      <c r="N229" t="s">
        <v>38</v>
      </c>
      <c r="O229" t="s">
        <v>77</v>
      </c>
      <c r="P229" t="s">
        <v>78</v>
      </c>
      <c r="Q229">
        <v>1</v>
      </c>
      <c r="R229" s="2">
        <v>44806</v>
      </c>
      <c r="S229">
        <v>2</v>
      </c>
      <c r="T229">
        <v>4</v>
      </c>
      <c r="U229">
        <v>5</v>
      </c>
      <c r="V229" s="1">
        <v>44921</v>
      </c>
      <c r="W229" t="s">
        <v>50</v>
      </c>
      <c r="X229" t="s">
        <v>51</v>
      </c>
      <c r="Y229" t="s">
        <v>52</v>
      </c>
      <c r="Z229">
        <v>3</v>
      </c>
      <c r="AA229">
        <v>614.53</v>
      </c>
      <c r="AB229">
        <v>75</v>
      </c>
    </row>
    <row r="230" spans="1:28" x14ac:dyDescent="0.2">
      <c r="A230">
        <v>3689</v>
      </c>
      <c r="B230" s="1">
        <v>44393</v>
      </c>
      <c r="C230" t="s">
        <v>28</v>
      </c>
      <c r="D230" t="s">
        <v>44</v>
      </c>
      <c r="E230" t="s">
        <v>30</v>
      </c>
      <c r="F230" t="s">
        <v>31</v>
      </c>
      <c r="G230" t="s">
        <v>45</v>
      </c>
      <c r="H230" t="s">
        <v>33</v>
      </c>
      <c r="I230" t="s">
        <v>34</v>
      </c>
      <c r="J230" t="s">
        <v>70</v>
      </c>
      <c r="K230" s="2">
        <v>22279</v>
      </c>
      <c r="L230" t="s">
        <v>36</v>
      </c>
      <c r="M230" t="s">
        <v>48</v>
      </c>
      <c r="N230" t="s">
        <v>84</v>
      </c>
      <c r="O230" t="s">
        <v>67</v>
      </c>
      <c r="P230" t="s">
        <v>78</v>
      </c>
      <c r="Q230">
        <v>3</v>
      </c>
      <c r="R230" s="2">
        <v>44790</v>
      </c>
      <c r="S230">
        <v>4</v>
      </c>
      <c r="T230">
        <v>4</v>
      </c>
      <c r="U230">
        <v>3</v>
      </c>
      <c r="V230" s="1">
        <v>44982</v>
      </c>
      <c r="W230" t="s">
        <v>92</v>
      </c>
      <c r="X230" t="s">
        <v>51</v>
      </c>
      <c r="Y230" t="s">
        <v>73</v>
      </c>
      <c r="Z230">
        <v>1</v>
      </c>
      <c r="AA230">
        <v>734.94</v>
      </c>
      <c r="AB230">
        <v>61</v>
      </c>
    </row>
    <row r="231" spans="1:28" x14ac:dyDescent="0.2">
      <c r="A231">
        <v>3690</v>
      </c>
      <c r="B231" s="1">
        <v>44047</v>
      </c>
      <c r="C231" t="s">
        <v>28</v>
      </c>
      <c r="D231" t="s">
        <v>87</v>
      </c>
      <c r="E231" t="s">
        <v>30</v>
      </c>
      <c r="F231" t="s">
        <v>46</v>
      </c>
      <c r="G231" t="s">
        <v>45</v>
      </c>
      <c r="H231" t="s">
        <v>33</v>
      </c>
      <c r="I231" t="s">
        <v>34</v>
      </c>
      <c r="J231" t="s">
        <v>105</v>
      </c>
      <c r="K231" s="2">
        <v>18581</v>
      </c>
      <c r="L231" t="s">
        <v>36</v>
      </c>
      <c r="M231" t="s">
        <v>48</v>
      </c>
      <c r="N231" t="s">
        <v>38</v>
      </c>
      <c r="O231" t="s">
        <v>61</v>
      </c>
      <c r="P231" t="s">
        <v>98</v>
      </c>
      <c r="Q231">
        <v>3</v>
      </c>
      <c r="R231" s="2">
        <v>45077</v>
      </c>
      <c r="S231">
        <v>4</v>
      </c>
      <c r="T231">
        <v>3</v>
      </c>
      <c r="U231">
        <v>5</v>
      </c>
      <c r="V231" s="1">
        <v>45019</v>
      </c>
      <c r="W231" t="s">
        <v>68</v>
      </c>
      <c r="X231" t="s">
        <v>42</v>
      </c>
      <c r="Y231" t="s">
        <v>63</v>
      </c>
      <c r="Z231">
        <v>5</v>
      </c>
      <c r="AA231">
        <v>589.5</v>
      </c>
      <c r="AB231">
        <v>70</v>
      </c>
    </row>
    <row r="232" spans="1:28" x14ac:dyDescent="0.2">
      <c r="A232">
        <v>3691</v>
      </c>
      <c r="B232" s="1">
        <v>44158</v>
      </c>
      <c r="C232" t="s">
        <v>28</v>
      </c>
      <c r="D232" t="s">
        <v>64</v>
      </c>
      <c r="E232" t="s">
        <v>30</v>
      </c>
      <c r="F232" t="s">
        <v>46</v>
      </c>
      <c r="G232" t="s">
        <v>32</v>
      </c>
      <c r="H232" t="s">
        <v>55</v>
      </c>
      <c r="I232" t="s">
        <v>34</v>
      </c>
      <c r="J232" t="s">
        <v>35</v>
      </c>
      <c r="K232" s="2">
        <v>33972</v>
      </c>
      <c r="L232" t="s">
        <v>36</v>
      </c>
      <c r="M232" t="s">
        <v>48</v>
      </c>
      <c r="N232" t="s">
        <v>84</v>
      </c>
      <c r="O232" t="s">
        <v>61</v>
      </c>
      <c r="P232" t="s">
        <v>98</v>
      </c>
      <c r="Q232">
        <v>1</v>
      </c>
      <c r="R232" s="2">
        <v>44902</v>
      </c>
      <c r="S232">
        <v>1</v>
      </c>
      <c r="T232">
        <v>1</v>
      </c>
      <c r="U232">
        <v>5</v>
      </c>
      <c r="V232" s="1">
        <v>44991</v>
      </c>
      <c r="W232" t="s">
        <v>41</v>
      </c>
      <c r="X232" t="s">
        <v>42</v>
      </c>
      <c r="Y232" t="s">
        <v>63</v>
      </c>
      <c r="Z232">
        <v>3</v>
      </c>
      <c r="AA232">
        <v>311.27999999999997</v>
      </c>
      <c r="AB232">
        <v>27</v>
      </c>
    </row>
    <row r="233" spans="1:28" x14ac:dyDescent="0.2">
      <c r="A233">
        <v>3692</v>
      </c>
      <c r="B233" s="1">
        <v>43780</v>
      </c>
      <c r="C233" t="s">
        <v>28</v>
      </c>
      <c r="D233" t="s">
        <v>94</v>
      </c>
      <c r="E233" t="s">
        <v>30</v>
      </c>
      <c r="F233" t="s">
        <v>55</v>
      </c>
      <c r="G233" t="s">
        <v>56</v>
      </c>
      <c r="H233" t="s">
        <v>46</v>
      </c>
      <c r="I233" t="s">
        <v>34</v>
      </c>
      <c r="J233" t="s">
        <v>47</v>
      </c>
      <c r="K233" s="2">
        <v>29204</v>
      </c>
      <c r="L233" t="s">
        <v>36</v>
      </c>
      <c r="M233" t="s">
        <v>48</v>
      </c>
      <c r="N233" t="s">
        <v>72</v>
      </c>
      <c r="O233" t="s">
        <v>39</v>
      </c>
      <c r="P233" t="s">
        <v>98</v>
      </c>
      <c r="Q233">
        <v>3</v>
      </c>
      <c r="R233" s="2">
        <v>44974</v>
      </c>
      <c r="S233">
        <v>4</v>
      </c>
      <c r="T233">
        <v>5</v>
      </c>
      <c r="U233">
        <v>3</v>
      </c>
      <c r="V233" s="1">
        <v>45014</v>
      </c>
      <c r="W233" t="s">
        <v>68</v>
      </c>
      <c r="X233" t="s">
        <v>42</v>
      </c>
      <c r="Y233" t="s">
        <v>73</v>
      </c>
      <c r="Z233">
        <v>5</v>
      </c>
      <c r="AA233">
        <v>671.88</v>
      </c>
      <c r="AB233">
        <v>40</v>
      </c>
    </row>
    <row r="234" spans="1:28" x14ac:dyDescent="0.2">
      <c r="A234">
        <v>3693</v>
      </c>
      <c r="B234" s="1">
        <v>43605</v>
      </c>
      <c r="C234" t="s">
        <v>106</v>
      </c>
      <c r="D234" t="s">
        <v>85</v>
      </c>
      <c r="E234" t="s">
        <v>30</v>
      </c>
      <c r="F234" t="s">
        <v>46</v>
      </c>
      <c r="G234" t="s">
        <v>56</v>
      </c>
      <c r="H234" t="s">
        <v>33</v>
      </c>
      <c r="I234" t="s">
        <v>34</v>
      </c>
      <c r="J234" t="s">
        <v>96</v>
      </c>
      <c r="K234" s="2">
        <v>28338</v>
      </c>
      <c r="L234" t="s">
        <v>36</v>
      </c>
      <c r="M234" t="s">
        <v>37</v>
      </c>
      <c r="N234" t="s">
        <v>38</v>
      </c>
      <c r="O234" t="s">
        <v>67</v>
      </c>
      <c r="P234" t="s">
        <v>78</v>
      </c>
      <c r="Q234">
        <v>2</v>
      </c>
      <c r="R234" s="2">
        <v>45025</v>
      </c>
      <c r="S234">
        <v>3</v>
      </c>
      <c r="T234">
        <v>1</v>
      </c>
      <c r="U234">
        <v>1</v>
      </c>
      <c r="V234" s="1">
        <v>44950</v>
      </c>
      <c r="W234" t="s">
        <v>62</v>
      </c>
      <c r="X234" t="s">
        <v>51</v>
      </c>
      <c r="Y234" t="s">
        <v>63</v>
      </c>
      <c r="Z234">
        <v>1</v>
      </c>
      <c r="AA234">
        <v>861.5</v>
      </c>
      <c r="AB234">
        <v>42</v>
      </c>
    </row>
    <row r="235" spans="1:28" x14ac:dyDescent="0.2">
      <c r="A235">
        <v>3694</v>
      </c>
      <c r="B235" s="1">
        <v>43774</v>
      </c>
      <c r="C235" t="s">
        <v>106</v>
      </c>
      <c r="D235" t="s">
        <v>44</v>
      </c>
      <c r="E235" t="s">
        <v>108</v>
      </c>
      <c r="F235" t="s">
        <v>55</v>
      </c>
      <c r="G235" t="s">
        <v>45</v>
      </c>
      <c r="H235" t="s">
        <v>46</v>
      </c>
      <c r="I235" t="s">
        <v>34</v>
      </c>
      <c r="J235" t="s">
        <v>70</v>
      </c>
      <c r="K235" s="2">
        <v>22351</v>
      </c>
      <c r="L235" t="s">
        <v>36</v>
      </c>
      <c r="M235" t="s">
        <v>37</v>
      </c>
      <c r="N235" t="s">
        <v>49</v>
      </c>
      <c r="O235" t="s">
        <v>67</v>
      </c>
      <c r="P235" t="s">
        <v>107</v>
      </c>
      <c r="Q235">
        <v>4</v>
      </c>
      <c r="R235" s="2">
        <v>45005</v>
      </c>
      <c r="S235">
        <v>3</v>
      </c>
      <c r="T235">
        <v>3</v>
      </c>
      <c r="U235">
        <v>5</v>
      </c>
      <c r="V235" s="1">
        <v>45065</v>
      </c>
      <c r="W235" t="s">
        <v>41</v>
      </c>
      <c r="X235" t="s">
        <v>51</v>
      </c>
      <c r="Y235" t="s">
        <v>63</v>
      </c>
      <c r="Z235">
        <v>2</v>
      </c>
      <c r="AA235">
        <v>649.17999999999995</v>
      </c>
      <c r="AB235">
        <v>58</v>
      </c>
    </row>
    <row r="236" spans="1:28" x14ac:dyDescent="0.2">
      <c r="A236">
        <v>3695</v>
      </c>
      <c r="B236" s="1">
        <v>43363</v>
      </c>
      <c r="C236" t="s">
        <v>106</v>
      </c>
      <c r="D236" t="s">
        <v>87</v>
      </c>
      <c r="E236" t="s">
        <v>108</v>
      </c>
      <c r="F236" t="s">
        <v>31</v>
      </c>
      <c r="G236" t="s">
        <v>32</v>
      </c>
      <c r="H236" t="s">
        <v>33</v>
      </c>
      <c r="I236" t="s">
        <v>34</v>
      </c>
      <c r="J236" t="s">
        <v>102</v>
      </c>
      <c r="K236" s="2">
        <v>32840</v>
      </c>
      <c r="L236" t="s">
        <v>36</v>
      </c>
      <c r="M236" t="s">
        <v>37</v>
      </c>
      <c r="N236" t="s">
        <v>49</v>
      </c>
      <c r="O236" t="s">
        <v>77</v>
      </c>
      <c r="P236" t="s">
        <v>107</v>
      </c>
      <c r="Q236">
        <v>4</v>
      </c>
      <c r="R236" s="2">
        <v>44801</v>
      </c>
      <c r="S236">
        <v>1</v>
      </c>
      <c r="T236">
        <v>1</v>
      </c>
      <c r="U236">
        <v>4</v>
      </c>
      <c r="V236" s="1">
        <v>44934</v>
      </c>
      <c r="W236" t="s">
        <v>62</v>
      </c>
      <c r="X236" t="s">
        <v>51</v>
      </c>
      <c r="Y236" t="s">
        <v>43</v>
      </c>
      <c r="Z236">
        <v>4</v>
      </c>
      <c r="AA236">
        <v>492.2</v>
      </c>
      <c r="AB236">
        <v>29</v>
      </c>
    </row>
    <row r="237" spans="1:28" x14ac:dyDescent="0.2">
      <c r="A237">
        <v>3696</v>
      </c>
      <c r="B237" s="1">
        <v>44076</v>
      </c>
      <c r="C237" t="s">
        <v>106</v>
      </c>
      <c r="D237" t="s">
        <v>64</v>
      </c>
      <c r="E237" t="s">
        <v>108</v>
      </c>
      <c r="F237" t="s">
        <v>31</v>
      </c>
      <c r="G237" t="s">
        <v>56</v>
      </c>
      <c r="H237" t="s">
        <v>46</v>
      </c>
      <c r="I237" t="s">
        <v>34</v>
      </c>
      <c r="J237" t="s">
        <v>103</v>
      </c>
      <c r="K237" s="2">
        <v>32788</v>
      </c>
      <c r="L237" t="s">
        <v>36</v>
      </c>
      <c r="M237" t="s">
        <v>37</v>
      </c>
      <c r="N237" t="s">
        <v>49</v>
      </c>
      <c r="O237" t="s">
        <v>39</v>
      </c>
      <c r="P237" t="s">
        <v>107</v>
      </c>
      <c r="Q237">
        <v>3</v>
      </c>
      <c r="R237" s="2">
        <v>44896</v>
      </c>
      <c r="S237">
        <v>2</v>
      </c>
      <c r="T237">
        <v>1</v>
      </c>
      <c r="U237">
        <v>2</v>
      </c>
      <c r="V237" s="1">
        <v>44939</v>
      </c>
      <c r="W237" t="s">
        <v>68</v>
      </c>
      <c r="X237" t="s">
        <v>42</v>
      </c>
      <c r="Y237" t="s">
        <v>73</v>
      </c>
      <c r="Z237">
        <v>2</v>
      </c>
      <c r="AA237">
        <v>299.58999999999997</v>
      </c>
      <c r="AB237">
        <v>31</v>
      </c>
    </row>
    <row r="238" spans="1:28" x14ac:dyDescent="0.2">
      <c r="A238">
        <v>3697</v>
      </c>
      <c r="B238" s="1">
        <v>44010</v>
      </c>
      <c r="C238" t="s">
        <v>106</v>
      </c>
      <c r="D238" t="s">
        <v>94</v>
      </c>
      <c r="E238" t="s">
        <v>30</v>
      </c>
      <c r="F238" t="s">
        <v>55</v>
      </c>
      <c r="G238" t="s">
        <v>45</v>
      </c>
      <c r="H238" t="s">
        <v>46</v>
      </c>
      <c r="I238" t="s">
        <v>34</v>
      </c>
      <c r="J238" t="s">
        <v>70</v>
      </c>
      <c r="K238" s="2">
        <v>33964</v>
      </c>
      <c r="L238" t="s">
        <v>36</v>
      </c>
      <c r="M238" t="s">
        <v>37</v>
      </c>
      <c r="N238" t="s">
        <v>60</v>
      </c>
      <c r="O238" t="s">
        <v>61</v>
      </c>
      <c r="P238" t="s">
        <v>107</v>
      </c>
      <c r="Q238">
        <v>4</v>
      </c>
      <c r="R238" s="2">
        <v>45127</v>
      </c>
      <c r="S238">
        <v>3</v>
      </c>
      <c r="T238">
        <v>4</v>
      </c>
      <c r="U238">
        <v>1</v>
      </c>
      <c r="V238" s="1">
        <v>45040</v>
      </c>
      <c r="W238" t="s">
        <v>68</v>
      </c>
      <c r="X238" t="s">
        <v>42</v>
      </c>
      <c r="Y238" t="s">
        <v>43</v>
      </c>
      <c r="Z238">
        <v>2</v>
      </c>
      <c r="AA238">
        <v>982.33</v>
      </c>
      <c r="AB238">
        <v>28</v>
      </c>
    </row>
    <row r="239" spans="1:28" x14ac:dyDescent="0.2">
      <c r="A239">
        <v>3698</v>
      </c>
      <c r="B239" s="1">
        <v>45007</v>
      </c>
      <c r="C239" t="s">
        <v>106</v>
      </c>
      <c r="D239" t="s">
        <v>74</v>
      </c>
      <c r="E239" t="s">
        <v>30</v>
      </c>
      <c r="F239" t="s">
        <v>55</v>
      </c>
      <c r="G239" t="s">
        <v>45</v>
      </c>
      <c r="H239" t="s">
        <v>55</v>
      </c>
      <c r="I239" t="s">
        <v>34</v>
      </c>
      <c r="J239" t="s">
        <v>102</v>
      </c>
      <c r="K239" s="2">
        <v>30845</v>
      </c>
      <c r="L239" t="s">
        <v>36</v>
      </c>
      <c r="M239" t="s">
        <v>37</v>
      </c>
      <c r="N239" t="s">
        <v>49</v>
      </c>
      <c r="O239" t="s">
        <v>67</v>
      </c>
      <c r="P239" t="s">
        <v>107</v>
      </c>
      <c r="Q239">
        <v>3</v>
      </c>
      <c r="R239" s="2">
        <v>44945</v>
      </c>
      <c r="S239">
        <v>2</v>
      </c>
      <c r="T239">
        <v>5</v>
      </c>
      <c r="U239">
        <v>4</v>
      </c>
      <c r="V239" s="1">
        <v>44919</v>
      </c>
      <c r="W239" t="s">
        <v>41</v>
      </c>
      <c r="X239" t="s">
        <v>51</v>
      </c>
      <c r="Y239" t="s">
        <v>73</v>
      </c>
      <c r="Z239">
        <v>2</v>
      </c>
      <c r="AA239">
        <v>830.36</v>
      </c>
      <c r="AB239">
        <v>39</v>
      </c>
    </row>
    <row r="240" spans="1:28" x14ac:dyDescent="0.2">
      <c r="A240">
        <v>3699</v>
      </c>
      <c r="B240" s="1">
        <v>44803</v>
      </c>
      <c r="C240" t="s">
        <v>28</v>
      </c>
      <c r="D240" t="s">
        <v>94</v>
      </c>
      <c r="E240" t="s">
        <v>108</v>
      </c>
      <c r="F240" t="s">
        <v>46</v>
      </c>
      <c r="G240" t="s">
        <v>56</v>
      </c>
      <c r="H240" t="s">
        <v>33</v>
      </c>
      <c r="I240" t="s">
        <v>34</v>
      </c>
      <c r="J240" t="s">
        <v>79</v>
      </c>
      <c r="K240" s="2">
        <v>28156</v>
      </c>
      <c r="L240" t="s">
        <v>36</v>
      </c>
      <c r="M240" t="s">
        <v>48</v>
      </c>
      <c r="N240" t="s">
        <v>84</v>
      </c>
      <c r="O240" t="s">
        <v>77</v>
      </c>
      <c r="P240" t="s">
        <v>107</v>
      </c>
      <c r="Q240">
        <v>2</v>
      </c>
      <c r="R240" s="2">
        <v>45098</v>
      </c>
      <c r="S240">
        <v>2</v>
      </c>
      <c r="T240">
        <v>4</v>
      </c>
      <c r="U240">
        <v>3</v>
      </c>
      <c r="V240" s="1">
        <v>44792</v>
      </c>
      <c r="W240" t="s">
        <v>50</v>
      </c>
      <c r="X240" t="s">
        <v>51</v>
      </c>
      <c r="Y240" t="s">
        <v>73</v>
      </c>
      <c r="Z240">
        <v>1</v>
      </c>
      <c r="AA240">
        <v>973.34</v>
      </c>
      <c r="AB240">
        <v>45</v>
      </c>
    </row>
    <row r="241" spans="1:28" x14ac:dyDescent="0.2">
      <c r="A241">
        <v>3700</v>
      </c>
      <c r="B241" s="1">
        <v>43762</v>
      </c>
      <c r="C241" t="s">
        <v>28</v>
      </c>
      <c r="D241" t="s">
        <v>54</v>
      </c>
      <c r="E241" t="s">
        <v>30</v>
      </c>
      <c r="F241" t="s">
        <v>46</v>
      </c>
      <c r="G241" t="s">
        <v>45</v>
      </c>
      <c r="H241" t="s">
        <v>33</v>
      </c>
      <c r="I241" t="s">
        <v>34</v>
      </c>
      <c r="J241" t="s">
        <v>101</v>
      </c>
      <c r="K241" s="2">
        <v>32245</v>
      </c>
      <c r="L241" t="s">
        <v>36</v>
      </c>
      <c r="M241" t="s">
        <v>48</v>
      </c>
      <c r="N241" t="s">
        <v>49</v>
      </c>
      <c r="O241" t="s">
        <v>77</v>
      </c>
      <c r="P241" t="s">
        <v>107</v>
      </c>
      <c r="Q241">
        <v>1</v>
      </c>
      <c r="R241" s="2">
        <v>44944</v>
      </c>
      <c r="S241">
        <v>4</v>
      </c>
      <c r="T241">
        <v>1</v>
      </c>
      <c r="U241">
        <v>1</v>
      </c>
      <c r="V241" s="1">
        <v>44982</v>
      </c>
      <c r="W241" t="s">
        <v>62</v>
      </c>
      <c r="X241" t="s">
        <v>42</v>
      </c>
      <c r="Y241" t="s">
        <v>43</v>
      </c>
      <c r="Z241">
        <v>4</v>
      </c>
      <c r="AA241">
        <v>667.34</v>
      </c>
      <c r="AB241">
        <v>31</v>
      </c>
    </row>
    <row r="242" spans="1:28" x14ac:dyDescent="0.2">
      <c r="A242">
        <v>3701</v>
      </c>
      <c r="B242" s="1">
        <v>43778</v>
      </c>
      <c r="C242" t="s">
        <v>28</v>
      </c>
      <c r="D242" t="s">
        <v>81</v>
      </c>
      <c r="E242" t="s">
        <v>30</v>
      </c>
      <c r="F242" t="s">
        <v>46</v>
      </c>
      <c r="G242" t="s">
        <v>56</v>
      </c>
      <c r="H242" t="s">
        <v>33</v>
      </c>
      <c r="I242" t="s">
        <v>34</v>
      </c>
      <c r="J242" t="s">
        <v>100</v>
      </c>
      <c r="K242" s="2">
        <v>17704</v>
      </c>
      <c r="L242" t="s">
        <v>36</v>
      </c>
      <c r="M242" t="s">
        <v>48</v>
      </c>
      <c r="N242" t="s">
        <v>60</v>
      </c>
      <c r="O242" t="s">
        <v>61</v>
      </c>
      <c r="P242" t="s">
        <v>107</v>
      </c>
      <c r="Q242">
        <v>2</v>
      </c>
      <c r="R242" s="2">
        <v>45087</v>
      </c>
      <c r="S242">
        <v>4</v>
      </c>
      <c r="T242">
        <v>1</v>
      </c>
      <c r="U242">
        <v>4</v>
      </c>
      <c r="V242" s="1">
        <v>44794</v>
      </c>
      <c r="W242" t="s">
        <v>92</v>
      </c>
      <c r="X242" t="s">
        <v>42</v>
      </c>
      <c r="Y242" t="s">
        <v>43</v>
      </c>
      <c r="Z242">
        <v>4</v>
      </c>
      <c r="AA242">
        <v>480.17</v>
      </c>
      <c r="AB242">
        <v>71</v>
      </c>
    </row>
    <row r="243" spans="1:28" x14ac:dyDescent="0.2">
      <c r="A243">
        <v>3702</v>
      </c>
      <c r="B243" s="1">
        <v>43659</v>
      </c>
      <c r="C243" t="s">
        <v>28</v>
      </c>
      <c r="D243" t="s">
        <v>87</v>
      </c>
      <c r="E243" t="s">
        <v>30</v>
      </c>
      <c r="F243" t="s">
        <v>46</v>
      </c>
      <c r="G243" t="s">
        <v>32</v>
      </c>
      <c r="H243" t="s">
        <v>46</v>
      </c>
      <c r="I243" t="s">
        <v>34</v>
      </c>
      <c r="J243" t="s">
        <v>47</v>
      </c>
      <c r="K243" s="2">
        <v>27872</v>
      </c>
      <c r="L243" t="s">
        <v>36</v>
      </c>
      <c r="M243" t="s">
        <v>48</v>
      </c>
      <c r="N243" t="s">
        <v>84</v>
      </c>
      <c r="O243" t="s">
        <v>61</v>
      </c>
      <c r="P243" t="s">
        <v>78</v>
      </c>
      <c r="Q243">
        <v>3</v>
      </c>
      <c r="R243" s="2">
        <v>44981</v>
      </c>
      <c r="S243">
        <v>2</v>
      </c>
      <c r="T243">
        <v>4</v>
      </c>
      <c r="U243">
        <v>1</v>
      </c>
      <c r="V243" s="1">
        <v>44972</v>
      </c>
      <c r="W243" t="s">
        <v>41</v>
      </c>
      <c r="X243" t="s">
        <v>51</v>
      </c>
      <c r="Y243" t="s">
        <v>43</v>
      </c>
      <c r="Z243">
        <v>3</v>
      </c>
      <c r="AA243">
        <v>346.28</v>
      </c>
      <c r="AB243">
        <v>43</v>
      </c>
    </row>
    <row r="244" spans="1:28" x14ac:dyDescent="0.2">
      <c r="A244">
        <v>3703</v>
      </c>
      <c r="B244" s="1">
        <v>44074</v>
      </c>
      <c r="C244" t="s">
        <v>28</v>
      </c>
      <c r="D244" t="s">
        <v>44</v>
      </c>
      <c r="E244" t="s">
        <v>30</v>
      </c>
      <c r="F244" t="s">
        <v>46</v>
      </c>
      <c r="G244" t="s">
        <v>45</v>
      </c>
      <c r="H244" t="s">
        <v>46</v>
      </c>
      <c r="I244" t="s">
        <v>34</v>
      </c>
      <c r="J244" t="s">
        <v>79</v>
      </c>
      <c r="K244" s="2">
        <v>18674</v>
      </c>
      <c r="L244" t="s">
        <v>36</v>
      </c>
      <c r="M244" t="s">
        <v>37</v>
      </c>
      <c r="N244" t="s">
        <v>38</v>
      </c>
      <c r="O244" t="s">
        <v>39</v>
      </c>
      <c r="P244" t="s">
        <v>78</v>
      </c>
      <c r="Q244">
        <v>4</v>
      </c>
      <c r="R244" s="2">
        <v>45079</v>
      </c>
      <c r="S244">
        <v>5</v>
      </c>
      <c r="T244">
        <v>5</v>
      </c>
      <c r="U244">
        <v>5</v>
      </c>
      <c r="V244" s="1">
        <v>44922</v>
      </c>
      <c r="W244" t="s">
        <v>92</v>
      </c>
      <c r="X244" t="s">
        <v>51</v>
      </c>
      <c r="Y244" t="s">
        <v>63</v>
      </c>
      <c r="Z244">
        <v>3</v>
      </c>
      <c r="AA244">
        <v>121.45</v>
      </c>
      <c r="AB244">
        <v>69</v>
      </c>
    </row>
    <row r="245" spans="1:28" x14ac:dyDescent="0.2">
      <c r="A245">
        <v>3704</v>
      </c>
      <c r="B245" s="1">
        <v>43490</v>
      </c>
      <c r="C245" t="s">
        <v>28</v>
      </c>
      <c r="D245" t="s">
        <v>29</v>
      </c>
      <c r="E245" t="s">
        <v>30</v>
      </c>
      <c r="F245" t="s">
        <v>55</v>
      </c>
      <c r="G245" t="s">
        <v>32</v>
      </c>
      <c r="H245" t="s">
        <v>46</v>
      </c>
      <c r="I245" t="s">
        <v>34</v>
      </c>
      <c r="J245" t="s">
        <v>70</v>
      </c>
      <c r="K245" s="2">
        <v>27795</v>
      </c>
      <c r="L245" t="s">
        <v>36</v>
      </c>
      <c r="M245" t="s">
        <v>37</v>
      </c>
      <c r="N245" t="s">
        <v>84</v>
      </c>
      <c r="O245" t="s">
        <v>67</v>
      </c>
      <c r="P245" t="s">
        <v>78</v>
      </c>
      <c r="Q245">
        <v>5</v>
      </c>
      <c r="R245" s="2">
        <v>45114</v>
      </c>
      <c r="S245">
        <v>2</v>
      </c>
      <c r="T245">
        <v>4</v>
      </c>
      <c r="U245">
        <v>5</v>
      </c>
      <c r="V245" s="1">
        <v>44841</v>
      </c>
      <c r="W245" t="s">
        <v>68</v>
      </c>
      <c r="X245" t="s">
        <v>51</v>
      </c>
      <c r="Y245" t="s">
        <v>52</v>
      </c>
      <c r="Z245">
        <v>2</v>
      </c>
      <c r="AA245">
        <v>669.3</v>
      </c>
      <c r="AB245">
        <v>43</v>
      </c>
    </row>
    <row r="246" spans="1:28" x14ac:dyDescent="0.2">
      <c r="A246">
        <v>3705</v>
      </c>
      <c r="B246" s="1">
        <v>44156</v>
      </c>
      <c r="C246" t="s">
        <v>28</v>
      </c>
      <c r="D246" t="s">
        <v>69</v>
      </c>
      <c r="E246" t="s">
        <v>30</v>
      </c>
      <c r="F246" t="s">
        <v>55</v>
      </c>
      <c r="G246" t="s">
        <v>45</v>
      </c>
      <c r="H246" t="s">
        <v>46</v>
      </c>
      <c r="I246" t="s">
        <v>34</v>
      </c>
      <c r="J246" t="s">
        <v>58</v>
      </c>
      <c r="K246" s="2">
        <v>24619</v>
      </c>
      <c r="L246" t="s">
        <v>36</v>
      </c>
      <c r="M246" t="s">
        <v>37</v>
      </c>
      <c r="N246" t="s">
        <v>38</v>
      </c>
      <c r="O246" t="s">
        <v>61</v>
      </c>
      <c r="P246" t="s">
        <v>78</v>
      </c>
      <c r="Q246">
        <v>3</v>
      </c>
      <c r="R246" s="2">
        <v>45071</v>
      </c>
      <c r="S246">
        <v>3</v>
      </c>
      <c r="T246">
        <v>1</v>
      </c>
      <c r="U246">
        <v>4</v>
      </c>
      <c r="V246" s="1">
        <v>45033</v>
      </c>
      <c r="W246" t="s">
        <v>68</v>
      </c>
      <c r="X246" t="s">
        <v>42</v>
      </c>
      <c r="Y246" t="s">
        <v>63</v>
      </c>
      <c r="Z246">
        <v>5</v>
      </c>
      <c r="AA246">
        <v>983.59</v>
      </c>
      <c r="AB246">
        <v>53</v>
      </c>
    </row>
    <row r="247" spans="1:28" x14ac:dyDescent="0.2">
      <c r="A247">
        <v>3706</v>
      </c>
      <c r="B247" s="1">
        <v>43731</v>
      </c>
      <c r="C247" t="s">
        <v>28</v>
      </c>
      <c r="D247" t="s">
        <v>74</v>
      </c>
      <c r="E247" t="s">
        <v>30</v>
      </c>
      <c r="F247" t="s">
        <v>55</v>
      </c>
      <c r="G247" t="s">
        <v>56</v>
      </c>
      <c r="H247" t="s">
        <v>46</v>
      </c>
      <c r="I247" t="s">
        <v>34</v>
      </c>
      <c r="J247" t="s">
        <v>70</v>
      </c>
      <c r="K247" s="2">
        <v>27341</v>
      </c>
      <c r="L247" t="s">
        <v>36</v>
      </c>
      <c r="M247" t="s">
        <v>48</v>
      </c>
      <c r="N247" t="s">
        <v>38</v>
      </c>
      <c r="O247" t="s">
        <v>77</v>
      </c>
      <c r="P247" t="s">
        <v>78</v>
      </c>
      <c r="Q247">
        <v>3</v>
      </c>
      <c r="R247" s="2">
        <v>45124</v>
      </c>
      <c r="S247">
        <v>2</v>
      </c>
      <c r="T247">
        <v>1</v>
      </c>
      <c r="U247">
        <v>4</v>
      </c>
      <c r="V247" s="1">
        <v>45084</v>
      </c>
      <c r="W247" t="s">
        <v>50</v>
      </c>
      <c r="X247" t="s">
        <v>42</v>
      </c>
      <c r="Y247" t="s">
        <v>63</v>
      </c>
      <c r="Z247">
        <v>1</v>
      </c>
      <c r="AA247">
        <v>304.89999999999998</v>
      </c>
      <c r="AB247">
        <v>45</v>
      </c>
    </row>
    <row r="248" spans="1:28" x14ac:dyDescent="0.2">
      <c r="A248">
        <v>3707</v>
      </c>
      <c r="B248" s="1">
        <v>44906</v>
      </c>
      <c r="C248" t="s">
        <v>28</v>
      </c>
      <c r="D248" t="s">
        <v>64</v>
      </c>
      <c r="E248" t="s">
        <v>30</v>
      </c>
      <c r="F248" t="s">
        <v>31</v>
      </c>
      <c r="G248" t="s">
        <v>56</v>
      </c>
      <c r="H248" t="s">
        <v>33</v>
      </c>
      <c r="I248" t="s">
        <v>34</v>
      </c>
      <c r="J248" t="s">
        <v>79</v>
      </c>
      <c r="K248" s="2">
        <v>35034</v>
      </c>
      <c r="L248" t="s">
        <v>36</v>
      </c>
      <c r="M248" t="s">
        <v>48</v>
      </c>
      <c r="N248" t="s">
        <v>84</v>
      </c>
      <c r="O248" t="s">
        <v>77</v>
      </c>
      <c r="P248" t="s">
        <v>78</v>
      </c>
      <c r="Q248">
        <v>3</v>
      </c>
      <c r="R248" s="2">
        <v>45009</v>
      </c>
      <c r="S248">
        <v>3</v>
      </c>
      <c r="T248">
        <v>2</v>
      </c>
      <c r="U248">
        <v>4</v>
      </c>
      <c r="V248" s="1">
        <v>44919</v>
      </c>
      <c r="W248" t="s">
        <v>41</v>
      </c>
      <c r="X248" t="s">
        <v>51</v>
      </c>
      <c r="Y248" t="s">
        <v>73</v>
      </c>
      <c r="Z248">
        <v>3</v>
      </c>
      <c r="AA248">
        <v>778.72</v>
      </c>
      <c r="AB248">
        <v>27</v>
      </c>
    </row>
    <row r="249" spans="1:28" x14ac:dyDescent="0.2">
      <c r="A249">
        <v>3708</v>
      </c>
      <c r="B249" s="1">
        <v>44064</v>
      </c>
      <c r="C249" t="s">
        <v>28</v>
      </c>
      <c r="D249" t="s">
        <v>85</v>
      </c>
      <c r="E249" t="s">
        <v>30</v>
      </c>
      <c r="F249" t="s">
        <v>55</v>
      </c>
      <c r="G249" t="s">
        <v>32</v>
      </c>
      <c r="H249" t="s">
        <v>46</v>
      </c>
      <c r="I249" t="s">
        <v>34</v>
      </c>
      <c r="J249" t="s">
        <v>97</v>
      </c>
      <c r="K249" s="2">
        <v>27079</v>
      </c>
      <c r="L249" t="s">
        <v>36</v>
      </c>
      <c r="M249" t="s">
        <v>48</v>
      </c>
      <c r="N249" t="s">
        <v>72</v>
      </c>
      <c r="O249" t="s">
        <v>67</v>
      </c>
      <c r="P249" t="s">
        <v>78</v>
      </c>
      <c r="Q249">
        <v>4</v>
      </c>
      <c r="R249" s="2">
        <v>44794</v>
      </c>
      <c r="S249">
        <v>5</v>
      </c>
      <c r="T249">
        <v>5</v>
      </c>
      <c r="U249">
        <v>2</v>
      </c>
      <c r="V249" s="1">
        <v>44929</v>
      </c>
      <c r="W249" t="s">
        <v>50</v>
      </c>
      <c r="X249" t="s">
        <v>51</v>
      </c>
      <c r="Y249" t="s">
        <v>73</v>
      </c>
      <c r="Z249">
        <v>4</v>
      </c>
      <c r="AA249">
        <v>136.15</v>
      </c>
      <c r="AB249">
        <v>46</v>
      </c>
    </row>
    <row r="250" spans="1:28" x14ac:dyDescent="0.2">
      <c r="A250">
        <v>3709</v>
      </c>
      <c r="B250" s="1">
        <v>43500</v>
      </c>
      <c r="C250" t="s">
        <v>28</v>
      </c>
      <c r="D250" t="s">
        <v>94</v>
      </c>
      <c r="E250" t="s">
        <v>30</v>
      </c>
      <c r="F250" t="s">
        <v>55</v>
      </c>
      <c r="G250" t="s">
        <v>32</v>
      </c>
      <c r="H250" t="s">
        <v>46</v>
      </c>
      <c r="I250" t="s">
        <v>34</v>
      </c>
      <c r="J250" t="s">
        <v>89</v>
      </c>
      <c r="K250" s="2">
        <v>25464</v>
      </c>
      <c r="L250" t="s">
        <v>36</v>
      </c>
      <c r="M250" t="s">
        <v>48</v>
      </c>
      <c r="N250" t="s">
        <v>72</v>
      </c>
      <c r="O250" t="s">
        <v>77</v>
      </c>
      <c r="P250" t="s">
        <v>78</v>
      </c>
      <c r="Q250">
        <v>5</v>
      </c>
      <c r="R250" s="2">
        <v>45054</v>
      </c>
      <c r="S250">
        <v>3</v>
      </c>
      <c r="T250">
        <v>5</v>
      </c>
      <c r="U250">
        <v>3</v>
      </c>
      <c r="V250" s="1">
        <v>45023</v>
      </c>
      <c r="W250" t="s">
        <v>41</v>
      </c>
      <c r="X250" t="s">
        <v>42</v>
      </c>
      <c r="Y250" t="s">
        <v>52</v>
      </c>
      <c r="Z250">
        <v>4</v>
      </c>
      <c r="AA250">
        <v>339.84</v>
      </c>
      <c r="AB250">
        <v>50</v>
      </c>
    </row>
    <row r="251" spans="1:28" x14ac:dyDescent="0.2">
      <c r="A251">
        <v>3710</v>
      </c>
      <c r="B251" s="1">
        <v>44498</v>
      </c>
      <c r="C251" t="s">
        <v>28</v>
      </c>
      <c r="D251" t="s">
        <v>54</v>
      </c>
      <c r="E251" t="s">
        <v>30</v>
      </c>
      <c r="F251" t="s">
        <v>55</v>
      </c>
      <c r="G251" t="s">
        <v>32</v>
      </c>
      <c r="H251" t="s">
        <v>46</v>
      </c>
      <c r="I251" t="s">
        <v>34</v>
      </c>
      <c r="J251" t="s">
        <v>47</v>
      </c>
      <c r="K251" s="2">
        <v>22205</v>
      </c>
      <c r="L251" t="s">
        <v>36</v>
      </c>
      <c r="M251" t="s">
        <v>37</v>
      </c>
      <c r="N251" t="s">
        <v>49</v>
      </c>
      <c r="O251" t="s">
        <v>61</v>
      </c>
      <c r="P251" t="s">
        <v>78</v>
      </c>
      <c r="Q251">
        <v>1</v>
      </c>
      <c r="R251" s="2">
        <v>44985</v>
      </c>
      <c r="S251">
        <v>5</v>
      </c>
      <c r="T251">
        <v>5</v>
      </c>
      <c r="U251">
        <v>3</v>
      </c>
      <c r="V251" s="1">
        <v>45079</v>
      </c>
      <c r="W251" t="s">
        <v>41</v>
      </c>
      <c r="X251" t="s">
        <v>51</v>
      </c>
      <c r="Y251" t="s">
        <v>63</v>
      </c>
      <c r="Z251">
        <v>1</v>
      </c>
      <c r="AA251">
        <v>791.78</v>
      </c>
      <c r="AB251">
        <v>61</v>
      </c>
    </row>
    <row r="252" spans="1:28" x14ac:dyDescent="0.2">
      <c r="A252">
        <v>3711</v>
      </c>
      <c r="B252" s="1">
        <v>44394</v>
      </c>
      <c r="C252" t="s">
        <v>28</v>
      </c>
      <c r="D252" t="s">
        <v>81</v>
      </c>
      <c r="E252" t="s">
        <v>30</v>
      </c>
      <c r="F252" t="s">
        <v>46</v>
      </c>
      <c r="G252" t="s">
        <v>45</v>
      </c>
      <c r="H252" t="s">
        <v>33</v>
      </c>
      <c r="I252" t="s">
        <v>34</v>
      </c>
      <c r="J252" t="s">
        <v>35</v>
      </c>
      <c r="K252" s="2">
        <v>29589</v>
      </c>
      <c r="L252" t="s">
        <v>36</v>
      </c>
      <c r="M252" t="s">
        <v>37</v>
      </c>
      <c r="N252" t="s">
        <v>72</v>
      </c>
      <c r="O252" t="s">
        <v>61</v>
      </c>
      <c r="P252" t="s">
        <v>98</v>
      </c>
      <c r="Q252">
        <v>1</v>
      </c>
      <c r="R252" s="2">
        <v>44909</v>
      </c>
      <c r="S252">
        <v>4</v>
      </c>
      <c r="T252">
        <v>3</v>
      </c>
      <c r="U252">
        <v>3</v>
      </c>
      <c r="V252" s="1">
        <v>44853</v>
      </c>
      <c r="W252" t="s">
        <v>41</v>
      </c>
      <c r="X252" t="s">
        <v>51</v>
      </c>
      <c r="Y252" t="s">
        <v>52</v>
      </c>
      <c r="Z252">
        <v>5</v>
      </c>
      <c r="AA252">
        <v>853.26</v>
      </c>
      <c r="AB252">
        <v>40</v>
      </c>
    </row>
    <row r="253" spans="1:28" x14ac:dyDescent="0.2">
      <c r="A253">
        <v>3713</v>
      </c>
      <c r="B253" s="1">
        <v>44033</v>
      </c>
      <c r="C253" t="s">
        <v>28</v>
      </c>
      <c r="D253" t="s">
        <v>44</v>
      </c>
      <c r="E253" t="s">
        <v>30</v>
      </c>
      <c r="F253" t="s">
        <v>55</v>
      </c>
      <c r="G253" t="s">
        <v>56</v>
      </c>
      <c r="H253" t="s">
        <v>33</v>
      </c>
      <c r="I253" t="s">
        <v>34</v>
      </c>
      <c r="J253" t="s">
        <v>58</v>
      </c>
      <c r="K253" s="2">
        <v>31147</v>
      </c>
      <c r="L253" t="s">
        <v>36</v>
      </c>
      <c r="M253" t="s">
        <v>48</v>
      </c>
      <c r="N253" t="s">
        <v>49</v>
      </c>
      <c r="O253" t="s">
        <v>39</v>
      </c>
      <c r="P253" t="s">
        <v>40</v>
      </c>
      <c r="Q253">
        <v>3</v>
      </c>
      <c r="R253" s="2">
        <v>44864</v>
      </c>
      <c r="S253">
        <v>3</v>
      </c>
      <c r="T253">
        <v>4</v>
      </c>
      <c r="U253">
        <v>1</v>
      </c>
      <c r="V253" s="1">
        <v>45063</v>
      </c>
      <c r="W253" t="s">
        <v>50</v>
      </c>
      <c r="X253" t="s">
        <v>51</v>
      </c>
      <c r="Y253" t="s">
        <v>52</v>
      </c>
      <c r="Z253">
        <v>5</v>
      </c>
      <c r="AA253">
        <v>235.82</v>
      </c>
      <c r="AB253">
        <v>35</v>
      </c>
    </row>
    <row r="254" spans="1:28" x14ac:dyDescent="0.2">
      <c r="A254">
        <v>3714</v>
      </c>
      <c r="B254" s="1">
        <v>43849</v>
      </c>
      <c r="C254" t="s">
        <v>28</v>
      </c>
      <c r="D254" t="s">
        <v>29</v>
      </c>
      <c r="E254" t="s">
        <v>30</v>
      </c>
      <c r="F254" t="s">
        <v>55</v>
      </c>
      <c r="G254" t="s">
        <v>56</v>
      </c>
      <c r="H254" t="s">
        <v>46</v>
      </c>
      <c r="I254" t="s">
        <v>34</v>
      </c>
      <c r="J254" t="s">
        <v>70</v>
      </c>
      <c r="K254" s="2">
        <v>23851</v>
      </c>
      <c r="L254" t="s">
        <v>36</v>
      </c>
      <c r="M254" t="s">
        <v>48</v>
      </c>
      <c r="N254" t="s">
        <v>38</v>
      </c>
      <c r="O254" t="s">
        <v>67</v>
      </c>
      <c r="P254" t="s">
        <v>40</v>
      </c>
      <c r="Q254">
        <v>4</v>
      </c>
      <c r="R254" s="2">
        <v>45128</v>
      </c>
      <c r="S254">
        <v>3</v>
      </c>
      <c r="T254">
        <v>5</v>
      </c>
      <c r="U254">
        <v>2</v>
      </c>
      <c r="V254" s="1">
        <v>45064</v>
      </c>
      <c r="W254" t="s">
        <v>41</v>
      </c>
      <c r="X254" t="s">
        <v>42</v>
      </c>
      <c r="Y254" t="s">
        <v>73</v>
      </c>
      <c r="Z254">
        <v>5</v>
      </c>
      <c r="AA254">
        <v>448.57</v>
      </c>
      <c r="AB254">
        <v>55</v>
      </c>
    </row>
    <row r="255" spans="1:28" x14ac:dyDescent="0.2">
      <c r="A255">
        <v>3715</v>
      </c>
      <c r="B255" s="1">
        <v>44451</v>
      </c>
      <c r="C255" t="s">
        <v>28</v>
      </c>
      <c r="D255" t="s">
        <v>69</v>
      </c>
      <c r="E255" t="s">
        <v>30</v>
      </c>
      <c r="F255" t="s">
        <v>31</v>
      </c>
      <c r="G255" t="s">
        <v>45</v>
      </c>
      <c r="H255" t="s">
        <v>55</v>
      </c>
      <c r="I255" t="s">
        <v>34</v>
      </c>
      <c r="J255" t="s">
        <v>96</v>
      </c>
      <c r="K255" s="2">
        <v>27824</v>
      </c>
      <c r="L255" t="s">
        <v>36</v>
      </c>
      <c r="M255" t="s">
        <v>48</v>
      </c>
      <c r="N255" t="s">
        <v>72</v>
      </c>
      <c r="O255" t="s">
        <v>39</v>
      </c>
      <c r="P255" t="s">
        <v>40</v>
      </c>
      <c r="Q255">
        <v>4</v>
      </c>
      <c r="R255" s="2">
        <v>45066</v>
      </c>
      <c r="S255">
        <v>1</v>
      </c>
      <c r="T255">
        <v>1</v>
      </c>
      <c r="U255">
        <v>4</v>
      </c>
      <c r="V255" s="1">
        <v>44937</v>
      </c>
      <c r="W255" t="s">
        <v>41</v>
      </c>
      <c r="X255" t="s">
        <v>51</v>
      </c>
      <c r="Y255" t="s">
        <v>52</v>
      </c>
      <c r="Z255">
        <v>3</v>
      </c>
      <c r="AA255">
        <v>572.55999999999995</v>
      </c>
      <c r="AB255">
        <v>45</v>
      </c>
    </row>
    <row r="256" spans="1:28" x14ac:dyDescent="0.2">
      <c r="A256">
        <v>3716</v>
      </c>
      <c r="B256" s="1">
        <v>44773</v>
      </c>
      <c r="C256" t="s">
        <v>106</v>
      </c>
      <c r="D256" t="s">
        <v>85</v>
      </c>
      <c r="E256" t="s">
        <v>108</v>
      </c>
      <c r="F256" t="s">
        <v>55</v>
      </c>
      <c r="G256" t="s">
        <v>45</v>
      </c>
      <c r="H256" t="s">
        <v>55</v>
      </c>
      <c r="I256" t="s">
        <v>34</v>
      </c>
      <c r="J256" t="s">
        <v>65</v>
      </c>
      <c r="K256" s="2">
        <v>34147</v>
      </c>
      <c r="L256" t="s">
        <v>36</v>
      </c>
      <c r="M256" t="s">
        <v>37</v>
      </c>
      <c r="N256" t="s">
        <v>72</v>
      </c>
      <c r="O256" t="s">
        <v>67</v>
      </c>
      <c r="P256" t="s">
        <v>40</v>
      </c>
      <c r="Q256">
        <v>1</v>
      </c>
      <c r="R256" s="2">
        <v>44884</v>
      </c>
      <c r="S256">
        <v>5</v>
      </c>
      <c r="T256">
        <v>3</v>
      </c>
      <c r="U256">
        <v>3</v>
      </c>
      <c r="V256" s="1">
        <v>44992</v>
      </c>
      <c r="W256" t="s">
        <v>62</v>
      </c>
      <c r="X256" t="s">
        <v>42</v>
      </c>
      <c r="Y256" t="s">
        <v>52</v>
      </c>
      <c r="Z256">
        <v>4</v>
      </c>
      <c r="AA256">
        <v>959.78</v>
      </c>
      <c r="AB256">
        <v>29</v>
      </c>
    </row>
    <row r="257" spans="1:28" x14ac:dyDescent="0.2">
      <c r="A257">
        <v>3717</v>
      </c>
      <c r="B257" s="1">
        <v>45064</v>
      </c>
      <c r="C257" t="s">
        <v>106</v>
      </c>
      <c r="D257" t="s">
        <v>44</v>
      </c>
      <c r="E257" t="s">
        <v>30</v>
      </c>
      <c r="F257" t="s">
        <v>31</v>
      </c>
      <c r="G257" t="s">
        <v>56</v>
      </c>
      <c r="H257" t="s">
        <v>55</v>
      </c>
      <c r="I257" t="s">
        <v>34</v>
      </c>
      <c r="J257" t="s">
        <v>70</v>
      </c>
      <c r="K257" s="2">
        <v>33915</v>
      </c>
      <c r="L257" t="s">
        <v>36</v>
      </c>
      <c r="M257" t="s">
        <v>37</v>
      </c>
      <c r="N257" t="s">
        <v>84</v>
      </c>
      <c r="O257" t="s">
        <v>67</v>
      </c>
      <c r="P257" t="s">
        <v>40</v>
      </c>
      <c r="Q257">
        <v>2</v>
      </c>
      <c r="R257" s="2">
        <v>44927</v>
      </c>
      <c r="S257">
        <v>4</v>
      </c>
      <c r="T257">
        <v>1</v>
      </c>
      <c r="U257">
        <v>3</v>
      </c>
      <c r="V257" s="1">
        <v>44795</v>
      </c>
      <c r="W257" t="s">
        <v>92</v>
      </c>
      <c r="X257" t="s">
        <v>51</v>
      </c>
      <c r="Y257" t="s">
        <v>73</v>
      </c>
      <c r="Z257">
        <v>3</v>
      </c>
      <c r="AA257">
        <v>363.02</v>
      </c>
      <c r="AB257">
        <v>31</v>
      </c>
    </row>
    <row r="258" spans="1:28" x14ac:dyDescent="0.2">
      <c r="A258">
        <v>3718</v>
      </c>
      <c r="B258" s="1">
        <v>44341</v>
      </c>
      <c r="C258" t="s">
        <v>106</v>
      </c>
      <c r="D258" t="s">
        <v>87</v>
      </c>
      <c r="E258" t="s">
        <v>108</v>
      </c>
      <c r="F258" t="s">
        <v>31</v>
      </c>
      <c r="G258" t="s">
        <v>32</v>
      </c>
      <c r="H258" t="s">
        <v>33</v>
      </c>
      <c r="I258" t="s">
        <v>34</v>
      </c>
      <c r="J258" t="s">
        <v>70</v>
      </c>
      <c r="K258" s="2">
        <v>17060</v>
      </c>
      <c r="L258" t="s">
        <v>36</v>
      </c>
      <c r="M258" t="s">
        <v>37</v>
      </c>
      <c r="N258" t="s">
        <v>60</v>
      </c>
      <c r="O258" t="s">
        <v>67</v>
      </c>
      <c r="P258" t="s">
        <v>40</v>
      </c>
      <c r="Q258">
        <v>4</v>
      </c>
      <c r="R258" s="2">
        <v>44839</v>
      </c>
      <c r="S258">
        <v>1</v>
      </c>
      <c r="T258">
        <v>1</v>
      </c>
      <c r="U258">
        <v>3</v>
      </c>
      <c r="V258" s="1">
        <v>45048</v>
      </c>
      <c r="W258" t="s">
        <v>92</v>
      </c>
      <c r="X258" t="s">
        <v>42</v>
      </c>
      <c r="Y258" t="s">
        <v>63</v>
      </c>
      <c r="Z258">
        <v>2</v>
      </c>
      <c r="AA258">
        <v>325.7</v>
      </c>
      <c r="AB258">
        <v>75</v>
      </c>
    </row>
    <row r="259" spans="1:28" x14ac:dyDescent="0.2">
      <c r="A259">
        <v>3719</v>
      </c>
      <c r="B259" s="1">
        <v>44764</v>
      </c>
      <c r="C259" t="s">
        <v>106</v>
      </c>
      <c r="D259" t="s">
        <v>64</v>
      </c>
      <c r="E259" t="s">
        <v>30</v>
      </c>
      <c r="F259" t="s">
        <v>31</v>
      </c>
      <c r="G259" t="s">
        <v>56</v>
      </c>
      <c r="H259" t="s">
        <v>55</v>
      </c>
      <c r="I259" t="s">
        <v>34</v>
      </c>
      <c r="J259" t="s">
        <v>111</v>
      </c>
      <c r="K259" s="2">
        <v>17356</v>
      </c>
      <c r="L259" t="s">
        <v>36</v>
      </c>
      <c r="M259" t="s">
        <v>37</v>
      </c>
      <c r="N259" t="s">
        <v>49</v>
      </c>
      <c r="O259" t="s">
        <v>77</v>
      </c>
      <c r="P259" t="s">
        <v>40</v>
      </c>
      <c r="Q259">
        <v>3</v>
      </c>
      <c r="R259" s="2">
        <v>44892</v>
      </c>
      <c r="S259">
        <v>1</v>
      </c>
      <c r="T259">
        <v>2</v>
      </c>
      <c r="U259">
        <v>1</v>
      </c>
      <c r="V259" s="1">
        <v>44842</v>
      </c>
      <c r="W259" t="s">
        <v>62</v>
      </c>
      <c r="X259" t="s">
        <v>42</v>
      </c>
      <c r="Y259" t="s">
        <v>52</v>
      </c>
      <c r="Z259">
        <v>3</v>
      </c>
      <c r="AA259">
        <v>727.75</v>
      </c>
      <c r="AB259">
        <v>75</v>
      </c>
    </row>
    <row r="260" spans="1:28" x14ac:dyDescent="0.2">
      <c r="A260">
        <v>3720</v>
      </c>
      <c r="B260" s="1">
        <v>43608</v>
      </c>
      <c r="C260" t="s">
        <v>106</v>
      </c>
      <c r="D260" t="s">
        <v>94</v>
      </c>
      <c r="E260" t="s">
        <v>30</v>
      </c>
      <c r="F260" t="s">
        <v>46</v>
      </c>
      <c r="G260" t="s">
        <v>56</v>
      </c>
      <c r="H260" t="s">
        <v>55</v>
      </c>
      <c r="I260" t="s">
        <v>34</v>
      </c>
      <c r="J260" t="s">
        <v>70</v>
      </c>
      <c r="K260" s="2">
        <v>21537</v>
      </c>
      <c r="L260" t="s">
        <v>36</v>
      </c>
      <c r="M260" t="s">
        <v>37</v>
      </c>
      <c r="N260" t="s">
        <v>38</v>
      </c>
      <c r="O260" t="s">
        <v>61</v>
      </c>
      <c r="P260" t="s">
        <v>40</v>
      </c>
      <c r="Q260">
        <v>3</v>
      </c>
      <c r="R260" s="2">
        <v>45061</v>
      </c>
      <c r="S260">
        <v>2</v>
      </c>
      <c r="T260">
        <v>1</v>
      </c>
      <c r="U260">
        <v>5</v>
      </c>
      <c r="V260" s="1">
        <v>44827</v>
      </c>
      <c r="W260" t="s">
        <v>62</v>
      </c>
      <c r="X260" t="s">
        <v>42</v>
      </c>
      <c r="Y260" t="s">
        <v>73</v>
      </c>
      <c r="Z260">
        <v>2</v>
      </c>
      <c r="AA260">
        <v>845.21</v>
      </c>
      <c r="AB260">
        <v>61</v>
      </c>
    </row>
    <row r="261" spans="1:28" x14ac:dyDescent="0.2">
      <c r="A261">
        <v>3721</v>
      </c>
      <c r="B261" s="1">
        <v>43873</v>
      </c>
      <c r="C261" t="s">
        <v>28</v>
      </c>
      <c r="D261" t="s">
        <v>81</v>
      </c>
      <c r="E261" t="s">
        <v>30</v>
      </c>
      <c r="F261" t="s">
        <v>55</v>
      </c>
      <c r="G261" t="s">
        <v>56</v>
      </c>
      <c r="H261" t="s">
        <v>55</v>
      </c>
      <c r="I261" t="s">
        <v>34</v>
      </c>
      <c r="J261" t="s">
        <v>97</v>
      </c>
      <c r="K261" s="2">
        <v>21999</v>
      </c>
      <c r="L261" t="s">
        <v>36</v>
      </c>
      <c r="M261" t="s">
        <v>48</v>
      </c>
      <c r="N261" t="s">
        <v>72</v>
      </c>
      <c r="O261" t="s">
        <v>39</v>
      </c>
      <c r="P261" t="s">
        <v>40</v>
      </c>
      <c r="Q261">
        <v>2</v>
      </c>
      <c r="R261" s="2">
        <v>44964</v>
      </c>
      <c r="S261">
        <v>5</v>
      </c>
      <c r="T261">
        <v>4</v>
      </c>
      <c r="U261">
        <v>5</v>
      </c>
      <c r="V261" s="1">
        <v>44917</v>
      </c>
      <c r="W261" t="s">
        <v>68</v>
      </c>
      <c r="X261" t="s">
        <v>51</v>
      </c>
      <c r="Y261" t="s">
        <v>52</v>
      </c>
      <c r="Z261">
        <v>4</v>
      </c>
      <c r="AA261">
        <v>327.82</v>
      </c>
      <c r="AB261">
        <v>60</v>
      </c>
    </row>
    <row r="262" spans="1:28" x14ac:dyDescent="0.2">
      <c r="A262">
        <v>3722</v>
      </c>
      <c r="B262" s="1">
        <v>43877</v>
      </c>
      <c r="C262" t="s">
        <v>28</v>
      </c>
      <c r="D262" t="s">
        <v>54</v>
      </c>
      <c r="E262" t="s">
        <v>108</v>
      </c>
      <c r="F262" t="s">
        <v>46</v>
      </c>
      <c r="G262" t="s">
        <v>56</v>
      </c>
      <c r="H262" t="s">
        <v>55</v>
      </c>
      <c r="I262" t="s">
        <v>34</v>
      </c>
      <c r="J262" t="s">
        <v>70</v>
      </c>
      <c r="K262" s="2">
        <v>17410</v>
      </c>
      <c r="L262" t="s">
        <v>36</v>
      </c>
      <c r="M262" t="s">
        <v>48</v>
      </c>
      <c r="N262" t="s">
        <v>38</v>
      </c>
      <c r="O262" t="s">
        <v>67</v>
      </c>
      <c r="P262" t="s">
        <v>40</v>
      </c>
      <c r="Q262">
        <v>2</v>
      </c>
      <c r="R262" s="2">
        <v>45078</v>
      </c>
      <c r="S262">
        <v>1</v>
      </c>
      <c r="T262">
        <v>5</v>
      </c>
      <c r="U262">
        <v>5</v>
      </c>
      <c r="V262" s="1">
        <v>44941</v>
      </c>
      <c r="W262" t="s">
        <v>92</v>
      </c>
      <c r="X262" t="s">
        <v>42</v>
      </c>
      <c r="Y262" t="s">
        <v>73</v>
      </c>
      <c r="Z262">
        <v>1</v>
      </c>
      <c r="AA262">
        <v>512.54999999999995</v>
      </c>
      <c r="AB262">
        <v>73</v>
      </c>
    </row>
    <row r="263" spans="1:28" x14ac:dyDescent="0.2">
      <c r="A263">
        <v>3723</v>
      </c>
      <c r="B263" s="1">
        <v>44680</v>
      </c>
      <c r="C263" t="s">
        <v>28</v>
      </c>
      <c r="D263" t="s">
        <v>69</v>
      </c>
      <c r="E263" t="s">
        <v>108</v>
      </c>
      <c r="F263" t="s">
        <v>55</v>
      </c>
      <c r="G263" t="s">
        <v>45</v>
      </c>
      <c r="H263" t="s">
        <v>33</v>
      </c>
      <c r="I263" t="s">
        <v>34</v>
      </c>
      <c r="J263" t="s">
        <v>101</v>
      </c>
      <c r="K263" s="2">
        <v>26541</v>
      </c>
      <c r="L263" t="s">
        <v>36</v>
      </c>
      <c r="M263" t="s">
        <v>48</v>
      </c>
      <c r="N263" t="s">
        <v>84</v>
      </c>
      <c r="O263" t="s">
        <v>67</v>
      </c>
      <c r="P263" t="s">
        <v>40</v>
      </c>
      <c r="Q263">
        <v>3</v>
      </c>
      <c r="R263" s="2">
        <v>45095</v>
      </c>
      <c r="S263">
        <v>2</v>
      </c>
      <c r="T263">
        <v>1</v>
      </c>
      <c r="U263">
        <v>4</v>
      </c>
      <c r="V263" s="1">
        <v>44810</v>
      </c>
      <c r="W263" t="s">
        <v>92</v>
      </c>
      <c r="X263" t="s">
        <v>42</v>
      </c>
      <c r="Y263" t="s">
        <v>63</v>
      </c>
      <c r="Z263">
        <v>1</v>
      </c>
      <c r="AA263">
        <v>457.17</v>
      </c>
      <c r="AB263">
        <v>50</v>
      </c>
    </row>
    <row r="264" spans="1:28" x14ac:dyDescent="0.2">
      <c r="A264">
        <v>3724</v>
      </c>
      <c r="B264" s="1">
        <v>43748</v>
      </c>
      <c r="C264" t="s">
        <v>28</v>
      </c>
      <c r="D264" t="s">
        <v>29</v>
      </c>
      <c r="E264" t="s">
        <v>108</v>
      </c>
      <c r="F264" t="s">
        <v>46</v>
      </c>
      <c r="G264" t="s">
        <v>32</v>
      </c>
      <c r="H264" t="s">
        <v>33</v>
      </c>
      <c r="I264" t="s">
        <v>34</v>
      </c>
      <c r="J264" t="s">
        <v>70</v>
      </c>
      <c r="K264" s="2">
        <v>25532</v>
      </c>
      <c r="L264" t="s">
        <v>36</v>
      </c>
      <c r="M264" t="s">
        <v>48</v>
      </c>
      <c r="N264" t="s">
        <v>84</v>
      </c>
      <c r="O264" t="s">
        <v>77</v>
      </c>
      <c r="P264" t="s">
        <v>40</v>
      </c>
      <c r="Q264">
        <v>4</v>
      </c>
      <c r="R264" s="2">
        <v>44961</v>
      </c>
      <c r="S264">
        <v>1</v>
      </c>
      <c r="T264">
        <v>2</v>
      </c>
      <c r="U264">
        <v>5</v>
      </c>
      <c r="V264" s="1">
        <v>45105</v>
      </c>
      <c r="W264" t="s">
        <v>92</v>
      </c>
      <c r="X264" t="s">
        <v>42</v>
      </c>
      <c r="Y264" t="s">
        <v>52</v>
      </c>
      <c r="Z264">
        <v>4</v>
      </c>
      <c r="AA264">
        <v>573.33000000000004</v>
      </c>
      <c r="AB264">
        <v>50</v>
      </c>
    </row>
    <row r="265" spans="1:28" x14ac:dyDescent="0.2">
      <c r="A265">
        <v>3725</v>
      </c>
      <c r="B265" s="1">
        <v>43562</v>
      </c>
      <c r="C265" t="s">
        <v>28</v>
      </c>
      <c r="D265" t="s">
        <v>85</v>
      </c>
      <c r="E265" t="s">
        <v>30</v>
      </c>
      <c r="F265" t="s">
        <v>31</v>
      </c>
      <c r="G265" t="s">
        <v>56</v>
      </c>
      <c r="H265" t="s">
        <v>46</v>
      </c>
      <c r="I265" t="s">
        <v>34</v>
      </c>
      <c r="J265" t="s">
        <v>47</v>
      </c>
      <c r="K265" s="2">
        <v>20322</v>
      </c>
      <c r="L265" t="s">
        <v>36</v>
      </c>
      <c r="M265" t="s">
        <v>48</v>
      </c>
      <c r="N265" t="s">
        <v>84</v>
      </c>
      <c r="O265" t="s">
        <v>39</v>
      </c>
      <c r="P265" t="s">
        <v>40</v>
      </c>
      <c r="Q265">
        <v>1</v>
      </c>
      <c r="R265" s="2">
        <v>45063</v>
      </c>
      <c r="S265">
        <v>4</v>
      </c>
      <c r="T265">
        <v>3</v>
      </c>
      <c r="U265">
        <v>3</v>
      </c>
      <c r="V265" s="1">
        <v>45069</v>
      </c>
      <c r="W265" t="s">
        <v>50</v>
      </c>
      <c r="X265" t="s">
        <v>51</v>
      </c>
      <c r="Y265" t="s">
        <v>43</v>
      </c>
      <c r="Z265">
        <v>3</v>
      </c>
      <c r="AA265">
        <v>135.18</v>
      </c>
      <c r="AB265">
        <v>64</v>
      </c>
    </row>
    <row r="266" spans="1:28" x14ac:dyDescent="0.2">
      <c r="A266">
        <v>3726</v>
      </c>
      <c r="B266" s="1">
        <v>44025</v>
      </c>
      <c r="C266" t="s">
        <v>28</v>
      </c>
      <c r="D266" t="s">
        <v>44</v>
      </c>
      <c r="E266" t="s">
        <v>30</v>
      </c>
      <c r="F266" t="s">
        <v>31</v>
      </c>
      <c r="G266" t="s">
        <v>45</v>
      </c>
      <c r="H266" t="s">
        <v>55</v>
      </c>
      <c r="I266" t="s">
        <v>34</v>
      </c>
      <c r="J266" t="s">
        <v>65</v>
      </c>
      <c r="K266" s="2">
        <v>34905</v>
      </c>
      <c r="L266" t="s">
        <v>36</v>
      </c>
      <c r="M266" t="s">
        <v>37</v>
      </c>
      <c r="N266" t="s">
        <v>60</v>
      </c>
      <c r="O266" t="s">
        <v>67</v>
      </c>
      <c r="P266" t="s">
        <v>40</v>
      </c>
      <c r="Q266">
        <v>4</v>
      </c>
      <c r="R266" s="2">
        <v>44835</v>
      </c>
      <c r="S266">
        <v>1</v>
      </c>
      <c r="T266">
        <v>4</v>
      </c>
      <c r="U266">
        <v>1</v>
      </c>
      <c r="V266" s="1">
        <v>44939</v>
      </c>
      <c r="W266" t="s">
        <v>92</v>
      </c>
      <c r="X266" t="s">
        <v>51</v>
      </c>
      <c r="Y266" t="s">
        <v>43</v>
      </c>
      <c r="Z266">
        <v>3</v>
      </c>
      <c r="AA266">
        <v>911.12</v>
      </c>
      <c r="AB266">
        <v>25</v>
      </c>
    </row>
    <row r="267" spans="1:28" x14ac:dyDescent="0.2">
      <c r="A267">
        <v>3727</v>
      </c>
      <c r="B267" s="1">
        <v>44434</v>
      </c>
      <c r="C267" t="s">
        <v>28</v>
      </c>
      <c r="D267" t="s">
        <v>87</v>
      </c>
      <c r="E267" t="s">
        <v>30</v>
      </c>
      <c r="F267" t="s">
        <v>46</v>
      </c>
      <c r="G267" t="s">
        <v>32</v>
      </c>
      <c r="H267" t="s">
        <v>33</v>
      </c>
      <c r="I267" t="s">
        <v>34</v>
      </c>
      <c r="J267" t="s">
        <v>70</v>
      </c>
      <c r="K267" s="2">
        <v>16452</v>
      </c>
      <c r="L267" t="s">
        <v>36</v>
      </c>
      <c r="M267" t="s">
        <v>37</v>
      </c>
      <c r="N267" t="s">
        <v>60</v>
      </c>
      <c r="O267" t="s">
        <v>77</v>
      </c>
      <c r="P267" t="s">
        <v>40</v>
      </c>
      <c r="Q267">
        <v>3</v>
      </c>
      <c r="R267" s="2">
        <v>44845</v>
      </c>
      <c r="S267">
        <v>1</v>
      </c>
      <c r="T267">
        <v>2</v>
      </c>
      <c r="U267">
        <v>5</v>
      </c>
      <c r="V267" s="1">
        <v>45048</v>
      </c>
      <c r="W267" t="s">
        <v>62</v>
      </c>
      <c r="X267" t="s">
        <v>42</v>
      </c>
      <c r="Y267" t="s">
        <v>52</v>
      </c>
      <c r="Z267">
        <v>5</v>
      </c>
      <c r="AA267">
        <v>693.8</v>
      </c>
      <c r="AB267">
        <v>76</v>
      </c>
    </row>
    <row r="268" spans="1:28" x14ac:dyDescent="0.2">
      <c r="A268">
        <v>3728</v>
      </c>
      <c r="B268" s="1">
        <v>44553</v>
      </c>
      <c r="C268" t="s">
        <v>28</v>
      </c>
      <c r="D268" t="s">
        <v>64</v>
      </c>
      <c r="E268" t="s">
        <v>30</v>
      </c>
      <c r="F268" t="s">
        <v>31</v>
      </c>
      <c r="G268" t="s">
        <v>45</v>
      </c>
      <c r="H268" t="s">
        <v>46</v>
      </c>
      <c r="I268" t="s">
        <v>34</v>
      </c>
      <c r="J268" t="s">
        <v>89</v>
      </c>
      <c r="K268" s="2">
        <v>24510</v>
      </c>
      <c r="L268" t="s">
        <v>36</v>
      </c>
      <c r="M268" t="s">
        <v>48</v>
      </c>
      <c r="N268" t="s">
        <v>49</v>
      </c>
      <c r="O268" t="s">
        <v>77</v>
      </c>
      <c r="P268" t="s">
        <v>40</v>
      </c>
      <c r="Q268">
        <v>5</v>
      </c>
      <c r="R268" s="2">
        <v>45034</v>
      </c>
      <c r="S268">
        <v>5</v>
      </c>
      <c r="T268">
        <v>1</v>
      </c>
      <c r="U268">
        <v>2</v>
      </c>
      <c r="V268" s="1">
        <v>45117</v>
      </c>
      <c r="W268" t="s">
        <v>50</v>
      </c>
      <c r="X268" t="s">
        <v>42</v>
      </c>
      <c r="Y268" t="s">
        <v>63</v>
      </c>
      <c r="Z268">
        <v>5</v>
      </c>
      <c r="AA268">
        <v>419.79</v>
      </c>
      <c r="AB268">
        <v>54</v>
      </c>
    </row>
    <row r="269" spans="1:28" x14ac:dyDescent="0.2">
      <c r="A269">
        <v>3729</v>
      </c>
      <c r="B269" s="1">
        <v>44903</v>
      </c>
      <c r="C269" t="s">
        <v>28</v>
      </c>
      <c r="D269" t="s">
        <v>69</v>
      </c>
      <c r="E269" t="s">
        <v>30</v>
      </c>
      <c r="F269" t="s">
        <v>31</v>
      </c>
      <c r="G269" t="s">
        <v>56</v>
      </c>
      <c r="H269" t="s">
        <v>46</v>
      </c>
      <c r="I269" t="s">
        <v>34</v>
      </c>
      <c r="J269" t="s">
        <v>101</v>
      </c>
      <c r="K269" s="2">
        <v>15707</v>
      </c>
      <c r="L269" t="s">
        <v>36</v>
      </c>
      <c r="M269" t="s">
        <v>48</v>
      </c>
      <c r="N269" t="s">
        <v>60</v>
      </c>
      <c r="O269" t="s">
        <v>77</v>
      </c>
      <c r="P269" t="s">
        <v>40</v>
      </c>
      <c r="Q269">
        <v>3</v>
      </c>
      <c r="R269" s="2">
        <v>45004</v>
      </c>
      <c r="S269">
        <v>4</v>
      </c>
      <c r="T269">
        <v>5</v>
      </c>
      <c r="U269">
        <v>3</v>
      </c>
      <c r="V269" s="1">
        <v>44907</v>
      </c>
      <c r="W269" t="s">
        <v>50</v>
      </c>
      <c r="X269" t="s">
        <v>51</v>
      </c>
      <c r="Y269" t="s">
        <v>43</v>
      </c>
      <c r="Z269">
        <v>1</v>
      </c>
      <c r="AA269">
        <v>693.56</v>
      </c>
      <c r="AB269">
        <v>79</v>
      </c>
    </row>
    <row r="270" spans="1:28" x14ac:dyDescent="0.2">
      <c r="A270">
        <v>3730</v>
      </c>
      <c r="B270" s="1">
        <v>44579</v>
      </c>
      <c r="C270" t="s">
        <v>28</v>
      </c>
      <c r="D270" t="s">
        <v>29</v>
      </c>
      <c r="E270" t="s">
        <v>30</v>
      </c>
      <c r="F270" t="s">
        <v>31</v>
      </c>
      <c r="G270" t="s">
        <v>56</v>
      </c>
      <c r="H270" t="s">
        <v>33</v>
      </c>
      <c r="I270" t="s">
        <v>34</v>
      </c>
      <c r="J270" t="s">
        <v>97</v>
      </c>
      <c r="K270" s="2">
        <v>24084</v>
      </c>
      <c r="L270" t="s">
        <v>36</v>
      </c>
      <c r="M270" t="s">
        <v>48</v>
      </c>
      <c r="N270" t="s">
        <v>72</v>
      </c>
      <c r="O270" t="s">
        <v>39</v>
      </c>
      <c r="P270" t="s">
        <v>40</v>
      </c>
      <c r="Q270">
        <v>4</v>
      </c>
      <c r="R270" s="2">
        <v>44977</v>
      </c>
      <c r="S270">
        <v>4</v>
      </c>
      <c r="T270">
        <v>5</v>
      </c>
      <c r="U270">
        <v>5</v>
      </c>
      <c r="V270" s="1">
        <v>44802</v>
      </c>
      <c r="W270" t="s">
        <v>41</v>
      </c>
      <c r="X270" t="s">
        <v>51</v>
      </c>
      <c r="Y270" t="s">
        <v>52</v>
      </c>
      <c r="Z270">
        <v>1</v>
      </c>
      <c r="AA270">
        <v>161.47</v>
      </c>
      <c r="AB270">
        <v>57</v>
      </c>
    </row>
    <row r="271" spans="1:28" x14ac:dyDescent="0.2">
      <c r="A271">
        <v>3731</v>
      </c>
      <c r="B271" s="1">
        <v>43889</v>
      </c>
      <c r="C271" t="s">
        <v>28</v>
      </c>
      <c r="D271" t="s">
        <v>44</v>
      </c>
      <c r="E271" t="s">
        <v>30</v>
      </c>
      <c r="F271" t="s">
        <v>46</v>
      </c>
      <c r="G271" t="s">
        <v>56</v>
      </c>
      <c r="H271" t="s">
        <v>46</v>
      </c>
      <c r="I271" t="s">
        <v>34</v>
      </c>
      <c r="J271" t="s">
        <v>70</v>
      </c>
      <c r="K271" s="2">
        <v>35980</v>
      </c>
      <c r="L271" t="s">
        <v>36</v>
      </c>
      <c r="M271" t="s">
        <v>48</v>
      </c>
      <c r="N271" t="s">
        <v>49</v>
      </c>
      <c r="O271" t="s">
        <v>61</v>
      </c>
      <c r="P271" t="s">
        <v>40</v>
      </c>
      <c r="Q271">
        <v>3</v>
      </c>
      <c r="R271" s="2">
        <v>45027</v>
      </c>
      <c r="S271">
        <v>2</v>
      </c>
      <c r="T271">
        <v>4</v>
      </c>
      <c r="U271">
        <v>1</v>
      </c>
      <c r="V271" s="1">
        <v>45048</v>
      </c>
      <c r="W271" t="s">
        <v>62</v>
      </c>
      <c r="X271" t="s">
        <v>51</v>
      </c>
      <c r="Y271" t="s">
        <v>73</v>
      </c>
      <c r="Z271">
        <v>5</v>
      </c>
      <c r="AA271">
        <v>773.63</v>
      </c>
      <c r="AB271">
        <v>22</v>
      </c>
    </row>
    <row r="272" spans="1:28" x14ac:dyDescent="0.2">
      <c r="A272">
        <v>3732</v>
      </c>
      <c r="B272" s="1">
        <v>43982</v>
      </c>
      <c r="C272" t="s">
        <v>28</v>
      </c>
      <c r="D272" t="s">
        <v>87</v>
      </c>
      <c r="E272" t="s">
        <v>30</v>
      </c>
      <c r="F272" t="s">
        <v>46</v>
      </c>
      <c r="G272" t="s">
        <v>56</v>
      </c>
      <c r="H272" t="s">
        <v>46</v>
      </c>
      <c r="I272" t="s">
        <v>34</v>
      </c>
      <c r="J272" t="s">
        <v>70</v>
      </c>
      <c r="K272" s="2">
        <v>19908</v>
      </c>
      <c r="L272" t="s">
        <v>36</v>
      </c>
      <c r="M272" t="s">
        <v>48</v>
      </c>
      <c r="N272" t="s">
        <v>72</v>
      </c>
      <c r="O272" t="s">
        <v>39</v>
      </c>
      <c r="P272" t="s">
        <v>40</v>
      </c>
      <c r="Q272">
        <v>5</v>
      </c>
      <c r="R272" s="2">
        <v>44907</v>
      </c>
      <c r="S272">
        <v>3</v>
      </c>
      <c r="T272">
        <v>4</v>
      </c>
      <c r="U272">
        <v>4</v>
      </c>
      <c r="V272" s="1">
        <v>44904</v>
      </c>
      <c r="W272" t="s">
        <v>68</v>
      </c>
      <c r="X272" t="s">
        <v>42</v>
      </c>
      <c r="Y272" t="s">
        <v>52</v>
      </c>
      <c r="Z272">
        <v>5</v>
      </c>
      <c r="AA272">
        <v>695.42</v>
      </c>
      <c r="AB272">
        <v>66</v>
      </c>
    </row>
    <row r="273" spans="1:28" x14ac:dyDescent="0.2">
      <c r="A273">
        <v>3734</v>
      </c>
      <c r="B273" s="1">
        <v>43531</v>
      </c>
      <c r="C273" t="s">
        <v>28</v>
      </c>
      <c r="D273" t="s">
        <v>54</v>
      </c>
      <c r="E273" t="s">
        <v>30</v>
      </c>
      <c r="F273" t="s">
        <v>55</v>
      </c>
      <c r="G273" t="s">
        <v>32</v>
      </c>
      <c r="H273" t="s">
        <v>33</v>
      </c>
      <c r="I273" t="s">
        <v>34</v>
      </c>
      <c r="J273" t="s">
        <v>110</v>
      </c>
      <c r="K273" s="2">
        <v>23579</v>
      </c>
      <c r="L273" t="s">
        <v>36</v>
      </c>
      <c r="M273" t="s">
        <v>48</v>
      </c>
      <c r="N273" t="s">
        <v>38</v>
      </c>
      <c r="O273" t="s">
        <v>77</v>
      </c>
      <c r="P273" t="s">
        <v>40</v>
      </c>
      <c r="Q273">
        <v>3</v>
      </c>
      <c r="R273" s="2">
        <v>45138</v>
      </c>
      <c r="S273">
        <v>4</v>
      </c>
      <c r="T273">
        <v>5</v>
      </c>
      <c r="U273">
        <v>2</v>
      </c>
      <c r="V273" s="1">
        <v>44990</v>
      </c>
      <c r="W273" t="s">
        <v>92</v>
      </c>
      <c r="X273" t="s">
        <v>42</v>
      </c>
      <c r="Y273" t="s">
        <v>43</v>
      </c>
      <c r="Z273">
        <v>2</v>
      </c>
      <c r="AA273">
        <v>702.69</v>
      </c>
      <c r="AB273">
        <v>55</v>
      </c>
    </row>
    <row r="274" spans="1:28" x14ac:dyDescent="0.2">
      <c r="A274">
        <v>3735</v>
      </c>
      <c r="B274" s="1">
        <v>43614</v>
      </c>
      <c r="C274" t="s">
        <v>28</v>
      </c>
      <c r="D274" t="s">
        <v>94</v>
      </c>
      <c r="E274" t="s">
        <v>30</v>
      </c>
      <c r="F274" t="s">
        <v>31</v>
      </c>
      <c r="G274" t="s">
        <v>32</v>
      </c>
      <c r="H274" t="s">
        <v>33</v>
      </c>
      <c r="I274" t="s">
        <v>34</v>
      </c>
      <c r="J274" t="s">
        <v>103</v>
      </c>
      <c r="K274" s="2">
        <v>23203</v>
      </c>
      <c r="L274" t="s">
        <v>36</v>
      </c>
      <c r="M274" t="s">
        <v>48</v>
      </c>
      <c r="N274" t="s">
        <v>38</v>
      </c>
      <c r="O274" t="s">
        <v>67</v>
      </c>
      <c r="P274" t="s">
        <v>40</v>
      </c>
      <c r="Q274">
        <v>1</v>
      </c>
      <c r="R274" s="2">
        <v>44960</v>
      </c>
      <c r="S274">
        <v>4</v>
      </c>
      <c r="T274">
        <v>4</v>
      </c>
      <c r="U274">
        <v>4</v>
      </c>
      <c r="V274" s="1">
        <v>44859</v>
      </c>
      <c r="W274" t="s">
        <v>68</v>
      </c>
      <c r="X274" t="s">
        <v>51</v>
      </c>
      <c r="Y274" t="s">
        <v>43</v>
      </c>
      <c r="Z274">
        <v>1</v>
      </c>
      <c r="AA274">
        <v>473.1</v>
      </c>
      <c r="AB274">
        <v>56</v>
      </c>
    </row>
    <row r="275" spans="1:28" x14ac:dyDescent="0.2">
      <c r="A275">
        <v>3736</v>
      </c>
      <c r="B275" s="1">
        <v>44122</v>
      </c>
      <c r="C275" t="s">
        <v>28</v>
      </c>
      <c r="D275" t="s">
        <v>85</v>
      </c>
      <c r="E275" t="s">
        <v>30</v>
      </c>
      <c r="F275" t="s">
        <v>55</v>
      </c>
      <c r="G275" t="s">
        <v>45</v>
      </c>
      <c r="H275" t="s">
        <v>46</v>
      </c>
      <c r="I275" t="s">
        <v>34</v>
      </c>
      <c r="J275" t="s">
        <v>101</v>
      </c>
      <c r="K275" s="2">
        <v>27943</v>
      </c>
      <c r="L275" t="s">
        <v>36</v>
      </c>
      <c r="M275" t="s">
        <v>48</v>
      </c>
      <c r="N275" t="s">
        <v>60</v>
      </c>
      <c r="O275" t="s">
        <v>67</v>
      </c>
      <c r="P275" t="s">
        <v>40</v>
      </c>
      <c r="Q275">
        <v>2</v>
      </c>
      <c r="R275" s="2">
        <v>44818</v>
      </c>
      <c r="S275">
        <v>3</v>
      </c>
      <c r="T275">
        <v>1</v>
      </c>
      <c r="U275">
        <v>3</v>
      </c>
      <c r="V275" s="1">
        <v>44859</v>
      </c>
      <c r="W275" t="s">
        <v>62</v>
      </c>
      <c r="X275" t="s">
        <v>42</v>
      </c>
      <c r="Y275" t="s">
        <v>52</v>
      </c>
      <c r="Z275">
        <v>2</v>
      </c>
      <c r="AA275">
        <v>119.82</v>
      </c>
      <c r="AB275">
        <v>44</v>
      </c>
    </row>
    <row r="276" spans="1:28" x14ac:dyDescent="0.2">
      <c r="A276">
        <v>3737</v>
      </c>
      <c r="B276" s="1">
        <v>43423</v>
      </c>
      <c r="C276" t="s">
        <v>28</v>
      </c>
      <c r="D276" t="s">
        <v>64</v>
      </c>
      <c r="E276" t="s">
        <v>30</v>
      </c>
      <c r="F276" t="s">
        <v>46</v>
      </c>
      <c r="G276" t="s">
        <v>56</v>
      </c>
      <c r="H276" t="s">
        <v>46</v>
      </c>
      <c r="I276" t="s">
        <v>34</v>
      </c>
      <c r="J276" t="s">
        <v>104</v>
      </c>
      <c r="K276" s="2">
        <v>17147</v>
      </c>
      <c r="L276" t="s">
        <v>36</v>
      </c>
      <c r="M276" t="s">
        <v>48</v>
      </c>
      <c r="N276" t="s">
        <v>49</v>
      </c>
      <c r="O276" t="s">
        <v>77</v>
      </c>
      <c r="P276" t="s">
        <v>40</v>
      </c>
      <c r="Q276">
        <v>5</v>
      </c>
      <c r="R276" s="2">
        <v>44813</v>
      </c>
      <c r="S276">
        <v>2</v>
      </c>
      <c r="T276">
        <v>5</v>
      </c>
      <c r="U276">
        <v>1</v>
      </c>
      <c r="V276" s="1">
        <v>44882</v>
      </c>
      <c r="W276" t="s">
        <v>50</v>
      </c>
      <c r="X276" t="s">
        <v>51</v>
      </c>
      <c r="Y276" t="s">
        <v>43</v>
      </c>
      <c r="Z276">
        <v>1</v>
      </c>
      <c r="AA276">
        <v>157.80000000000001</v>
      </c>
      <c r="AB276">
        <v>72</v>
      </c>
    </row>
    <row r="277" spans="1:28" x14ac:dyDescent="0.2">
      <c r="A277">
        <v>3738</v>
      </c>
      <c r="B277" s="1">
        <v>44666</v>
      </c>
      <c r="C277" t="s">
        <v>106</v>
      </c>
      <c r="D277" t="s">
        <v>85</v>
      </c>
      <c r="E277" t="s">
        <v>108</v>
      </c>
      <c r="F277" t="s">
        <v>55</v>
      </c>
      <c r="G277" t="s">
        <v>45</v>
      </c>
      <c r="H277" t="s">
        <v>33</v>
      </c>
      <c r="I277" t="s">
        <v>34</v>
      </c>
      <c r="J277" t="s">
        <v>65</v>
      </c>
      <c r="K277" s="2">
        <v>36772</v>
      </c>
      <c r="L277" t="s">
        <v>36</v>
      </c>
      <c r="M277" t="s">
        <v>37</v>
      </c>
      <c r="N277" t="s">
        <v>49</v>
      </c>
      <c r="O277" t="s">
        <v>39</v>
      </c>
      <c r="P277" t="s">
        <v>40</v>
      </c>
      <c r="Q277">
        <v>3</v>
      </c>
      <c r="R277" s="2">
        <v>44823</v>
      </c>
      <c r="S277">
        <v>3</v>
      </c>
      <c r="T277">
        <v>3</v>
      </c>
      <c r="U277">
        <v>5</v>
      </c>
      <c r="V277" s="1">
        <v>44805</v>
      </c>
      <c r="W277" t="s">
        <v>68</v>
      </c>
      <c r="X277" t="s">
        <v>42</v>
      </c>
      <c r="Y277" t="s">
        <v>63</v>
      </c>
      <c r="Z277">
        <v>3</v>
      </c>
      <c r="AA277">
        <v>791.98</v>
      </c>
      <c r="AB277">
        <v>22</v>
      </c>
    </row>
    <row r="278" spans="1:28" x14ac:dyDescent="0.2">
      <c r="A278">
        <v>3739</v>
      </c>
      <c r="B278" s="1">
        <v>43336</v>
      </c>
      <c r="C278" t="s">
        <v>106</v>
      </c>
      <c r="D278" t="s">
        <v>44</v>
      </c>
      <c r="E278" t="s">
        <v>108</v>
      </c>
      <c r="F278" t="s">
        <v>55</v>
      </c>
      <c r="G278" t="s">
        <v>56</v>
      </c>
      <c r="H278" t="s">
        <v>33</v>
      </c>
      <c r="I278" t="s">
        <v>34</v>
      </c>
      <c r="J278" t="s">
        <v>70</v>
      </c>
      <c r="K278" s="2">
        <v>18696</v>
      </c>
      <c r="L278" t="s">
        <v>36</v>
      </c>
      <c r="M278" t="s">
        <v>37</v>
      </c>
      <c r="N278" t="s">
        <v>84</v>
      </c>
      <c r="O278" t="s">
        <v>77</v>
      </c>
      <c r="P278" t="s">
        <v>40</v>
      </c>
      <c r="Q278">
        <v>3</v>
      </c>
      <c r="R278" s="2">
        <v>45069</v>
      </c>
      <c r="S278">
        <v>1</v>
      </c>
      <c r="T278">
        <v>3</v>
      </c>
      <c r="U278">
        <v>4</v>
      </c>
      <c r="V278" s="1">
        <v>44792</v>
      </c>
      <c r="W278" t="s">
        <v>50</v>
      </c>
      <c r="X278" t="s">
        <v>51</v>
      </c>
      <c r="Y278" t="s">
        <v>52</v>
      </c>
      <c r="Z278">
        <v>5</v>
      </c>
      <c r="AA278">
        <v>752.97</v>
      </c>
      <c r="AB278">
        <v>67</v>
      </c>
    </row>
    <row r="279" spans="1:28" x14ac:dyDescent="0.2">
      <c r="A279">
        <v>3740</v>
      </c>
      <c r="B279" s="1">
        <v>44849</v>
      </c>
      <c r="C279" t="s">
        <v>106</v>
      </c>
      <c r="D279" t="s">
        <v>87</v>
      </c>
      <c r="E279" t="s">
        <v>108</v>
      </c>
      <c r="F279" t="s">
        <v>55</v>
      </c>
      <c r="G279" t="s">
        <v>32</v>
      </c>
      <c r="H279" t="s">
        <v>46</v>
      </c>
      <c r="I279" t="s">
        <v>34</v>
      </c>
      <c r="J279" t="s">
        <v>104</v>
      </c>
      <c r="K279" s="2">
        <v>37035</v>
      </c>
      <c r="L279" t="s">
        <v>36</v>
      </c>
      <c r="M279" t="s">
        <v>37</v>
      </c>
      <c r="N279" t="s">
        <v>60</v>
      </c>
      <c r="O279" t="s">
        <v>61</v>
      </c>
      <c r="P279" t="s">
        <v>40</v>
      </c>
      <c r="Q279">
        <v>4</v>
      </c>
      <c r="R279" s="2">
        <v>45100</v>
      </c>
      <c r="S279">
        <v>2</v>
      </c>
      <c r="T279">
        <v>2</v>
      </c>
      <c r="U279">
        <v>4</v>
      </c>
      <c r="V279" s="1">
        <v>44815</v>
      </c>
      <c r="W279" t="s">
        <v>41</v>
      </c>
      <c r="X279" t="s">
        <v>51</v>
      </c>
      <c r="Y279" t="s">
        <v>63</v>
      </c>
      <c r="Z279">
        <v>5</v>
      </c>
      <c r="AA279">
        <v>916.21</v>
      </c>
      <c r="AB279">
        <v>21</v>
      </c>
    </row>
    <row r="280" spans="1:28" x14ac:dyDescent="0.2">
      <c r="A280">
        <v>3741</v>
      </c>
      <c r="B280" s="1">
        <v>44984</v>
      </c>
      <c r="C280" t="s">
        <v>106</v>
      </c>
      <c r="D280" t="s">
        <v>64</v>
      </c>
      <c r="E280" t="s">
        <v>108</v>
      </c>
      <c r="F280" t="s">
        <v>55</v>
      </c>
      <c r="G280" t="s">
        <v>45</v>
      </c>
      <c r="H280" t="s">
        <v>33</v>
      </c>
      <c r="I280" t="s">
        <v>34</v>
      </c>
      <c r="J280" t="s">
        <v>70</v>
      </c>
      <c r="K280" s="2">
        <v>17790</v>
      </c>
      <c r="L280" t="s">
        <v>36</v>
      </c>
      <c r="M280" t="s">
        <v>37</v>
      </c>
      <c r="N280" t="s">
        <v>49</v>
      </c>
      <c r="O280" t="s">
        <v>39</v>
      </c>
      <c r="P280" t="s">
        <v>40</v>
      </c>
      <c r="Q280">
        <v>1</v>
      </c>
      <c r="R280" s="2">
        <v>44805</v>
      </c>
      <c r="S280">
        <v>2</v>
      </c>
      <c r="T280">
        <v>5</v>
      </c>
      <c r="U280">
        <v>4</v>
      </c>
      <c r="V280" s="1">
        <v>44839</v>
      </c>
      <c r="W280" t="s">
        <v>62</v>
      </c>
      <c r="X280" t="s">
        <v>51</v>
      </c>
      <c r="Y280" t="s">
        <v>63</v>
      </c>
      <c r="Z280">
        <v>2</v>
      </c>
      <c r="AA280">
        <v>751.04</v>
      </c>
      <c r="AB280">
        <v>75</v>
      </c>
    </row>
    <row r="281" spans="1:28" x14ac:dyDescent="0.2">
      <c r="A281">
        <v>3742</v>
      </c>
      <c r="B281" s="1">
        <v>44461</v>
      </c>
      <c r="C281" t="s">
        <v>106</v>
      </c>
      <c r="D281" t="s">
        <v>94</v>
      </c>
      <c r="E281" t="s">
        <v>30</v>
      </c>
      <c r="F281" t="s">
        <v>31</v>
      </c>
      <c r="G281" t="s">
        <v>45</v>
      </c>
      <c r="H281" t="s">
        <v>33</v>
      </c>
      <c r="I281" t="s">
        <v>34</v>
      </c>
      <c r="J281" t="s">
        <v>70</v>
      </c>
      <c r="K281" s="2">
        <v>29841</v>
      </c>
      <c r="L281" t="s">
        <v>36</v>
      </c>
      <c r="M281" t="s">
        <v>37</v>
      </c>
      <c r="N281" t="s">
        <v>84</v>
      </c>
      <c r="O281" t="s">
        <v>67</v>
      </c>
      <c r="P281" t="s">
        <v>40</v>
      </c>
      <c r="Q281">
        <v>2</v>
      </c>
      <c r="R281" s="2">
        <v>44933</v>
      </c>
      <c r="S281">
        <v>2</v>
      </c>
      <c r="T281">
        <v>1</v>
      </c>
      <c r="U281">
        <v>1</v>
      </c>
      <c r="V281" s="1">
        <v>45038</v>
      </c>
      <c r="W281" t="s">
        <v>92</v>
      </c>
      <c r="X281" t="s">
        <v>42</v>
      </c>
      <c r="Y281" t="s">
        <v>73</v>
      </c>
      <c r="Z281">
        <v>3</v>
      </c>
      <c r="AA281">
        <v>620.63</v>
      </c>
      <c r="AB281">
        <v>40</v>
      </c>
    </row>
    <row r="282" spans="1:28" x14ac:dyDescent="0.2">
      <c r="A282">
        <v>3743</v>
      </c>
      <c r="B282" s="1">
        <v>43981</v>
      </c>
      <c r="C282" t="s">
        <v>28</v>
      </c>
      <c r="D282" t="s">
        <v>74</v>
      </c>
      <c r="E282" t="s">
        <v>30</v>
      </c>
      <c r="F282" t="s">
        <v>31</v>
      </c>
      <c r="G282" t="s">
        <v>45</v>
      </c>
      <c r="H282" t="s">
        <v>46</v>
      </c>
      <c r="I282" t="s">
        <v>34</v>
      </c>
      <c r="J282" t="s">
        <v>65</v>
      </c>
      <c r="K282" s="2">
        <v>18519</v>
      </c>
      <c r="L282" t="s">
        <v>36</v>
      </c>
      <c r="M282" t="s">
        <v>48</v>
      </c>
      <c r="N282" t="s">
        <v>72</v>
      </c>
      <c r="O282" t="s">
        <v>67</v>
      </c>
      <c r="P282" t="s">
        <v>40</v>
      </c>
      <c r="Q282">
        <v>2</v>
      </c>
      <c r="R282" s="2">
        <v>44784</v>
      </c>
      <c r="S282">
        <v>2</v>
      </c>
      <c r="T282">
        <v>1</v>
      </c>
      <c r="U282">
        <v>3</v>
      </c>
      <c r="V282" s="1">
        <v>44882</v>
      </c>
      <c r="W282" t="s">
        <v>41</v>
      </c>
      <c r="X282" t="s">
        <v>42</v>
      </c>
      <c r="Y282" t="s">
        <v>73</v>
      </c>
      <c r="Z282">
        <v>3</v>
      </c>
      <c r="AA282">
        <v>439.3</v>
      </c>
      <c r="AB282">
        <v>70</v>
      </c>
    </row>
    <row r="283" spans="1:28" x14ac:dyDescent="0.2">
      <c r="A283">
        <v>3744</v>
      </c>
      <c r="B283" s="1">
        <v>44085</v>
      </c>
      <c r="C283" t="s">
        <v>28</v>
      </c>
      <c r="D283" t="s">
        <v>81</v>
      </c>
      <c r="E283" t="s">
        <v>30</v>
      </c>
      <c r="F283" t="s">
        <v>46</v>
      </c>
      <c r="G283" t="s">
        <v>56</v>
      </c>
      <c r="H283" t="s">
        <v>55</v>
      </c>
      <c r="I283" t="s">
        <v>34</v>
      </c>
      <c r="J283" t="s">
        <v>47</v>
      </c>
      <c r="K283" s="2">
        <v>23733</v>
      </c>
      <c r="L283" t="s">
        <v>36</v>
      </c>
      <c r="M283" t="s">
        <v>37</v>
      </c>
      <c r="N283" t="s">
        <v>84</v>
      </c>
      <c r="O283" t="s">
        <v>39</v>
      </c>
      <c r="P283" t="s">
        <v>40</v>
      </c>
      <c r="Q283">
        <v>5</v>
      </c>
      <c r="R283" s="2">
        <v>44809</v>
      </c>
      <c r="S283">
        <v>4</v>
      </c>
      <c r="T283">
        <v>3</v>
      </c>
      <c r="U283">
        <v>2</v>
      </c>
      <c r="V283" s="1">
        <v>45069</v>
      </c>
      <c r="W283" t="s">
        <v>92</v>
      </c>
      <c r="X283" t="s">
        <v>42</v>
      </c>
      <c r="Y283" t="s">
        <v>63</v>
      </c>
      <c r="Z283">
        <v>1</v>
      </c>
      <c r="AA283">
        <v>716.39</v>
      </c>
      <c r="AB283">
        <v>56</v>
      </c>
    </row>
    <row r="284" spans="1:28" x14ac:dyDescent="0.2">
      <c r="A284">
        <v>3745</v>
      </c>
      <c r="B284" s="1">
        <v>43616</v>
      </c>
      <c r="C284" t="s">
        <v>28</v>
      </c>
      <c r="D284" t="s">
        <v>54</v>
      </c>
      <c r="E284" t="s">
        <v>108</v>
      </c>
      <c r="F284" t="s">
        <v>55</v>
      </c>
      <c r="G284" t="s">
        <v>32</v>
      </c>
      <c r="H284" t="s">
        <v>55</v>
      </c>
      <c r="I284" t="s">
        <v>34</v>
      </c>
      <c r="J284" t="s">
        <v>65</v>
      </c>
      <c r="K284" s="2">
        <v>28691</v>
      </c>
      <c r="L284" t="s">
        <v>36</v>
      </c>
      <c r="M284" t="s">
        <v>48</v>
      </c>
      <c r="N284" t="s">
        <v>84</v>
      </c>
      <c r="O284" t="s">
        <v>61</v>
      </c>
      <c r="P284" t="s">
        <v>40</v>
      </c>
      <c r="Q284">
        <v>4</v>
      </c>
      <c r="R284" s="2">
        <v>44939</v>
      </c>
      <c r="S284">
        <v>5</v>
      </c>
      <c r="T284">
        <v>4</v>
      </c>
      <c r="U284">
        <v>4</v>
      </c>
      <c r="V284" s="1">
        <v>44845</v>
      </c>
      <c r="W284" t="s">
        <v>68</v>
      </c>
      <c r="X284" t="s">
        <v>51</v>
      </c>
      <c r="Y284" t="s">
        <v>43</v>
      </c>
      <c r="Z284">
        <v>5</v>
      </c>
      <c r="AA284">
        <v>300.33</v>
      </c>
      <c r="AB284">
        <v>41</v>
      </c>
    </row>
    <row r="285" spans="1:28" x14ac:dyDescent="0.2">
      <c r="A285">
        <v>3746</v>
      </c>
      <c r="B285" s="1">
        <v>44025</v>
      </c>
      <c r="C285" t="s">
        <v>28</v>
      </c>
      <c r="D285" t="s">
        <v>69</v>
      </c>
      <c r="E285" t="s">
        <v>30</v>
      </c>
      <c r="F285" t="s">
        <v>46</v>
      </c>
      <c r="G285" t="s">
        <v>56</v>
      </c>
      <c r="H285" t="s">
        <v>55</v>
      </c>
      <c r="I285" t="s">
        <v>34</v>
      </c>
      <c r="J285" t="s">
        <v>100</v>
      </c>
      <c r="K285" s="2">
        <v>25436</v>
      </c>
      <c r="L285" t="s">
        <v>36</v>
      </c>
      <c r="M285" t="s">
        <v>48</v>
      </c>
      <c r="N285" t="s">
        <v>72</v>
      </c>
      <c r="O285" t="s">
        <v>39</v>
      </c>
      <c r="P285" t="s">
        <v>40</v>
      </c>
      <c r="Q285">
        <v>3</v>
      </c>
      <c r="R285" s="2">
        <v>44871</v>
      </c>
      <c r="S285">
        <v>2</v>
      </c>
      <c r="T285">
        <v>1</v>
      </c>
      <c r="U285">
        <v>5</v>
      </c>
      <c r="V285" s="1">
        <v>44979</v>
      </c>
      <c r="W285" t="s">
        <v>62</v>
      </c>
      <c r="X285" t="s">
        <v>42</v>
      </c>
      <c r="Y285" t="s">
        <v>73</v>
      </c>
      <c r="Z285">
        <v>3</v>
      </c>
      <c r="AA285">
        <v>337.15</v>
      </c>
      <c r="AB285">
        <v>51</v>
      </c>
    </row>
    <row r="286" spans="1:28" x14ac:dyDescent="0.2">
      <c r="A286">
        <v>3747</v>
      </c>
      <c r="B286" s="1">
        <v>44448</v>
      </c>
      <c r="C286" t="s">
        <v>28</v>
      </c>
      <c r="D286" t="s">
        <v>29</v>
      </c>
      <c r="E286" t="s">
        <v>108</v>
      </c>
      <c r="F286" t="s">
        <v>46</v>
      </c>
      <c r="G286" t="s">
        <v>32</v>
      </c>
      <c r="H286" t="s">
        <v>33</v>
      </c>
      <c r="I286" t="s">
        <v>34</v>
      </c>
      <c r="J286" t="s">
        <v>110</v>
      </c>
      <c r="K286" s="2">
        <v>16119</v>
      </c>
      <c r="L286" t="s">
        <v>36</v>
      </c>
      <c r="M286" t="s">
        <v>48</v>
      </c>
      <c r="N286" t="s">
        <v>72</v>
      </c>
      <c r="O286" t="s">
        <v>39</v>
      </c>
      <c r="P286" t="s">
        <v>40</v>
      </c>
      <c r="Q286">
        <v>2</v>
      </c>
      <c r="R286" s="2">
        <v>45042</v>
      </c>
      <c r="S286">
        <v>2</v>
      </c>
      <c r="T286">
        <v>5</v>
      </c>
      <c r="U286">
        <v>5</v>
      </c>
      <c r="V286" s="1">
        <v>44852</v>
      </c>
      <c r="W286" t="s">
        <v>41</v>
      </c>
      <c r="X286" t="s">
        <v>51</v>
      </c>
      <c r="Y286" t="s">
        <v>43</v>
      </c>
      <c r="Z286">
        <v>5</v>
      </c>
      <c r="AA286">
        <v>725.6</v>
      </c>
      <c r="AB286">
        <v>77</v>
      </c>
    </row>
    <row r="287" spans="1:28" x14ac:dyDescent="0.2">
      <c r="A287">
        <v>3748</v>
      </c>
      <c r="B287" s="1">
        <v>43561</v>
      </c>
      <c r="C287" t="s">
        <v>28</v>
      </c>
      <c r="D287" t="s">
        <v>85</v>
      </c>
      <c r="E287" t="s">
        <v>30</v>
      </c>
      <c r="F287" t="s">
        <v>55</v>
      </c>
      <c r="G287" t="s">
        <v>32</v>
      </c>
      <c r="H287" t="s">
        <v>46</v>
      </c>
      <c r="I287" t="s">
        <v>34</v>
      </c>
      <c r="J287" t="s">
        <v>65</v>
      </c>
      <c r="K287" s="2">
        <v>25435</v>
      </c>
      <c r="L287" t="s">
        <v>36</v>
      </c>
      <c r="M287" t="s">
        <v>48</v>
      </c>
      <c r="N287" t="s">
        <v>60</v>
      </c>
      <c r="O287" t="s">
        <v>67</v>
      </c>
      <c r="P287" t="s">
        <v>40</v>
      </c>
      <c r="Q287">
        <v>1</v>
      </c>
      <c r="R287" s="2">
        <v>44883</v>
      </c>
      <c r="S287">
        <v>4</v>
      </c>
      <c r="T287">
        <v>1</v>
      </c>
      <c r="U287">
        <v>3</v>
      </c>
      <c r="V287" s="1">
        <v>44918</v>
      </c>
      <c r="W287" t="s">
        <v>50</v>
      </c>
      <c r="X287" t="s">
        <v>42</v>
      </c>
      <c r="Y287" t="s">
        <v>43</v>
      </c>
      <c r="Z287">
        <v>5</v>
      </c>
      <c r="AA287">
        <v>588.88</v>
      </c>
      <c r="AB287">
        <v>50</v>
      </c>
    </row>
    <row r="288" spans="1:28" x14ac:dyDescent="0.2">
      <c r="A288">
        <v>3749</v>
      </c>
      <c r="B288" s="1">
        <v>44243</v>
      </c>
      <c r="C288" t="s">
        <v>28</v>
      </c>
      <c r="D288" t="s">
        <v>44</v>
      </c>
      <c r="E288" t="s">
        <v>30</v>
      </c>
      <c r="F288" t="s">
        <v>55</v>
      </c>
      <c r="G288" t="s">
        <v>45</v>
      </c>
      <c r="H288" t="s">
        <v>55</v>
      </c>
      <c r="I288" t="s">
        <v>34</v>
      </c>
      <c r="J288" t="s">
        <v>99</v>
      </c>
      <c r="K288" s="2">
        <v>31169</v>
      </c>
      <c r="L288" t="s">
        <v>36</v>
      </c>
      <c r="M288" t="s">
        <v>37</v>
      </c>
      <c r="N288" t="s">
        <v>60</v>
      </c>
      <c r="O288" t="s">
        <v>67</v>
      </c>
      <c r="P288" t="s">
        <v>40</v>
      </c>
      <c r="Q288">
        <v>4</v>
      </c>
      <c r="R288" s="2">
        <v>45017</v>
      </c>
      <c r="S288">
        <v>1</v>
      </c>
      <c r="T288">
        <v>3</v>
      </c>
      <c r="U288">
        <v>3</v>
      </c>
      <c r="V288" s="1">
        <v>44832</v>
      </c>
      <c r="W288" t="s">
        <v>68</v>
      </c>
      <c r="X288" t="s">
        <v>51</v>
      </c>
      <c r="Y288" t="s">
        <v>73</v>
      </c>
      <c r="Z288">
        <v>4</v>
      </c>
      <c r="AA288">
        <v>742.98</v>
      </c>
      <c r="AB288">
        <v>36</v>
      </c>
    </row>
    <row r="289" spans="1:28" x14ac:dyDescent="0.2">
      <c r="A289">
        <v>3750</v>
      </c>
      <c r="B289" s="1">
        <v>43878</v>
      </c>
      <c r="C289" t="s">
        <v>28</v>
      </c>
      <c r="D289" t="s">
        <v>87</v>
      </c>
      <c r="E289" t="s">
        <v>30</v>
      </c>
      <c r="F289" t="s">
        <v>55</v>
      </c>
      <c r="G289" t="s">
        <v>32</v>
      </c>
      <c r="H289" t="s">
        <v>46</v>
      </c>
      <c r="I289" t="s">
        <v>34</v>
      </c>
      <c r="J289" t="s">
        <v>79</v>
      </c>
      <c r="K289" s="2">
        <v>20136</v>
      </c>
      <c r="L289" t="s">
        <v>36</v>
      </c>
      <c r="M289" t="s">
        <v>48</v>
      </c>
      <c r="N289" t="s">
        <v>72</v>
      </c>
      <c r="O289" t="s">
        <v>61</v>
      </c>
      <c r="P289" t="s">
        <v>40</v>
      </c>
      <c r="Q289">
        <v>1</v>
      </c>
      <c r="R289" s="2">
        <v>44902</v>
      </c>
      <c r="S289">
        <v>4</v>
      </c>
      <c r="T289">
        <v>1</v>
      </c>
      <c r="U289">
        <v>5</v>
      </c>
      <c r="V289" s="1">
        <v>44831</v>
      </c>
      <c r="W289" t="s">
        <v>62</v>
      </c>
      <c r="X289" t="s">
        <v>51</v>
      </c>
      <c r="Y289" t="s">
        <v>73</v>
      </c>
      <c r="Z289">
        <v>5</v>
      </c>
      <c r="AA289">
        <v>283.05</v>
      </c>
      <c r="AB289">
        <v>65</v>
      </c>
    </row>
    <row r="290" spans="1:28" x14ac:dyDescent="0.2">
      <c r="A290">
        <v>3751</v>
      </c>
      <c r="B290" s="1">
        <v>44484</v>
      </c>
      <c r="C290" t="s">
        <v>28</v>
      </c>
      <c r="D290" t="s">
        <v>64</v>
      </c>
      <c r="E290" t="s">
        <v>30</v>
      </c>
      <c r="F290" t="s">
        <v>31</v>
      </c>
      <c r="G290" t="s">
        <v>45</v>
      </c>
      <c r="H290" t="s">
        <v>55</v>
      </c>
      <c r="I290" t="s">
        <v>34</v>
      </c>
      <c r="J290" t="s">
        <v>47</v>
      </c>
      <c r="K290" s="2">
        <v>26657</v>
      </c>
      <c r="L290" t="s">
        <v>36</v>
      </c>
      <c r="M290" t="s">
        <v>48</v>
      </c>
      <c r="N290" t="s">
        <v>60</v>
      </c>
      <c r="O290" t="s">
        <v>61</v>
      </c>
      <c r="P290" t="s">
        <v>40</v>
      </c>
      <c r="Q290">
        <v>3</v>
      </c>
      <c r="R290" s="2">
        <v>45021</v>
      </c>
      <c r="S290">
        <v>1</v>
      </c>
      <c r="T290">
        <v>1</v>
      </c>
      <c r="U290">
        <v>4</v>
      </c>
      <c r="V290" s="1">
        <v>44875</v>
      </c>
      <c r="W290" t="s">
        <v>50</v>
      </c>
      <c r="X290" t="s">
        <v>42</v>
      </c>
      <c r="Y290" t="s">
        <v>52</v>
      </c>
      <c r="Z290">
        <v>4</v>
      </c>
      <c r="AA290">
        <v>511.13</v>
      </c>
      <c r="AB290">
        <v>49</v>
      </c>
    </row>
    <row r="291" spans="1:28" x14ac:dyDescent="0.2">
      <c r="A291">
        <v>3752</v>
      </c>
      <c r="B291" s="1">
        <v>44748</v>
      </c>
      <c r="C291" t="s">
        <v>28</v>
      </c>
      <c r="D291" t="s">
        <v>94</v>
      </c>
      <c r="E291" t="s">
        <v>30</v>
      </c>
      <c r="F291" t="s">
        <v>55</v>
      </c>
      <c r="G291" t="s">
        <v>45</v>
      </c>
      <c r="H291" t="s">
        <v>33</v>
      </c>
      <c r="I291" t="s">
        <v>34</v>
      </c>
      <c r="J291" t="s">
        <v>79</v>
      </c>
      <c r="K291" s="2">
        <v>20009</v>
      </c>
      <c r="L291" t="s">
        <v>36</v>
      </c>
      <c r="M291" t="s">
        <v>48</v>
      </c>
      <c r="N291" t="s">
        <v>38</v>
      </c>
      <c r="O291" t="s">
        <v>77</v>
      </c>
      <c r="P291" t="s">
        <v>40</v>
      </c>
      <c r="Q291">
        <v>2</v>
      </c>
      <c r="R291" s="2">
        <v>45142</v>
      </c>
      <c r="S291">
        <v>3</v>
      </c>
      <c r="T291">
        <v>1</v>
      </c>
      <c r="U291">
        <v>5</v>
      </c>
      <c r="V291" s="1">
        <v>45077</v>
      </c>
      <c r="W291" t="s">
        <v>92</v>
      </c>
      <c r="X291" t="s">
        <v>42</v>
      </c>
      <c r="Y291" t="s">
        <v>63</v>
      </c>
      <c r="Z291">
        <v>1</v>
      </c>
      <c r="AA291">
        <v>158.86000000000001</v>
      </c>
      <c r="AB291">
        <v>68</v>
      </c>
    </row>
    <row r="292" spans="1:28" x14ac:dyDescent="0.2">
      <c r="A292">
        <v>3753</v>
      </c>
      <c r="B292" s="1">
        <v>43529</v>
      </c>
      <c r="C292" t="s">
        <v>28</v>
      </c>
      <c r="D292" t="s">
        <v>74</v>
      </c>
      <c r="E292" t="s">
        <v>30</v>
      </c>
      <c r="F292" t="s">
        <v>46</v>
      </c>
      <c r="G292" t="s">
        <v>56</v>
      </c>
      <c r="H292" t="s">
        <v>46</v>
      </c>
      <c r="I292" t="s">
        <v>34</v>
      </c>
      <c r="J292" t="s">
        <v>99</v>
      </c>
      <c r="K292" s="2">
        <v>21822</v>
      </c>
      <c r="L292" t="s">
        <v>36</v>
      </c>
      <c r="M292" t="s">
        <v>48</v>
      </c>
      <c r="N292" t="s">
        <v>38</v>
      </c>
      <c r="O292" t="s">
        <v>61</v>
      </c>
      <c r="P292" t="s">
        <v>40</v>
      </c>
      <c r="Q292">
        <v>4</v>
      </c>
      <c r="R292" s="2">
        <v>44980</v>
      </c>
      <c r="S292">
        <v>1</v>
      </c>
      <c r="T292">
        <v>3</v>
      </c>
      <c r="U292">
        <v>2</v>
      </c>
      <c r="V292" s="1">
        <v>44823</v>
      </c>
      <c r="W292" t="s">
        <v>62</v>
      </c>
      <c r="X292" t="s">
        <v>51</v>
      </c>
      <c r="Y292" t="s">
        <v>43</v>
      </c>
      <c r="Z292">
        <v>1</v>
      </c>
      <c r="AA292">
        <v>741.95</v>
      </c>
      <c r="AB292">
        <v>60</v>
      </c>
    </row>
    <row r="293" spans="1:28" x14ac:dyDescent="0.2">
      <c r="A293">
        <v>3754</v>
      </c>
      <c r="B293" s="1">
        <v>43984</v>
      </c>
      <c r="C293" t="s">
        <v>28</v>
      </c>
      <c r="D293" t="s">
        <v>81</v>
      </c>
      <c r="E293" t="s">
        <v>30</v>
      </c>
      <c r="F293" t="s">
        <v>55</v>
      </c>
      <c r="G293" t="s">
        <v>32</v>
      </c>
      <c r="H293" t="s">
        <v>55</v>
      </c>
      <c r="I293" t="s">
        <v>34</v>
      </c>
      <c r="J293" t="s">
        <v>96</v>
      </c>
      <c r="K293" s="2">
        <v>28641</v>
      </c>
      <c r="L293" t="s">
        <v>36</v>
      </c>
      <c r="M293" t="s">
        <v>48</v>
      </c>
      <c r="N293" t="s">
        <v>72</v>
      </c>
      <c r="O293" t="s">
        <v>67</v>
      </c>
      <c r="P293" t="s">
        <v>40</v>
      </c>
      <c r="Q293">
        <v>1</v>
      </c>
      <c r="R293" s="2">
        <v>45039</v>
      </c>
      <c r="S293">
        <v>3</v>
      </c>
      <c r="T293">
        <v>3</v>
      </c>
      <c r="U293">
        <v>5</v>
      </c>
      <c r="V293" s="1">
        <v>44993</v>
      </c>
      <c r="W293" t="s">
        <v>68</v>
      </c>
      <c r="X293" t="s">
        <v>51</v>
      </c>
      <c r="Y293" t="s">
        <v>52</v>
      </c>
      <c r="Z293">
        <v>4</v>
      </c>
      <c r="AA293">
        <v>132.52000000000001</v>
      </c>
      <c r="AB293">
        <v>42</v>
      </c>
    </row>
    <row r="294" spans="1:28" x14ac:dyDescent="0.2">
      <c r="A294">
        <v>3756</v>
      </c>
      <c r="B294" s="1">
        <v>44340</v>
      </c>
      <c r="C294" t="s">
        <v>28</v>
      </c>
      <c r="D294" t="s">
        <v>69</v>
      </c>
      <c r="E294" t="s">
        <v>30</v>
      </c>
      <c r="F294" t="s">
        <v>55</v>
      </c>
      <c r="G294" t="s">
        <v>45</v>
      </c>
      <c r="H294" t="s">
        <v>33</v>
      </c>
      <c r="I294" t="s">
        <v>34</v>
      </c>
      <c r="J294" t="s">
        <v>70</v>
      </c>
      <c r="K294" s="2">
        <v>16224</v>
      </c>
      <c r="L294" t="s">
        <v>36</v>
      </c>
      <c r="M294" t="s">
        <v>37</v>
      </c>
      <c r="N294" t="s">
        <v>49</v>
      </c>
      <c r="O294" t="s">
        <v>67</v>
      </c>
      <c r="P294" t="s">
        <v>40</v>
      </c>
      <c r="Q294">
        <v>3</v>
      </c>
      <c r="R294" s="2">
        <v>44888</v>
      </c>
      <c r="S294">
        <v>1</v>
      </c>
      <c r="T294">
        <v>5</v>
      </c>
      <c r="U294">
        <v>3</v>
      </c>
      <c r="V294" s="1">
        <v>45012</v>
      </c>
      <c r="W294" t="s">
        <v>68</v>
      </c>
      <c r="X294" t="s">
        <v>51</v>
      </c>
      <c r="Y294" t="s">
        <v>43</v>
      </c>
      <c r="Z294">
        <v>4</v>
      </c>
      <c r="AA294">
        <v>521.51</v>
      </c>
      <c r="AB294">
        <v>77</v>
      </c>
    </row>
    <row r="295" spans="1:28" x14ac:dyDescent="0.2">
      <c r="A295">
        <v>3758</v>
      </c>
      <c r="B295" s="1">
        <v>44881</v>
      </c>
      <c r="C295" t="s">
        <v>28</v>
      </c>
      <c r="D295" t="s">
        <v>85</v>
      </c>
      <c r="E295" t="s">
        <v>108</v>
      </c>
      <c r="F295" t="s">
        <v>31</v>
      </c>
      <c r="G295" t="s">
        <v>45</v>
      </c>
      <c r="H295" t="s">
        <v>33</v>
      </c>
      <c r="I295" t="s">
        <v>34</v>
      </c>
      <c r="J295" t="s">
        <v>79</v>
      </c>
      <c r="K295" s="2">
        <v>17156</v>
      </c>
      <c r="L295" t="s">
        <v>36</v>
      </c>
      <c r="M295" t="s">
        <v>48</v>
      </c>
      <c r="N295" t="s">
        <v>60</v>
      </c>
      <c r="O295" t="s">
        <v>77</v>
      </c>
      <c r="P295" t="s">
        <v>40</v>
      </c>
      <c r="Q295">
        <v>3</v>
      </c>
      <c r="R295" s="2">
        <v>44838</v>
      </c>
      <c r="S295">
        <v>2</v>
      </c>
      <c r="T295">
        <v>1</v>
      </c>
      <c r="U295">
        <v>1</v>
      </c>
      <c r="V295" s="1">
        <v>44942</v>
      </c>
      <c r="W295" t="s">
        <v>41</v>
      </c>
      <c r="X295" t="s">
        <v>42</v>
      </c>
      <c r="Y295" t="s">
        <v>43</v>
      </c>
      <c r="Z295">
        <v>4</v>
      </c>
      <c r="AA295">
        <v>917.17</v>
      </c>
      <c r="AB295">
        <v>76</v>
      </c>
    </row>
    <row r="296" spans="1:28" x14ac:dyDescent="0.2">
      <c r="A296">
        <v>3759</v>
      </c>
      <c r="B296" s="1">
        <v>44682</v>
      </c>
      <c r="C296" t="s">
        <v>28</v>
      </c>
      <c r="D296" t="s">
        <v>44</v>
      </c>
      <c r="E296" t="s">
        <v>30</v>
      </c>
      <c r="F296" t="s">
        <v>31</v>
      </c>
      <c r="G296" t="s">
        <v>56</v>
      </c>
      <c r="H296" t="s">
        <v>55</v>
      </c>
      <c r="I296" t="s">
        <v>34</v>
      </c>
      <c r="J296" t="s">
        <v>105</v>
      </c>
      <c r="K296" s="2">
        <v>21479</v>
      </c>
      <c r="L296" t="s">
        <v>36</v>
      </c>
      <c r="M296" t="s">
        <v>48</v>
      </c>
      <c r="N296" t="s">
        <v>72</v>
      </c>
      <c r="O296" t="s">
        <v>67</v>
      </c>
      <c r="P296" t="s">
        <v>40</v>
      </c>
      <c r="Q296">
        <v>1</v>
      </c>
      <c r="R296" s="2">
        <v>44893</v>
      </c>
      <c r="S296">
        <v>3</v>
      </c>
      <c r="T296">
        <v>4</v>
      </c>
      <c r="U296">
        <v>1</v>
      </c>
      <c r="V296" s="1">
        <v>44784</v>
      </c>
      <c r="W296" t="s">
        <v>62</v>
      </c>
      <c r="X296" t="s">
        <v>42</v>
      </c>
      <c r="Y296" t="s">
        <v>63</v>
      </c>
      <c r="Z296">
        <v>2</v>
      </c>
      <c r="AA296">
        <v>790.71</v>
      </c>
      <c r="AB296">
        <v>64</v>
      </c>
    </row>
    <row r="297" spans="1:28" x14ac:dyDescent="0.2">
      <c r="A297">
        <v>3760</v>
      </c>
      <c r="B297" s="1">
        <v>44432</v>
      </c>
      <c r="C297" t="s">
        <v>28</v>
      </c>
      <c r="D297" t="s">
        <v>87</v>
      </c>
      <c r="E297" t="s">
        <v>30</v>
      </c>
      <c r="F297" t="s">
        <v>55</v>
      </c>
      <c r="G297" t="s">
        <v>45</v>
      </c>
      <c r="H297" t="s">
        <v>46</v>
      </c>
      <c r="I297" t="s">
        <v>34</v>
      </c>
      <c r="J297" t="s">
        <v>65</v>
      </c>
      <c r="K297" s="2">
        <v>21958</v>
      </c>
      <c r="L297" t="s">
        <v>36</v>
      </c>
      <c r="M297" t="s">
        <v>48</v>
      </c>
      <c r="N297" t="s">
        <v>60</v>
      </c>
      <c r="O297" t="s">
        <v>39</v>
      </c>
      <c r="P297" t="s">
        <v>40</v>
      </c>
      <c r="Q297">
        <v>3</v>
      </c>
      <c r="R297" s="2">
        <v>44862</v>
      </c>
      <c r="S297">
        <v>4</v>
      </c>
      <c r="T297">
        <v>3</v>
      </c>
      <c r="U297">
        <v>1</v>
      </c>
      <c r="V297" s="1">
        <v>44893</v>
      </c>
      <c r="W297" t="s">
        <v>68</v>
      </c>
      <c r="X297" t="s">
        <v>51</v>
      </c>
      <c r="Y297" t="s">
        <v>73</v>
      </c>
      <c r="Z297">
        <v>1</v>
      </c>
      <c r="AA297">
        <v>680.48</v>
      </c>
      <c r="AB297">
        <v>61</v>
      </c>
    </row>
    <row r="298" spans="1:28" x14ac:dyDescent="0.2">
      <c r="A298">
        <v>3761</v>
      </c>
      <c r="B298" s="1">
        <v>45099</v>
      </c>
      <c r="C298" t="s">
        <v>106</v>
      </c>
      <c r="D298" t="s">
        <v>29</v>
      </c>
      <c r="E298" t="s">
        <v>30</v>
      </c>
      <c r="F298" t="s">
        <v>31</v>
      </c>
      <c r="G298" t="s">
        <v>45</v>
      </c>
      <c r="H298" t="s">
        <v>55</v>
      </c>
      <c r="I298" t="s">
        <v>34</v>
      </c>
      <c r="J298" t="s">
        <v>58</v>
      </c>
      <c r="K298" s="2">
        <v>32104</v>
      </c>
      <c r="L298" t="s">
        <v>36</v>
      </c>
      <c r="M298" t="s">
        <v>37</v>
      </c>
      <c r="N298" t="s">
        <v>72</v>
      </c>
      <c r="O298" t="s">
        <v>67</v>
      </c>
      <c r="P298" t="s">
        <v>40</v>
      </c>
      <c r="Q298">
        <v>1</v>
      </c>
      <c r="R298" s="2">
        <v>45076</v>
      </c>
      <c r="S298">
        <v>2</v>
      </c>
      <c r="T298">
        <v>4</v>
      </c>
      <c r="U298">
        <v>1</v>
      </c>
      <c r="V298" s="1">
        <v>44791</v>
      </c>
      <c r="W298" t="s">
        <v>50</v>
      </c>
      <c r="X298" t="s">
        <v>51</v>
      </c>
      <c r="Y298" t="s">
        <v>43</v>
      </c>
      <c r="Z298">
        <v>1</v>
      </c>
      <c r="AA298">
        <v>947.57</v>
      </c>
      <c r="AB298">
        <v>36</v>
      </c>
    </row>
    <row r="299" spans="1:28" x14ac:dyDescent="0.2">
      <c r="A299">
        <v>3762</v>
      </c>
      <c r="B299" s="1">
        <v>44030</v>
      </c>
      <c r="C299" t="s">
        <v>106</v>
      </c>
      <c r="D299" t="s">
        <v>85</v>
      </c>
      <c r="E299" t="s">
        <v>30</v>
      </c>
      <c r="F299" t="s">
        <v>46</v>
      </c>
      <c r="G299" t="s">
        <v>56</v>
      </c>
      <c r="H299" t="s">
        <v>33</v>
      </c>
      <c r="I299" t="s">
        <v>34</v>
      </c>
      <c r="J299" t="s">
        <v>79</v>
      </c>
      <c r="K299" s="2">
        <v>18029</v>
      </c>
      <c r="L299" t="s">
        <v>36</v>
      </c>
      <c r="M299" t="s">
        <v>37</v>
      </c>
      <c r="N299" t="s">
        <v>72</v>
      </c>
      <c r="O299" t="s">
        <v>77</v>
      </c>
      <c r="P299" t="s">
        <v>40</v>
      </c>
      <c r="Q299">
        <v>2</v>
      </c>
      <c r="R299" s="2">
        <v>44779</v>
      </c>
      <c r="S299">
        <v>2</v>
      </c>
      <c r="T299">
        <v>1</v>
      </c>
      <c r="U299">
        <v>1</v>
      </c>
      <c r="V299" s="1">
        <v>45092</v>
      </c>
      <c r="W299" t="s">
        <v>62</v>
      </c>
      <c r="X299" t="s">
        <v>42</v>
      </c>
      <c r="Y299" t="s">
        <v>43</v>
      </c>
      <c r="Z299">
        <v>2</v>
      </c>
      <c r="AA299">
        <v>594.61</v>
      </c>
      <c r="AB299">
        <v>71</v>
      </c>
    </row>
    <row r="300" spans="1:28" x14ac:dyDescent="0.2">
      <c r="A300">
        <v>3763</v>
      </c>
      <c r="B300" s="1">
        <v>44938</v>
      </c>
      <c r="C300" t="s">
        <v>106</v>
      </c>
      <c r="D300" t="s">
        <v>44</v>
      </c>
      <c r="E300" t="s">
        <v>108</v>
      </c>
      <c r="F300" t="s">
        <v>55</v>
      </c>
      <c r="G300" t="s">
        <v>56</v>
      </c>
      <c r="H300" t="s">
        <v>55</v>
      </c>
      <c r="I300" t="s">
        <v>34</v>
      </c>
      <c r="J300" t="s">
        <v>35</v>
      </c>
      <c r="K300" s="2">
        <v>18439</v>
      </c>
      <c r="L300" t="s">
        <v>36</v>
      </c>
      <c r="M300" t="s">
        <v>37</v>
      </c>
      <c r="N300" t="s">
        <v>38</v>
      </c>
      <c r="O300" t="s">
        <v>39</v>
      </c>
      <c r="P300" t="s">
        <v>40</v>
      </c>
      <c r="Q300">
        <v>3</v>
      </c>
      <c r="R300" s="2">
        <v>45116</v>
      </c>
      <c r="S300">
        <v>3</v>
      </c>
      <c r="T300">
        <v>2</v>
      </c>
      <c r="U300">
        <v>5</v>
      </c>
      <c r="V300" s="1">
        <v>44878</v>
      </c>
      <c r="W300" t="s">
        <v>68</v>
      </c>
      <c r="X300" t="s">
        <v>51</v>
      </c>
      <c r="Y300" t="s">
        <v>52</v>
      </c>
      <c r="Z300">
        <v>1</v>
      </c>
      <c r="AA300">
        <v>775.59</v>
      </c>
      <c r="AB300">
        <v>73</v>
      </c>
    </row>
    <row r="301" spans="1:28" x14ac:dyDescent="0.2">
      <c r="A301">
        <v>3764</v>
      </c>
      <c r="B301" s="1">
        <v>44608</v>
      </c>
      <c r="C301" t="s">
        <v>106</v>
      </c>
      <c r="D301" t="s">
        <v>87</v>
      </c>
      <c r="E301" t="s">
        <v>30</v>
      </c>
      <c r="F301" t="s">
        <v>55</v>
      </c>
      <c r="G301" t="s">
        <v>56</v>
      </c>
      <c r="H301" t="s">
        <v>33</v>
      </c>
      <c r="I301" t="s">
        <v>34</v>
      </c>
      <c r="J301" t="s">
        <v>58</v>
      </c>
      <c r="K301" s="2">
        <v>35046</v>
      </c>
      <c r="L301" t="s">
        <v>36</v>
      </c>
      <c r="M301" t="s">
        <v>37</v>
      </c>
      <c r="N301" t="s">
        <v>72</v>
      </c>
      <c r="O301" t="s">
        <v>61</v>
      </c>
      <c r="P301" t="s">
        <v>40</v>
      </c>
      <c r="Q301">
        <v>3</v>
      </c>
      <c r="R301" s="2">
        <v>45118</v>
      </c>
      <c r="S301">
        <v>2</v>
      </c>
      <c r="T301">
        <v>1</v>
      </c>
      <c r="U301">
        <v>5</v>
      </c>
      <c r="V301" s="1">
        <v>44803</v>
      </c>
      <c r="W301" t="s">
        <v>92</v>
      </c>
      <c r="X301" t="s">
        <v>51</v>
      </c>
      <c r="Y301" t="s">
        <v>52</v>
      </c>
      <c r="Z301">
        <v>2</v>
      </c>
      <c r="AA301">
        <v>239.16</v>
      </c>
      <c r="AB301">
        <v>27</v>
      </c>
    </row>
    <row r="302" spans="1:28" x14ac:dyDescent="0.2">
      <c r="A302">
        <v>3765</v>
      </c>
      <c r="B302" s="1">
        <v>44806</v>
      </c>
      <c r="C302" t="s">
        <v>106</v>
      </c>
      <c r="D302" t="s">
        <v>64</v>
      </c>
      <c r="E302" t="s">
        <v>30</v>
      </c>
      <c r="F302" t="s">
        <v>46</v>
      </c>
      <c r="G302" t="s">
        <v>45</v>
      </c>
      <c r="H302" t="s">
        <v>33</v>
      </c>
      <c r="I302" t="s">
        <v>34</v>
      </c>
      <c r="J302" t="s">
        <v>105</v>
      </c>
      <c r="K302" s="2">
        <v>25384</v>
      </c>
      <c r="L302" t="s">
        <v>36</v>
      </c>
      <c r="M302" t="s">
        <v>37</v>
      </c>
      <c r="N302" t="s">
        <v>49</v>
      </c>
      <c r="O302" t="s">
        <v>39</v>
      </c>
      <c r="P302" t="s">
        <v>40</v>
      </c>
      <c r="Q302">
        <v>3</v>
      </c>
      <c r="R302" s="2">
        <v>44928</v>
      </c>
      <c r="S302">
        <v>1</v>
      </c>
      <c r="T302">
        <v>1</v>
      </c>
      <c r="U302">
        <v>2</v>
      </c>
      <c r="V302" s="1">
        <v>44890</v>
      </c>
      <c r="W302" t="s">
        <v>50</v>
      </c>
      <c r="X302" t="s">
        <v>42</v>
      </c>
      <c r="Y302" t="s">
        <v>63</v>
      </c>
      <c r="Z302">
        <v>5</v>
      </c>
      <c r="AA302">
        <v>275.94</v>
      </c>
      <c r="AB302">
        <v>53</v>
      </c>
    </row>
    <row r="303" spans="1:28" x14ac:dyDescent="0.2">
      <c r="A303">
        <v>3766</v>
      </c>
      <c r="B303" s="1">
        <v>43498</v>
      </c>
      <c r="C303" t="s">
        <v>106</v>
      </c>
      <c r="D303" t="s">
        <v>94</v>
      </c>
      <c r="E303" t="s">
        <v>30</v>
      </c>
      <c r="F303" t="s">
        <v>46</v>
      </c>
      <c r="G303" t="s">
        <v>45</v>
      </c>
      <c r="H303" t="s">
        <v>46</v>
      </c>
      <c r="I303" t="s">
        <v>34</v>
      </c>
      <c r="J303" t="s">
        <v>105</v>
      </c>
      <c r="K303" s="2">
        <v>15775</v>
      </c>
      <c r="L303" t="s">
        <v>36</v>
      </c>
      <c r="M303" t="s">
        <v>37</v>
      </c>
      <c r="N303" t="s">
        <v>72</v>
      </c>
      <c r="O303" t="s">
        <v>39</v>
      </c>
      <c r="P303" t="s">
        <v>40</v>
      </c>
      <c r="Q303">
        <v>3</v>
      </c>
      <c r="R303" s="2">
        <v>45058</v>
      </c>
      <c r="S303">
        <v>4</v>
      </c>
      <c r="T303">
        <v>4</v>
      </c>
      <c r="U303">
        <v>5</v>
      </c>
      <c r="V303" s="1">
        <v>45012</v>
      </c>
      <c r="W303" t="s">
        <v>68</v>
      </c>
      <c r="X303" t="s">
        <v>42</v>
      </c>
      <c r="Y303" t="s">
        <v>52</v>
      </c>
      <c r="Z303">
        <v>4</v>
      </c>
      <c r="AA303">
        <v>466.32</v>
      </c>
      <c r="AB303">
        <v>76</v>
      </c>
    </row>
    <row r="304" spans="1:28" x14ac:dyDescent="0.2">
      <c r="A304">
        <v>3767</v>
      </c>
      <c r="B304" s="1">
        <v>44434</v>
      </c>
      <c r="C304" t="s">
        <v>28</v>
      </c>
      <c r="D304" t="s">
        <v>64</v>
      </c>
      <c r="E304" t="s">
        <v>108</v>
      </c>
      <c r="F304" t="s">
        <v>55</v>
      </c>
      <c r="G304" t="s">
        <v>56</v>
      </c>
      <c r="H304" t="s">
        <v>46</v>
      </c>
      <c r="I304" t="s">
        <v>34</v>
      </c>
      <c r="J304" t="s">
        <v>65</v>
      </c>
      <c r="K304" s="2">
        <v>34035</v>
      </c>
      <c r="L304" t="s">
        <v>36</v>
      </c>
      <c r="M304" t="s">
        <v>37</v>
      </c>
      <c r="N304" t="s">
        <v>72</v>
      </c>
      <c r="O304" t="s">
        <v>77</v>
      </c>
      <c r="P304" t="s">
        <v>40</v>
      </c>
      <c r="Q304">
        <v>2</v>
      </c>
      <c r="R304" s="2">
        <v>45116</v>
      </c>
      <c r="S304">
        <v>2</v>
      </c>
      <c r="T304">
        <v>5</v>
      </c>
      <c r="U304">
        <v>3</v>
      </c>
      <c r="V304" s="1">
        <v>44846</v>
      </c>
      <c r="W304" t="s">
        <v>41</v>
      </c>
      <c r="X304" t="s">
        <v>42</v>
      </c>
      <c r="Y304" t="s">
        <v>63</v>
      </c>
      <c r="Z304">
        <v>4</v>
      </c>
      <c r="AA304">
        <v>840.46</v>
      </c>
      <c r="AB304">
        <v>28</v>
      </c>
    </row>
    <row r="305" spans="1:28" x14ac:dyDescent="0.2">
      <c r="A305">
        <v>3768</v>
      </c>
      <c r="B305" s="1">
        <v>44196</v>
      </c>
      <c r="C305" t="s">
        <v>28</v>
      </c>
      <c r="D305" t="s">
        <v>85</v>
      </c>
      <c r="E305" t="s">
        <v>30</v>
      </c>
      <c r="F305" t="s">
        <v>31</v>
      </c>
      <c r="G305" t="s">
        <v>56</v>
      </c>
      <c r="H305" t="s">
        <v>55</v>
      </c>
      <c r="I305" t="s">
        <v>34</v>
      </c>
      <c r="J305" t="s">
        <v>102</v>
      </c>
      <c r="K305" s="2">
        <v>33388</v>
      </c>
      <c r="L305" t="s">
        <v>36</v>
      </c>
      <c r="M305" t="s">
        <v>37</v>
      </c>
      <c r="N305" t="s">
        <v>72</v>
      </c>
      <c r="O305" t="s">
        <v>77</v>
      </c>
      <c r="P305" t="s">
        <v>40</v>
      </c>
      <c r="Q305">
        <v>4</v>
      </c>
      <c r="R305" s="2">
        <v>44953</v>
      </c>
      <c r="S305">
        <v>2</v>
      </c>
      <c r="T305">
        <v>4</v>
      </c>
      <c r="U305">
        <v>1</v>
      </c>
      <c r="V305" s="1">
        <v>44930</v>
      </c>
      <c r="W305" t="s">
        <v>41</v>
      </c>
      <c r="X305" t="s">
        <v>42</v>
      </c>
      <c r="Y305" t="s">
        <v>63</v>
      </c>
      <c r="Z305">
        <v>3</v>
      </c>
      <c r="AA305">
        <v>145.76</v>
      </c>
      <c r="AB305">
        <v>29</v>
      </c>
    </row>
    <row r="306" spans="1:28" x14ac:dyDescent="0.2">
      <c r="A306">
        <v>3769</v>
      </c>
      <c r="B306" s="1">
        <v>44177</v>
      </c>
      <c r="C306" t="s">
        <v>28</v>
      </c>
      <c r="D306" t="s">
        <v>94</v>
      </c>
      <c r="E306" t="s">
        <v>30</v>
      </c>
      <c r="F306" t="s">
        <v>55</v>
      </c>
      <c r="G306" t="s">
        <v>45</v>
      </c>
      <c r="H306" t="s">
        <v>55</v>
      </c>
      <c r="I306" t="s">
        <v>34</v>
      </c>
      <c r="J306" t="s">
        <v>97</v>
      </c>
      <c r="K306" s="2">
        <v>19319</v>
      </c>
      <c r="L306" t="s">
        <v>36</v>
      </c>
      <c r="M306" t="s">
        <v>48</v>
      </c>
      <c r="N306" t="s">
        <v>84</v>
      </c>
      <c r="O306" t="s">
        <v>67</v>
      </c>
      <c r="P306" t="s">
        <v>40</v>
      </c>
      <c r="Q306">
        <v>3</v>
      </c>
      <c r="R306" s="2">
        <v>44829</v>
      </c>
      <c r="S306">
        <v>3</v>
      </c>
      <c r="T306">
        <v>5</v>
      </c>
      <c r="U306">
        <v>3</v>
      </c>
      <c r="V306" s="1">
        <v>44846</v>
      </c>
      <c r="W306" t="s">
        <v>62</v>
      </c>
      <c r="X306" t="s">
        <v>42</v>
      </c>
      <c r="Y306" t="s">
        <v>52</v>
      </c>
      <c r="Z306">
        <v>2</v>
      </c>
      <c r="AA306">
        <v>647.70000000000005</v>
      </c>
      <c r="AB306">
        <v>68</v>
      </c>
    </row>
    <row r="307" spans="1:28" x14ac:dyDescent="0.2">
      <c r="A307">
        <v>3770</v>
      </c>
      <c r="B307" s="1">
        <v>44574</v>
      </c>
      <c r="C307" t="s">
        <v>28</v>
      </c>
      <c r="D307" t="s">
        <v>54</v>
      </c>
      <c r="E307" t="s">
        <v>108</v>
      </c>
      <c r="F307" t="s">
        <v>31</v>
      </c>
      <c r="G307" t="s">
        <v>56</v>
      </c>
      <c r="H307" t="s">
        <v>33</v>
      </c>
      <c r="I307" t="s">
        <v>34</v>
      </c>
      <c r="J307" t="s">
        <v>47</v>
      </c>
      <c r="K307" s="2">
        <v>34725</v>
      </c>
      <c r="L307" t="s">
        <v>36</v>
      </c>
      <c r="M307" t="s">
        <v>48</v>
      </c>
      <c r="N307" t="s">
        <v>84</v>
      </c>
      <c r="O307" t="s">
        <v>67</v>
      </c>
      <c r="P307" t="s">
        <v>40</v>
      </c>
      <c r="Q307">
        <v>3</v>
      </c>
      <c r="R307" s="2">
        <v>45052</v>
      </c>
      <c r="S307">
        <v>1</v>
      </c>
      <c r="T307">
        <v>3</v>
      </c>
      <c r="U307">
        <v>3</v>
      </c>
      <c r="V307" s="1">
        <v>45112</v>
      </c>
      <c r="W307" t="s">
        <v>62</v>
      </c>
      <c r="X307" t="s">
        <v>42</v>
      </c>
      <c r="Y307" t="s">
        <v>52</v>
      </c>
      <c r="Z307">
        <v>2</v>
      </c>
      <c r="AA307">
        <v>536.20000000000005</v>
      </c>
      <c r="AB307">
        <v>27</v>
      </c>
    </row>
    <row r="308" spans="1:28" x14ac:dyDescent="0.2">
      <c r="A308">
        <v>3771</v>
      </c>
      <c r="B308" s="1">
        <v>44220</v>
      </c>
      <c r="C308" t="s">
        <v>28</v>
      </c>
      <c r="D308" t="s">
        <v>81</v>
      </c>
      <c r="E308" t="s">
        <v>108</v>
      </c>
      <c r="F308" t="s">
        <v>46</v>
      </c>
      <c r="G308" t="s">
        <v>56</v>
      </c>
      <c r="H308" t="s">
        <v>33</v>
      </c>
      <c r="I308" t="s">
        <v>34</v>
      </c>
      <c r="J308" t="s">
        <v>65</v>
      </c>
      <c r="K308" s="2">
        <v>29849</v>
      </c>
      <c r="L308" t="s">
        <v>36</v>
      </c>
      <c r="M308" t="s">
        <v>48</v>
      </c>
      <c r="N308" t="s">
        <v>84</v>
      </c>
      <c r="O308" t="s">
        <v>67</v>
      </c>
      <c r="P308" t="s">
        <v>40</v>
      </c>
      <c r="Q308">
        <v>3</v>
      </c>
      <c r="R308" s="2">
        <v>44829</v>
      </c>
      <c r="S308">
        <v>2</v>
      </c>
      <c r="T308">
        <v>2</v>
      </c>
      <c r="U308">
        <v>4</v>
      </c>
      <c r="V308" s="1">
        <v>45011</v>
      </c>
      <c r="W308" t="s">
        <v>92</v>
      </c>
      <c r="X308" t="s">
        <v>42</v>
      </c>
      <c r="Y308" t="s">
        <v>52</v>
      </c>
      <c r="Z308">
        <v>5</v>
      </c>
      <c r="AA308">
        <v>769.97</v>
      </c>
      <c r="AB308">
        <v>40</v>
      </c>
    </row>
    <row r="309" spans="1:28" x14ac:dyDescent="0.2">
      <c r="A309">
        <v>3772</v>
      </c>
      <c r="B309" s="1">
        <v>44600</v>
      </c>
      <c r="C309" t="s">
        <v>28</v>
      </c>
      <c r="D309" t="s">
        <v>87</v>
      </c>
      <c r="E309" t="s">
        <v>30</v>
      </c>
      <c r="F309" t="s">
        <v>55</v>
      </c>
      <c r="G309" t="s">
        <v>45</v>
      </c>
      <c r="H309" t="s">
        <v>33</v>
      </c>
      <c r="I309" t="s">
        <v>34</v>
      </c>
      <c r="J309" t="s">
        <v>79</v>
      </c>
      <c r="K309" s="2">
        <v>24143</v>
      </c>
      <c r="L309" t="s">
        <v>36</v>
      </c>
      <c r="M309" t="s">
        <v>37</v>
      </c>
      <c r="N309" t="s">
        <v>84</v>
      </c>
      <c r="O309" t="s">
        <v>77</v>
      </c>
      <c r="P309" t="s">
        <v>40</v>
      </c>
      <c r="Q309">
        <v>3</v>
      </c>
      <c r="R309" s="2">
        <v>44814</v>
      </c>
      <c r="S309">
        <v>2</v>
      </c>
      <c r="T309">
        <v>5</v>
      </c>
      <c r="U309">
        <v>1</v>
      </c>
      <c r="V309" s="1">
        <v>44927</v>
      </c>
      <c r="W309" t="s">
        <v>92</v>
      </c>
      <c r="X309" t="s">
        <v>51</v>
      </c>
      <c r="Y309" t="s">
        <v>63</v>
      </c>
      <c r="Z309">
        <v>1</v>
      </c>
      <c r="AA309">
        <v>894.66</v>
      </c>
      <c r="AB309">
        <v>56</v>
      </c>
    </row>
    <row r="310" spans="1:28" x14ac:dyDescent="0.2">
      <c r="A310">
        <v>3773</v>
      </c>
      <c r="B310" s="1">
        <v>44115</v>
      </c>
      <c r="C310" t="s">
        <v>28</v>
      </c>
      <c r="D310" t="s">
        <v>44</v>
      </c>
      <c r="E310" t="s">
        <v>108</v>
      </c>
      <c r="F310" t="s">
        <v>46</v>
      </c>
      <c r="G310" t="s">
        <v>45</v>
      </c>
      <c r="H310" t="s">
        <v>33</v>
      </c>
      <c r="I310" t="s">
        <v>34</v>
      </c>
      <c r="J310" t="s">
        <v>79</v>
      </c>
      <c r="K310" s="2">
        <v>26435</v>
      </c>
      <c r="L310" t="s">
        <v>36</v>
      </c>
      <c r="M310" t="s">
        <v>37</v>
      </c>
      <c r="N310" t="s">
        <v>49</v>
      </c>
      <c r="O310" t="s">
        <v>77</v>
      </c>
      <c r="P310" t="s">
        <v>40</v>
      </c>
      <c r="Q310">
        <v>3</v>
      </c>
      <c r="R310" s="2">
        <v>44850</v>
      </c>
      <c r="S310">
        <v>1</v>
      </c>
      <c r="T310">
        <v>5</v>
      </c>
      <c r="U310">
        <v>2</v>
      </c>
      <c r="V310" s="1">
        <v>44880</v>
      </c>
      <c r="W310" t="s">
        <v>62</v>
      </c>
      <c r="X310" t="s">
        <v>51</v>
      </c>
      <c r="Y310" t="s">
        <v>43</v>
      </c>
      <c r="Z310">
        <v>2</v>
      </c>
      <c r="AA310">
        <v>374.02</v>
      </c>
      <c r="AB310">
        <v>48</v>
      </c>
    </row>
    <row r="311" spans="1:28" x14ac:dyDescent="0.2">
      <c r="A311">
        <v>3774</v>
      </c>
      <c r="B311" s="1">
        <v>43636</v>
      </c>
      <c r="C311" t="s">
        <v>28</v>
      </c>
      <c r="D311" t="s">
        <v>29</v>
      </c>
      <c r="E311" t="s">
        <v>30</v>
      </c>
      <c r="F311" t="s">
        <v>46</v>
      </c>
      <c r="G311" t="s">
        <v>56</v>
      </c>
      <c r="H311" t="s">
        <v>55</v>
      </c>
      <c r="I311" t="s">
        <v>34</v>
      </c>
      <c r="J311" t="s">
        <v>79</v>
      </c>
      <c r="K311" s="2">
        <v>35891</v>
      </c>
      <c r="L311" t="s">
        <v>36</v>
      </c>
      <c r="M311" t="s">
        <v>48</v>
      </c>
      <c r="N311" t="s">
        <v>72</v>
      </c>
      <c r="O311" t="s">
        <v>61</v>
      </c>
      <c r="P311" t="s">
        <v>40</v>
      </c>
      <c r="Q311">
        <v>3</v>
      </c>
      <c r="R311" s="2">
        <v>45027</v>
      </c>
      <c r="S311">
        <v>5</v>
      </c>
      <c r="T311">
        <v>3</v>
      </c>
      <c r="U311">
        <v>1</v>
      </c>
      <c r="V311" s="1">
        <v>44961</v>
      </c>
      <c r="W311" t="s">
        <v>41</v>
      </c>
      <c r="X311" t="s">
        <v>42</v>
      </c>
      <c r="Y311" t="s">
        <v>73</v>
      </c>
      <c r="Z311">
        <v>5</v>
      </c>
      <c r="AA311">
        <v>569.41999999999996</v>
      </c>
      <c r="AB311">
        <v>21</v>
      </c>
    </row>
    <row r="312" spans="1:28" x14ac:dyDescent="0.2">
      <c r="A312">
        <v>3775</v>
      </c>
      <c r="B312" s="1">
        <v>44390</v>
      </c>
      <c r="C312" t="s">
        <v>28</v>
      </c>
      <c r="D312" t="s">
        <v>69</v>
      </c>
      <c r="E312" t="s">
        <v>30</v>
      </c>
      <c r="F312" t="s">
        <v>31</v>
      </c>
      <c r="G312" t="s">
        <v>56</v>
      </c>
      <c r="H312" t="s">
        <v>46</v>
      </c>
      <c r="I312" t="s">
        <v>34</v>
      </c>
      <c r="J312" t="s">
        <v>70</v>
      </c>
      <c r="K312" s="2">
        <v>29509</v>
      </c>
      <c r="L312" t="s">
        <v>36</v>
      </c>
      <c r="M312" t="s">
        <v>48</v>
      </c>
      <c r="N312" t="s">
        <v>60</v>
      </c>
      <c r="O312" t="s">
        <v>39</v>
      </c>
      <c r="P312" t="s">
        <v>40</v>
      </c>
      <c r="Q312">
        <v>3</v>
      </c>
      <c r="R312" s="2">
        <v>45031</v>
      </c>
      <c r="S312">
        <v>2</v>
      </c>
      <c r="T312">
        <v>1</v>
      </c>
      <c r="U312">
        <v>3</v>
      </c>
      <c r="V312" s="1">
        <v>44879</v>
      </c>
      <c r="W312" t="s">
        <v>50</v>
      </c>
      <c r="X312" t="s">
        <v>42</v>
      </c>
      <c r="Y312" t="s">
        <v>63</v>
      </c>
      <c r="Z312">
        <v>1</v>
      </c>
      <c r="AA312">
        <v>172.82</v>
      </c>
      <c r="AB312">
        <v>41</v>
      </c>
    </row>
    <row r="313" spans="1:28" x14ac:dyDescent="0.2">
      <c r="A313">
        <v>3776</v>
      </c>
      <c r="B313" s="1">
        <v>44483</v>
      </c>
      <c r="C313" t="s">
        <v>28</v>
      </c>
      <c r="D313" t="s">
        <v>74</v>
      </c>
      <c r="E313" t="s">
        <v>30</v>
      </c>
      <c r="F313" t="s">
        <v>31</v>
      </c>
      <c r="G313" t="s">
        <v>45</v>
      </c>
      <c r="H313" t="s">
        <v>55</v>
      </c>
      <c r="I313" t="s">
        <v>34</v>
      </c>
      <c r="J313" t="s">
        <v>75</v>
      </c>
      <c r="K313" s="2">
        <v>29339</v>
      </c>
      <c r="L313" t="s">
        <v>36</v>
      </c>
      <c r="M313" t="s">
        <v>48</v>
      </c>
      <c r="N313" t="s">
        <v>72</v>
      </c>
      <c r="O313" t="s">
        <v>67</v>
      </c>
      <c r="P313" t="s">
        <v>40</v>
      </c>
      <c r="Q313">
        <v>3</v>
      </c>
      <c r="R313" s="2">
        <v>44908</v>
      </c>
      <c r="S313">
        <v>4</v>
      </c>
      <c r="T313">
        <v>1</v>
      </c>
      <c r="U313">
        <v>5</v>
      </c>
      <c r="V313" s="1">
        <v>44962</v>
      </c>
      <c r="W313" t="s">
        <v>62</v>
      </c>
      <c r="X313" t="s">
        <v>42</v>
      </c>
      <c r="Y313" t="s">
        <v>63</v>
      </c>
      <c r="Z313">
        <v>4</v>
      </c>
      <c r="AA313">
        <v>585.84</v>
      </c>
      <c r="AB313">
        <v>41</v>
      </c>
    </row>
    <row r="314" spans="1:28" x14ac:dyDescent="0.2">
      <c r="A314">
        <v>3777</v>
      </c>
      <c r="B314" s="1">
        <v>44509</v>
      </c>
      <c r="C314" t="s">
        <v>28</v>
      </c>
      <c r="D314" t="s">
        <v>64</v>
      </c>
      <c r="E314" t="s">
        <v>30</v>
      </c>
      <c r="F314" t="s">
        <v>31</v>
      </c>
      <c r="G314" t="s">
        <v>32</v>
      </c>
      <c r="H314" t="s">
        <v>33</v>
      </c>
      <c r="I314" t="s">
        <v>34</v>
      </c>
      <c r="J314" t="s">
        <v>47</v>
      </c>
      <c r="K314" s="2">
        <v>24187</v>
      </c>
      <c r="L314" t="s">
        <v>36</v>
      </c>
      <c r="M314" t="s">
        <v>48</v>
      </c>
      <c r="N314" t="s">
        <v>72</v>
      </c>
      <c r="O314" t="s">
        <v>61</v>
      </c>
      <c r="P314" t="s">
        <v>40</v>
      </c>
      <c r="Q314">
        <v>3</v>
      </c>
      <c r="R314" s="2">
        <v>44862</v>
      </c>
      <c r="S314">
        <v>4</v>
      </c>
      <c r="T314">
        <v>3</v>
      </c>
      <c r="U314">
        <v>2</v>
      </c>
      <c r="V314" s="1">
        <v>44847</v>
      </c>
      <c r="W314" t="s">
        <v>62</v>
      </c>
      <c r="X314" t="s">
        <v>51</v>
      </c>
      <c r="Y314" t="s">
        <v>63</v>
      </c>
      <c r="Z314">
        <v>1</v>
      </c>
      <c r="AA314">
        <v>759.38</v>
      </c>
      <c r="AB314">
        <v>55</v>
      </c>
    </row>
    <row r="315" spans="1:28" x14ac:dyDescent="0.2">
      <c r="A315">
        <v>3778</v>
      </c>
      <c r="B315" s="1">
        <v>45018</v>
      </c>
      <c r="C315" t="s">
        <v>28</v>
      </c>
      <c r="D315" t="s">
        <v>85</v>
      </c>
      <c r="E315" t="s">
        <v>30</v>
      </c>
      <c r="F315" t="s">
        <v>55</v>
      </c>
      <c r="G315" t="s">
        <v>45</v>
      </c>
      <c r="H315" t="s">
        <v>55</v>
      </c>
      <c r="I315" t="s">
        <v>34</v>
      </c>
      <c r="J315" t="s">
        <v>101</v>
      </c>
      <c r="K315" s="2">
        <v>33643</v>
      </c>
      <c r="L315" t="s">
        <v>36</v>
      </c>
      <c r="M315" t="s">
        <v>48</v>
      </c>
      <c r="N315" t="s">
        <v>60</v>
      </c>
      <c r="O315" t="s">
        <v>67</v>
      </c>
      <c r="P315" t="s">
        <v>40</v>
      </c>
      <c r="Q315">
        <v>3</v>
      </c>
      <c r="R315" s="2">
        <v>44963</v>
      </c>
      <c r="S315">
        <v>1</v>
      </c>
      <c r="T315">
        <v>5</v>
      </c>
      <c r="U315">
        <v>3</v>
      </c>
      <c r="V315" s="1">
        <v>44817</v>
      </c>
      <c r="W315" t="s">
        <v>50</v>
      </c>
      <c r="X315" t="s">
        <v>42</v>
      </c>
      <c r="Y315" t="s">
        <v>63</v>
      </c>
      <c r="Z315">
        <v>5</v>
      </c>
      <c r="AA315">
        <v>341.74</v>
      </c>
      <c r="AB315">
        <v>31</v>
      </c>
    </row>
    <row r="316" spans="1:28" x14ac:dyDescent="0.2">
      <c r="A316">
        <v>3782</v>
      </c>
      <c r="B316" s="1">
        <v>43533</v>
      </c>
      <c r="C316" t="s">
        <v>28</v>
      </c>
      <c r="D316" t="s">
        <v>87</v>
      </c>
      <c r="E316" t="s">
        <v>108</v>
      </c>
      <c r="F316" t="s">
        <v>55</v>
      </c>
      <c r="G316" t="s">
        <v>56</v>
      </c>
      <c r="H316" t="s">
        <v>33</v>
      </c>
      <c r="I316" t="s">
        <v>34</v>
      </c>
      <c r="J316" t="s">
        <v>70</v>
      </c>
      <c r="K316" s="2">
        <v>30950</v>
      </c>
      <c r="L316" t="s">
        <v>36</v>
      </c>
      <c r="M316" t="s">
        <v>48</v>
      </c>
      <c r="N316" t="s">
        <v>84</v>
      </c>
      <c r="O316" t="s">
        <v>39</v>
      </c>
      <c r="P316" t="s">
        <v>40</v>
      </c>
      <c r="Q316">
        <v>3</v>
      </c>
      <c r="R316" s="2">
        <v>45126</v>
      </c>
      <c r="S316">
        <v>1</v>
      </c>
      <c r="T316">
        <v>5</v>
      </c>
      <c r="U316">
        <v>1</v>
      </c>
      <c r="V316" s="1">
        <v>44906</v>
      </c>
      <c r="W316" t="s">
        <v>68</v>
      </c>
      <c r="X316" t="s">
        <v>42</v>
      </c>
      <c r="Y316" t="s">
        <v>73</v>
      </c>
      <c r="Z316">
        <v>5</v>
      </c>
      <c r="AA316">
        <v>506.4</v>
      </c>
      <c r="AB316">
        <v>35</v>
      </c>
    </row>
    <row r="317" spans="1:28" x14ac:dyDescent="0.2">
      <c r="A317">
        <v>3783</v>
      </c>
      <c r="B317" s="1">
        <v>43960</v>
      </c>
      <c r="C317" t="s">
        <v>28</v>
      </c>
      <c r="D317" t="s">
        <v>44</v>
      </c>
      <c r="E317" t="s">
        <v>30</v>
      </c>
      <c r="F317" t="s">
        <v>31</v>
      </c>
      <c r="G317" t="s">
        <v>45</v>
      </c>
      <c r="H317" t="s">
        <v>55</v>
      </c>
      <c r="I317" t="s">
        <v>34</v>
      </c>
      <c r="J317" t="s">
        <v>97</v>
      </c>
      <c r="K317" s="2">
        <v>22747</v>
      </c>
      <c r="L317" t="s">
        <v>36</v>
      </c>
      <c r="M317" t="s">
        <v>48</v>
      </c>
      <c r="N317" t="s">
        <v>84</v>
      </c>
      <c r="O317" t="s">
        <v>77</v>
      </c>
      <c r="P317" t="s">
        <v>40</v>
      </c>
      <c r="Q317">
        <v>3</v>
      </c>
      <c r="R317" s="2">
        <v>44992</v>
      </c>
      <c r="S317">
        <v>3</v>
      </c>
      <c r="T317">
        <v>4</v>
      </c>
      <c r="U317">
        <v>3</v>
      </c>
      <c r="V317" s="1">
        <v>44951</v>
      </c>
      <c r="W317" t="s">
        <v>68</v>
      </c>
      <c r="X317" t="s">
        <v>51</v>
      </c>
      <c r="Y317" t="s">
        <v>63</v>
      </c>
      <c r="Z317">
        <v>5</v>
      </c>
      <c r="AA317">
        <v>851.24</v>
      </c>
      <c r="AB317">
        <v>58</v>
      </c>
    </row>
    <row r="318" spans="1:28" x14ac:dyDescent="0.2">
      <c r="A318">
        <v>3784</v>
      </c>
      <c r="B318" s="1">
        <v>44787</v>
      </c>
      <c r="C318" t="s">
        <v>28</v>
      </c>
      <c r="D318" t="s">
        <v>29</v>
      </c>
      <c r="E318" t="s">
        <v>30</v>
      </c>
      <c r="F318" t="s">
        <v>31</v>
      </c>
      <c r="G318" t="s">
        <v>45</v>
      </c>
      <c r="H318" t="s">
        <v>33</v>
      </c>
      <c r="I318" t="s">
        <v>34</v>
      </c>
      <c r="J318" t="s">
        <v>89</v>
      </c>
      <c r="K318" s="2">
        <v>35868</v>
      </c>
      <c r="L318" t="s">
        <v>36</v>
      </c>
      <c r="M318" t="s">
        <v>37</v>
      </c>
      <c r="N318" t="s">
        <v>38</v>
      </c>
      <c r="O318" t="s">
        <v>61</v>
      </c>
      <c r="P318" t="s">
        <v>40</v>
      </c>
      <c r="Q318">
        <v>3</v>
      </c>
      <c r="R318" s="2">
        <v>44989</v>
      </c>
      <c r="S318">
        <v>3</v>
      </c>
      <c r="T318">
        <v>3</v>
      </c>
      <c r="U318">
        <v>2</v>
      </c>
      <c r="V318" s="1">
        <v>44846</v>
      </c>
      <c r="W318" t="s">
        <v>92</v>
      </c>
      <c r="X318" t="s">
        <v>42</v>
      </c>
      <c r="Y318" t="s">
        <v>63</v>
      </c>
      <c r="Z318">
        <v>2</v>
      </c>
      <c r="AA318">
        <v>671.12</v>
      </c>
      <c r="AB318">
        <v>24</v>
      </c>
    </row>
    <row r="319" spans="1:28" x14ac:dyDescent="0.2">
      <c r="A319">
        <v>3785</v>
      </c>
      <c r="B319" s="1">
        <v>44579</v>
      </c>
      <c r="C319" t="s">
        <v>106</v>
      </c>
      <c r="D319" t="s">
        <v>54</v>
      </c>
      <c r="E319" t="s">
        <v>30</v>
      </c>
      <c r="F319" t="s">
        <v>31</v>
      </c>
      <c r="G319" t="s">
        <v>32</v>
      </c>
      <c r="H319" t="s">
        <v>33</v>
      </c>
      <c r="I319" t="s">
        <v>34</v>
      </c>
      <c r="J319" t="s">
        <v>96</v>
      </c>
      <c r="K319" s="2">
        <v>28418</v>
      </c>
      <c r="L319" t="s">
        <v>36</v>
      </c>
      <c r="M319" t="s">
        <v>37</v>
      </c>
      <c r="N319" t="s">
        <v>72</v>
      </c>
      <c r="O319" t="s">
        <v>77</v>
      </c>
      <c r="P319" t="s">
        <v>40</v>
      </c>
      <c r="Q319">
        <v>3</v>
      </c>
      <c r="R319" s="2">
        <v>45051</v>
      </c>
      <c r="S319">
        <v>3</v>
      </c>
      <c r="T319">
        <v>2</v>
      </c>
      <c r="U319">
        <v>2</v>
      </c>
      <c r="V319" s="1">
        <v>44835</v>
      </c>
      <c r="W319" t="s">
        <v>62</v>
      </c>
      <c r="X319" t="s">
        <v>51</v>
      </c>
      <c r="Y319" t="s">
        <v>73</v>
      </c>
      <c r="Z319">
        <v>1</v>
      </c>
      <c r="AA319">
        <v>257.8</v>
      </c>
      <c r="AB319">
        <v>45</v>
      </c>
    </row>
    <row r="320" spans="1:28" x14ac:dyDescent="0.2">
      <c r="A320">
        <v>3786</v>
      </c>
      <c r="B320" s="1">
        <v>44369</v>
      </c>
      <c r="C320" t="s">
        <v>106</v>
      </c>
      <c r="D320" t="s">
        <v>94</v>
      </c>
      <c r="E320" t="s">
        <v>108</v>
      </c>
      <c r="F320" t="s">
        <v>55</v>
      </c>
      <c r="G320" t="s">
        <v>45</v>
      </c>
      <c r="H320" t="s">
        <v>46</v>
      </c>
      <c r="I320" t="s">
        <v>34</v>
      </c>
      <c r="J320" t="s">
        <v>70</v>
      </c>
      <c r="K320" s="2">
        <v>22807</v>
      </c>
      <c r="L320" t="s">
        <v>36</v>
      </c>
      <c r="M320" t="s">
        <v>37</v>
      </c>
      <c r="N320" t="s">
        <v>72</v>
      </c>
      <c r="O320" t="s">
        <v>77</v>
      </c>
      <c r="P320" t="s">
        <v>40</v>
      </c>
      <c r="Q320">
        <v>3</v>
      </c>
      <c r="R320" s="2">
        <v>44924</v>
      </c>
      <c r="S320">
        <v>3</v>
      </c>
      <c r="T320">
        <v>4</v>
      </c>
      <c r="U320">
        <v>2</v>
      </c>
      <c r="V320" s="1">
        <v>45033</v>
      </c>
      <c r="W320" t="s">
        <v>41</v>
      </c>
      <c r="X320" t="s">
        <v>51</v>
      </c>
      <c r="Y320" t="s">
        <v>43</v>
      </c>
      <c r="Z320">
        <v>4</v>
      </c>
      <c r="AA320">
        <v>280.06</v>
      </c>
      <c r="AB320">
        <v>59</v>
      </c>
    </row>
    <row r="321" spans="1:28" x14ac:dyDescent="0.2">
      <c r="A321">
        <v>3787</v>
      </c>
      <c r="B321" s="1">
        <v>44945</v>
      </c>
      <c r="C321" t="s">
        <v>106</v>
      </c>
      <c r="D321" t="s">
        <v>85</v>
      </c>
      <c r="E321" t="s">
        <v>108</v>
      </c>
      <c r="F321" t="s">
        <v>55</v>
      </c>
      <c r="G321" t="s">
        <v>32</v>
      </c>
      <c r="H321" t="s">
        <v>46</v>
      </c>
      <c r="I321" t="s">
        <v>34</v>
      </c>
      <c r="J321" t="s">
        <v>58</v>
      </c>
      <c r="K321" s="2">
        <v>26540</v>
      </c>
      <c r="L321" t="s">
        <v>36</v>
      </c>
      <c r="M321" t="s">
        <v>37</v>
      </c>
      <c r="N321" t="s">
        <v>38</v>
      </c>
      <c r="O321" t="s">
        <v>39</v>
      </c>
      <c r="P321" t="s">
        <v>40</v>
      </c>
      <c r="Q321">
        <v>3</v>
      </c>
      <c r="R321" s="2">
        <v>44991</v>
      </c>
      <c r="S321">
        <v>1</v>
      </c>
      <c r="T321">
        <v>2</v>
      </c>
      <c r="U321">
        <v>1</v>
      </c>
      <c r="V321" s="1">
        <v>45042</v>
      </c>
      <c r="W321" t="s">
        <v>62</v>
      </c>
      <c r="X321" t="s">
        <v>51</v>
      </c>
      <c r="Y321" t="s">
        <v>73</v>
      </c>
      <c r="Z321">
        <v>4</v>
      </c>
      <c r="AA321">
        <v>140.03</v>
      </c>
      <c r="AB321">
        <v>51</v>
      </c>
    </row>
    <row r="322" spans="1:28" x14ac:dyDescent="0.2">
      <c r="A322">
        <v>3788</v>
      </c>
      <c r="B322" s="1">
        <v>45063</v>
      </c>
      <c r="C322" t="s">
        <v>106</v>
      </c>
      <c r="D322" t="s">
        <v>64</v>
      </c>
      <c r="E322" t="s">
        <v>108</v>
      </c>
      <c r="F322" t="s">
        <v>46</v>
      </c>
      <c r="G322" t="s">
        <v>45</v>
      </c>
      <c r="H322" t="s">
        <v>55</v>
      </c>
      <c r="I322" t="s">
        <v>34</v>
      </c>
      <c r="J322" t="s">
        <v>70</v>
      </c>
      <c r="K322" s="2">
        <v>28009</v>
      </c>
      <c r="L322" t="s">
        <v>36</v>
      </c>
      <c r="M322" t="s">
        <v>37</v>
      </c>
      <c r="N322" t="s">
        <v>72</v>
      </c>
      <c r="O322" t="s">
        <v>67</v>
      </c>
      <c r="P322" t="s">
        <v>40</v>
      </c>
      <c r="Q322">
        <v>3</v>
      </c>
      <c r="R322" s="2">
        <v>45051</v>
      </c>
      <c r="S322">
        <v>3</v>
      </c>
      <c r="T322">
        <v>4</v>
      </c>
      <c r="U322">
        <v>2</v>
      </c>
      <c r="V322" s="1">
        <v>45006</v>
      </c>
      <c r="W322" t="s">
        <v>50</v>
      </c>
      <c r="X322" t="s">
        <v>51</v>
      </c>
      <c r="Y322" t="s">
        <v>63</v>
      </c>
      <c r="Z322">
        <v>2</v>
      </c>
      <c r="AA322">
        <v>796.95</v>
      </c>
      <c r="AB322">
        <v>47</v>
      </c>
    </row>
    <row r="323" spans="1:28" x14ac:dyDescent="0.2">
      <c r="A323">
        <v>3789</v>
      </c>
      <c r="B323" s="1">
        <v>43989</v>
      </c>
      <c r="C323" t="s">
        <v>106</v>
      </c>
      <c r="D323" t="s">
        <v>74</v>
      </c>
      <c r="E323" t="s">
        <v>30</v>
      </c>
      <c r="F323" t="s">
        <v>31</v>
      </c>
      <c r="G323" t="s">
        <v>45</v>
      </c>
      <c r="H323" t="s">
        <v>46</v>
      </c>
      <c r="I323" t="s">
        <v>34</v>
      </c>
      <c r="J323" t="s">
        <v>101</v>
      </c>
      <c r="K323" s="2">
        <v>28270</v>
      </c>
      <c r="L323" t="s">
        <v>36</v>
      </c>
      <c r="M323" t="s">
        <v>37</v>
      </c>
      <c r="N323" t="s">
        <v>60</v>
      </c>
      <c r="O323" t="s">
        <v>39</v>
      </c>
      <c r="P323" t="s">
        <v>40</v>
      </c>
      <c r="Q323">
        <v>3</v>
      </c>
      <c r="R323" s="2">
        <v>44829</v>
      </c>
      <c r="S323">
        <v>3</v>
      </c>
      <c r="T323">
        <v>1</v>
      </c>
      <c r="U323">
        <v>4</v>
      </c>
      <c r="V323" s="1">
        <v>44860</v>
      </c>
      <c r="W323" t="s">
        <v>68</v>
      </c>
      <c r="X323" t="s">
        <v>51</v>
      </c>
      <c r="Y323" t="s">
        <v>52</v>
      </c>
      <c r="Z323">
        <v>1</v>
      </c>
      <c r="AA323">
        <v>997.38</v>
      </c>
      <c r="AB323">
        <v>43</v>
      </c>
    </row>
    <row r="324" spans="1:28" x14ac:dyDescent="0.2">
      <c r="A324">
        <v>3790</v>
      </c>
      <c r="B324" s="1">
        <v>45114</v>
      </c>
      <c r="C324" t="s">
        <v>106</v>
      </c>
      <c r="D324" t="s">
        <v>94</v>
      </c>
      <c r="E324" t="s">
        <v>30</v>
      </c>
      <c r="F324" t="s">
        <v>55</v>
      </c>
      <c r="G324" t="s">
        <v>45</v>
      </c>
      <c r="H324" t="s">
        <v>33</v>
      </c>
      <c r="I324" t="s">
        <v>34</v>
      </c>
      <c r="J324" t="s">
        <v>105</v>
      </c>
      <c r="K324" s="2">
        <v>22991</v>
      </c>
      <c r="L324" t="s">
        <v>36</v>
      </c>
      <c r="M324" t="s">
        <v>37</v>
      </c>
      <c r="N324" t="s">
        <v>49</v>
      </c>
      <c r="O324" t="s">
        <v>61</v>
      </c>
      <c r="P324" t="s">
        <v>40</v>
      </c>
      <c r="Q324">
        <v>3</v>
      </c>
      <c r="R324" s="2">
        <v>45138</v>
      </c>
      <c r="S324">
        <v>3</v>
      </c>
      <c r="T324">
        <v>2</v>
      </c>
      <c r="U324">
        <v>1</v>
      </c>
      <c r="V324" s="1">
        <v>45003</v>
      </c>
      <c r="W324" t="s">
        <v>92</v>
      </c>
      <c r="X324" t="s">
        <v>51</v>
      </c>
      <c r="Y324" t="s">
        <v>63</v>
      </c>
      <c r="Z324">
        <v>2</v>
      </c>
      <c r="AA324">
        <v>676.95</v>
      </c>
      <c r="AB324">
        <v>61</v>
      </c>
    </row>
    <row r="325" spans="1:28" x14ac:dyDescent="0.2">
      <c r="A325">
        <v>3791</v>
      </c>
      <c r="B325" s="1">
        <v>43918</v>
      </c>
      <c r="C325" t="s">
        <v>28</v>
      </c>
      <c r="D325" t="s">
        <v>74</v>
      </c>
      <c r="E325" t="s">
        <v>30</v>
      </c>
      <c r="F325" t="s">
        <v>55</v>
      </c>
      <c r="G325" t="s">
        <v>56</v>
      </c>
      <c r="H325" t="s">
        <v>55</v>
      </c>
      <c r="I325" t="s">
        <v>34</v>
      </c>
      <c r="J325" t="s">
        <v>35</v>
      </c>
      <c r="K325" s="2">
        <v>28523</v>
      </c>
      <c r="L325" t="s">
        <v>36</v>
      </c>
      <c r="M325" t="s">
        <v>37</v>
      </c>
      <c r="N325" t="s">
        <v>84</v>
      </c>
      <c r="O325" t="s">
        <v>77</v>
      </c>
      <c r="P325" t="s">
        <v>40</v>
      </c>
      <c r="Q325">
        <v>3</v>
      </c>
      <c r="R325" s="2">
        <v>44811</v>
      </c>
      <c r="S325">
        <v>4</v>
      </c>
      <c r="T325">
        <v>1</v>
      </c>
      <c r="U325">
        <v>1</v>
      </c>
      <c r="V325" s="1">
        <v>44969</v>
      </c>
      <c r="W325" t="s">
        <v>41</v>
      </c>
      <c r="X325" t="s">
        <v>51</v>
      </c>
      <c r="Y325" t="s">
        <v>43</v>
      </c>
      <c r="Z325">
        <v>2</v>
      </c>
      <c r="AA325">
        <v>348.89</v>
      </c>
      <c r="AB325">
        <v>42</v>
      </c>
    </row>
    <row r="326" spans="1:28" x14ac:dyDescent="0.2">
      <c r="A326">
        <v>3792</v>
      </c>
      <c r="B326" s="1">
        <v>43608</v>
      </c>
      <c r="C326" t="s">
        <v>28</v>
      </c>
      <c r="D326" t="s">
        <v>81</v>
      </c>
      <c r="E326" t="s">
        <v>30</v>
      </c>
      <c r="F326" t="s">
        <v>46</v>
      </c>
      <c r="G326" t="s">
        <v>32</v>
      </c>
      <c r="H326" t="s">
        <v>55</v>
      </c>
      <c r="I326" t="s">
        <v>34</v>
      </c>
      <c r="J326" t="s">
        <v>79</v>
      </c>
      <c r="K326" s="2">
        <v>35954</v>
      </c>
      <c r="L326" t="s">
        <v>36</v>
      </c>
      <c r="M326" t="s">
        <v>48</v>
      </c>
      <c r="N326" t="s">
        <v>38</v>
      </c>
      <c r="O326" t="s">
        <v>67</v>
      </c>
      <c r="P326" t="s">
        <v>40</v>
      </c>
      <c r="Q326">
        <v>3</v>
      </c>
      <c r="R326" s="2">
        <v>44829</v>
      </c>
      <c r="S326">
        <v>2</v>
      </c>
      <c r="T326">
        <v>2</v>
      </c>
      <c r="U326">
        <v>2</v>
      </c>
      <c r="V326" s="1">
        <v>44813</v>
      </c>
      <c r="W326" t="s">
        <v>62</v>
      </c>
      <c r="X326" t="s">
        <v>51</v>
      </c>
      <c r="Y326" t="s">
        <v>73</v>
      </c>
      <c r="Z326">
        <v>1</v>
      </c>
      <c r="AA326">
        <v>385.62</v>
      </c>
      <c r="AB326">
        <v>21</v>
      </c>
    </row>
    <row r="327" spans="1:28" x14ac:dyDescent="0.2">
      <c r="A327">
        <v>3793</v>
      </c>
      <c r="B327" s="1">
        <v>43575</v>
      </c>
      <c r="C327" t="s">
        <v>28</v>
      </c>
      <c r="D327" t="s">
        <v>54</v>
      </c>
      <c r="E327" t="s">
        <v>30</v>
      </c>
      <c r="F327" t="s">
        <v>55</v>
      </c>
      <c r="G327" t="s">
        <v>56</v>
      </c>
      <c r="H327" t="s">
        <v>55</v>
      </c>
      <c r="I327" t="s">
        <v>34</v>
      </c>
      <c r="J327" t="s">
        <v>65</v>
      </c>
      <c r="K327" s="2">
        <v>19008</v>
      </c>
      <c r="L327" t="s">
        <v>36</v>
      </c>
      <c r="M327" t="s">
        <v>48</v>
      </c>
      <c r="N327" t="s">
        <v>84</v>
      </c>
      <c r="O327" t="s">
        <v>67</v>
      </c>
      <c r="P327" t="s">
        <v>40</v>
      </c>
      <c r="Q327">
        <v>3</v>
      </c>
      <c r="R327" s="2">
        <v>45061</v>
      </c>
      <c r="S327">
        <v>2</v>
      </c>
      <c r="T327">
        <v>3</v>
      </c>
      <c r="U327">
        <v>3</v>
      </c>
      <c r="V327" s="1">
        <v>44889</v>
      </c>
      <c r="W327" t="s">
        <v>62</v>
      </c>
      <c r="X327" t="s">
        <v>42</v>
      </c>
      <c r="Y327" t="s">
        <v>63</v>
      </c>
      <c r="Z327">
        <v>2</v>
      </c>
      <c r="AA327">
        <v>552.66999999999996</v>
      </c>
      <c r="AB327">
        <v>67</v>
      </c>
    </row>
    <row r="328" spans="1:28" x14ac:dyDescent="0.2">
      <c r="A328">
        <v>3794</v>
      </c>
      <c r="B328" s="1">
        <v>43352</v>
      </c>
      <c r="C328" t="s">
        <v>28</v>
      </c>
      <c r="D328" t="s">
        <v>69</v>
      </c>
      <c r="E328" t="s">
        <v>30</v>
      </c>
      <c r="F328" t="s">
        <v>31</v>
      </c>
      <c r="G328" t="s">
        <v>45</v>
      </c>
      <c r="H328" t="s">
        <v>55</v>
      </c>
      <c r="I328" t="s">
        <v>34</v>
      </c>
      <c r="J328" t="s">
        <v>65</v>
      </c>
      <c r="K328" s="2">
        <v>35084</v>
      </c>
      <c r="L328" t="s">
        <v>36</v>
      </c>
      <c r="M328" t="s">
        <v>48</v>
      </c>
      <c r="N328" t="s">
        <v>84</v>
      </c>
      <c r="O328" t="s">
        <v>39</v>
      </c>
      <c r="P328" t="s">
        <v>40</v>
      </c>
      <c r="Q328">
        <v>5</v>
      </c>
      <c r="R328" s="2">
        <v>44900</v>
      </c>
      <c r="S328">
        <v>1</v>
      </c>
      <c r="T328">
        <v>1</v>
      </c>
      <c r="U328">
        <v>3</v>
      </c>
      <c r="V328" s="1">
        <v>45033</v>
      </c>
      <c r="W328" t="s">
        <v>92</v>
      </c>
      <c r="X328" t="s">
        <v>51</v>
      </c>
      <c r="Y328" t="s">
        <v>43</v>
      </c>
      <c r="Z328">
        <v>2</v>
      </c>
      <c r="AA328">
        <v>645.11</v>
      </c>
      <c r="AB328">
        <v>22</v>
      </c>
    </row>
    <row r="329" spans="1:28" x14ac:dyDescent="0.2">
      <c r="A329">
        <v>3795</v>
      </c>
      <c r="B329" s="1">
        <v>44756</v>
      </c>
      <c r="C329" t="s">
        <v>28</v>
      </c>
      <c r="D329" t="s">
        <v>29</v>
      </c>
      <c r="E329" t="s">
        <v>30</v>
      </c>
      <c r="F329" t="s">
        <v>46</v>
      </c>
      <c r="G329" t="s">
        <v>45</v>
      </c>
      <c r="H329" t="s">
        <v>46</v>
      </c>
      <c r="I329" t="s">
        <v>34</v>
      </c>
      <c r="J329" t="s">
        <v>58</v>
      </c>
      <c r="K329" s="2">
        <v>32721</v>
      </c>
      <c r="L329" t="s">
        <v>36</v>
      </c>
      <c r="M329" t="s">
        <v>48</v>
      </c>
      <c r="N329" t="s">
        <v>38</v>
      </c>
      <c r="O329" t="s">
        <v>77</v>
      </c>
      <c r="P329" t="s">
        <v>78</v>
      </c>
      <c r="Q329">
        <v>3</v>
      </c>
      <c r="R329" s="2">
        <v>44833</v>
      </c>
      <c r="S329">
        <v>4</v>
      </c>
      <c r="T329">
        <v>3</v>
      </c>
      <c r="U329">
        <v>2</v>
      </c>
      <c r="V329" s="1">
        <v>44951</v>
      </c>
      <c r="W329" t="s">
        <v>62</v>
      </c>
      <c r="X329" t="s">
        <v>51</v>
      </c>
      <c r="Y329" t="s">
        <v>73</v>
      </c>
      <c r="Z329">
        <v>1</v>
      </c>
      <c r="AA329">
        <v>954.02</v>
      </c>
      <c r="AB329">
        <v>33</v>
      </c>
    </row>
    <row r="330" spans="1:28" x14ac:dyDescent="0.2">
      <c r="A330">
        <v>3796</v>
      </c>
      <c r="B330" s="1">
        <v>43572</v>
      </c>
      <c r="C330" t="s">
        <v>28</v>
      </c>
      <c r="D330" t="s">
        <v>85</v>
      </c>
      <c r="E330" t="s">
        <v>30</v>
      </c>
      <c r="F330" t="s">
        <v>31</v>
      </c>
      <c r="G330" t="s">
        <v>45</v>
      </c>
      <c r="H330" t="s">
        <v>46</v>
      </c>
      <c r="I330" t="s">
        <v>34</v>
      </c>
      <c r="J330" t="s">
        <v>65</v>
      </c>
      <c r="K330" s="2">
        <v>23616</v>
      </c>
      <c r="L330" t="s">
        <v>36</v>
      </c>
      <c r="M330" t="s">
        <v>37</v>
      </c>
      <c r="N330" t="s">
        <v>49</v>
      </c>
      <c r="O330" t="s">
        <v>67</v>
      </c>
      <c r="P330" t="s">
        <v>78</v>
      </c>
      <c r="Q330">
        <v>3</v>
      </c>
      <c r="R330" s="2">
        <v>45105</v>
      </c>
      <c r="S330">
        <v>1</v>
      </c>
      <c r="T330">
        <v>5</v>
      </c>
      <c r="U330">
        <v>2</v>
      </c>
      <c r="V330" s="1">
        <v>45110</v>
      </c>
      <c r="W330" t="s">
        <v>68</v>
      </c>
      <c r="X330" t="s">
        <v>51</v>
      </c>
      <c r="Y330" t="s">
        <v>52</v>
      </c>
      <c r="Z330">
        <v>5</v>
      </c>
      <c r="AA330">
        <v>255.74</v>
      </c>
      <c r="AB330">
        <v>55</v>
      </c>
    </row>
    <row r="331" spans="1:28" x14ac:dyDescent="0.2">
      <c r="A331">
        <v>3797</v>
      </c>
      <c r="B331" s="1">
        <v>43966</v>
      </c>
      <c r="C331" t="s">
        <v>28</v>
      </c>
      <c r="D331" t="s">
        <v>44</v>
      </c>
      <c r="E331" t="s">
        <v>30</v>
      </c>
      <c r="F331" t="s">
        <v>31</v>
      </c>
      <c r="G331" t="s">
        <v>45</v>
      </c>
      <c r="H331" t="s">
        <v>55</v>
      </c>
      <c r="I331" t="s">
        <v>34</v>
      </c>
      <c r="J331" t="s">
        <v>102</v>
      </c>
      <c r="K331" s="2">
        <v>27571</v>
      </c>
      <c r="L331" t="s">
        <v>36</v>
      </c>
      <c r="M331" t="s">
        <v>37</v>
      </c>
      <c r="N331" t="s">
        <v>72</v>
      </c>
      <c r="O331" t="s">
        <v>67</v>
      </c>
      <c r="P331" t="s">
        <v>40</v>
      </c>
      <c r="Q331">
        <v>3</v>
      </c>
      <c r="R331" s="2">
        <v>44807</v>
      </c>
      <c r="S331">
        <v>3</v>
      </c>
      <c r="T331">
        <v>4</v>
      </c>
      <c r="U331">
        <v>2</v>
      </c>
      <c r="V331" s="1">
        <v>44994</v>
      </c>
      <c r="W331" t="s">
        <v>68</v>
      </c>
      <c r="X331" t="s">
        <v>51</v>
      </c>
      <c r="Y331" t="s">
        <v>63</v>
      </c>
      <c r="Z331">
        <v>2</v>
      </c>
      <c r="AA331">
        <v>279.38</v>
      </c>
      <c r="AB331">
        <v>45</v>
      </c>
    </row>
    <row r="332" spans="1:28" x14ac:dyDescent="0.2">
      <c r="A332">
        <v>3798</v>
      </c>
      <c r="B332" s="1">
        <v>43925</v>
      </c>
      <c r="C332" t="s">
        <v>28</v>
      </c>
      <c r="D332" t="s">
        <v>87</v>
      </c>
      <c r="E332" t="s">
        <v>30</v>
      </c>
      <c r="F332" t="s">
        <v>55</v>
      </c>
      <c r="G332" t="s">
        <v>32</v>
      </c>
      <c r="H332" t="s">
        <v>55</v>
      </c>
      <c r="I332" t="s">
        <v>34</v>
      </c>
      <c r="J332" t="s">
        <v>65</v>
      </c>
      <c r="K332" s="2">
        <v>22636</v>
      </c>
      <c r="L332" t="s">
        <v>36</v>
      </c>
      <c r="M332" t="s">
        <v>48</v>
      </c>
      <c r="N332" t="s">
        <v>60</v>
      </c>
      <c r="O332" t="s">
        <v>39</v>
      </c>
      <c r="P332" t="s">
        <v>40</v>
      </c>
      <c r="Q332">
        <v>3</v>
      </c>
      <c r="R332" s="2">
        <v>44873</v>
      </c>
      <c r="S332">
        <v>1</v>
      </c>
      <c r="T332">
        <v>1</v>
      </c>
      <c r="U332">
        <v>1</v>
      </c>
      <c r="V332" s="1">
        <v>44795</v>
      </c>
      <c r="W332" t="s">
        <v>62</v>
      </c>
      <c r="X332" t="s">
        <v>51</v>
      </c>
      <c r="Y332" t="s">
        <v>73</v>
      </c>
      <c r="Z332">
        <v>5</v>
      </c>
      <c r="AA332">
        <v>303.44</v>
      </c>
      <c r="AB332">
        <v>59</v>
      </c>
    </row>
    <row r="333" spans="1:28" x14ac:dyDescent="0.2">
      <c r="A333">
        <v>3799</v>
      </c>
      <c r="B333" s="1">
        <v>44849</v>
      </c>
      <c r="C333" t="s">
        <v>28</v>
      </c>
      <c r="D333" t="s">
        <v>64</v>
      </c>
      <c r="E333" t="s">
        <v>30</v>
      </c>
      <c r="F333" t="s">
        <v>55</v>
      </c>
      <c r="G333" t="s">
        <v>45</v>
      </c>
      <c r="H333" t="s">
        <v>33</v>
      </c>
      <c r="I333" t="s">
        <v>34</v>
      </c>
      <c r="J333" t="s">
        <v>82</v>
      </c>
      <c r="K333" s="2">
        <v>23705</v>
      </c>
      <c r="L333" t="s">
        <v>36</v>
      </c>
      <c r="M333" t="s">
        <v>48</v>
      </c>
      <c r="N333" t="s">
        <v>49</v>
      </c>
      <c r="O333" t="s">
        <v>61</v>
      </c>
      <c r="P333" t="s">
        <v>78</v>
      </c>
      <c r="Q333">
        <v>3</v>
      </c>
      <c r="R333" s="2">
        <v>44919</v>
      </c>
      <c r="S333">
        <v>3</v>
      </c>
      <c r="T333">
        <v>1</v>
      </c>
      <c r="U333">
        <v>3</v>
      </c>
      <c r="V333" s="1">
        <v>44780</v>
      </c>
      <c r="W333" t="s">
        <v>92</v>
      </c>
      <c r="X333" t="s">
        <v>42</v>
      </c>
      <c r="Y333" t="s">
        <v>52</v>
      </c>
      <c r="Z333">
        <v>4</v>
      </c>
      <c r="AA333">
        <v>809.38</v>
      </c>
      <c r="AB333">
        <v>58</v>
      </c>
    </row>
    <row r="334" spans="1:28" x14ac:dyDescent="0.2">
      <c r="A334">
        <v>3800</v>
      </c>
      <c r="B334" s="1">
        <v>43657</v>
      </c>
      <c r="C334" t="s">
        <v>28</v>
      </c>
      <c r="D334" t="s">
        <v>94</v>
      </c>
      <c r="E334" t="s">
        <v>30</v>
      </c>
      <c r="F334" t="s">
        <v>31</v>
      </c>
      <c r="G334" t="s">
        <v>32</v>
      </c>
      <c r="H334" t="s">
        <v>46</v>
      </c>
      <c r="I334" t="s">
        <v>34</v>
      </c>
      <c r="J334" t="s">
        <v>58</v>
      </c>
      <c r="K334" s="2">
        <v>18606</v>
      </c>
      <c r="L334" t="s">
        <v>36</v>
      </c>
      <c r="M334" t="s">
        <v>48</v>
      </c>
      <c r="N334" t="s">
        <v>60</v>
      </c>
      <c r="O334" t="s">
        <v>67</v>
      </c>
      <c r="P334" t="s">
        <v>40</v>
      </c>
      <c r="Q334">
        <v>3</v>
      </c>
      <c r="R334" s="2">
        <v>44903</v>
      </c>
      <c r="S334">
        <v>5</v>
      </c>
      <c r="T334">
        <v>3</v>
      </c>
      <c r="U334">
        <v>5</v>
      </c>
      <c r="V334" s="1">
        <v>44848</v>
      </c>
      <c r="W334" t="s">
        <v>50</v>
      </c>
      <c r="X334" t="s">
        <v>42</v>
      </c>
      <c r="Y334" t="s">
        <v>63</v>
      </c>
      <c r="Z334">
        <v>4</v>
      </c>
      <c r="AA334">
        <v>886.12</v>
      </c>
      <c r="AB334">
        <v>69</v>
      </c>
    </row>
    <row r="335" spans="1:28" x14ac:dyDescent="0.2">
      <c r="A335">
        <v>3801</v>
      </c>
      <c r="B335" s="1">
        <v>43740</v>
      </c>
      <c r="C335" t="s">
        <v>28</v>
      </c>
      <c r="D335" t="s">
        <v>74</v>
      </c>
      <c r="E335" t="s">
        <v>30</v>
      </c>
      <c r="F335" t="s">
        <v>31</v>
      </c>
      <c r="G335" t="s">
        <v>32</v>
      </c>
      <c r="H335" t="s">
        <v>33</v>
      </c>
      <c r="I335" t="s">
        <v>34</v>
      </c>
      <c r="J335" t="s">
        <v>70</v>
      </c>
      <c r="K335" s="2">
        <v>17550</v>
      </c>
      <c r="L335" t="s">
        <v>36</v>
      </c>
      <c r="M335" t="s">
        <v>37</v>
      </c>
      <c r="N335" t="s">
        <v>49</v>
      </c>
      <c r="O335" t="s">
        <v>61</v>
      </c>
      <c r="P335" t="s">
        <v>40</v>
      </c>
      <c r="Q335">
        <v>3</v>
      </c>
      <c r="R335" s="2">
        <v>44892</v>
      </c>
      <c r="S335">
        <v>2</v>
      </c>
      <c r="T335">
        <v>1</v>
      </c>
      <c r="U335">
        <v>4</v>
      </c>
      <c r="V335" s="1">
        <v>45017</v>
      </c>
      <c r="W335" t="s">
        <v>41</v>
      </c>
      <c r="X335" t="s">
        <v>51</v>
      </c>
      <c r="Y335" t="s">
        <v>52</v>
      </c>
      <c r="Z335">
        <v>2</v>
      </c>
      <c r="AA335">
        <v>125.88</v>
      </c>
      <c r="AB335">
        <v>71</v>
      </c>
    </row>
    <row r="336" spans="1:28" x14ac:dyDescent="0.2">
      <c r="A336">
        <v>3802</v>
      </c>
      <c r="B336" s="1">
        <v>44259</v>
      </c>
      <c r="C336" t="s">
        <v>28</v>
      </c>
      <c r="D336" t="s">
        <v>81</v>
      </c>
      <c r="E336" t="s">
        <v>30</v>
      </c>
      <c r="F336" t="s">
        <v>55</v>
      </c>
      <c r="G336" t="s">
        <v>45</v>
      </c>
      <c r="H336" t="s">
        <v>55</v>
      </c>
      <c r="I336" t="s">
        <v>34</v>
      </c>
      <c r="J336" t="s">
        <v>70</v>
      </c>
      <c r="K336" s="2">
        <v>17254</v>
      </c>
      <c r="L336" t="s">
        <v>36</v>
      </c>
      <c r="M336" t="s">
        <v>48</v>
      </c>
      <c r="N336" t="s">
        <v>38</v>
      </c>
      <c r="O336" t="s">
        <v>77</v>
      </c>
      <c r="P336" t="s">
        <v>40</v>
      </c>
      <c r="Q336">
        <v>3</v>
      </c>
      <c r="R336" s="2">
        <v>44935</v>
      </c>
      <c r="S336">
        <v>3</v>
      </c>
      <c r="T336">
        <v>3</v>
      </c>
      <c r="U336">
        <v>5</v>
      </c>
      <c r="V336" s="1">
        <v>44950</v>
      </c>
      <c r="W336" t="s">
        <v>41</v>
      </c>
      <c r="X336" t="s">
        <v>42</v>
      </c>
      <c r="Y336" t="s">
        <v>73</v>
      </c>
      <c r="Z336">
        <v>1</v>
      </c>
      <c r="AA336">
        <v>493.72</v>
      </c>
      <c r="AB336">
        <v>74</v>
      </c>
    </row>
    <row r="337" spans="1:28" x14ac:dyDescent="0.2">
      <c r="A337">
        <v>3804</v>
      </c>
      <c r="B337" s="1">
        <v>43600</v>
      </c>
      <c r="C337" t="s">
        <v>28</v>
      </c>
      <c r="D337" t="s">
        <v>69</v>
      </c>
      <c r="E337" t="s">
        <v>30</v>
      </c>
      <c r="F337" t="s">
        <v>55</v>
      </c>
      <c r="G337" t="s">
        <v>32</v>
      </c>
      <c r="H337" t="s">
        <v>46</v>
      </c>
      <c r="I337" t="s">
        <v>34</v>
      </c>
      <c r="J337" t="s">
        <v>65</v>
      </c>
      <c r="K337" s="2">
        <v>28759</v>
      </c>
      <c r="L337" t="s">
        <v>36</v>
      </c>
      <c r="M337" t="s">
        <v>37</v>
      </c>
      <c r="N337" t="s">
        <v>49</v>
      </c>
      <c r="O337" t="s">
        <v>61</v>
      </c>
      <c r="P337" t="s">
        <v>40</v>
      </c>
      <c r="Q337">
        <v>3</v>
      </c>
      <c r="R337" s="2">
        <v>44992</v>
      </c>
      <c r="S337">
        <v>3</v>
      </c>
      <c r="T337">
        <v>2</v>
      </c>
      <c r="U337">
        <v>2</v>
      </c>
      <c r="V337" s="1">
        <v>44972</v>
      </c>
      <c r="W337" t="s">
        <v>50</v>
      </c>
      <c r="X337" t="s">
        <v>51</v>
      </c>
      <c r="Y337" t="s">
        <v>52</v>
      </c>
      <c r="Z337">
        <v>4</v>
      </c>
      <c r="AA337">
        <v>414.55</v>
      </c>
      <c r="AB337">
        <v>41</v>
      </c>
    </row>
    <row r="338" spans="1:28" x14ac:dyDescent="0.2">
      <c r="A338">
        <v>3805</v>
      </c>
      <c r="B338" s="1">
        <v>44679</v>
      </c>
      <c r="C338" t="s">
        <v>28</v>
      </c>
      <c r="D338" t="s">
        <v>29</v>
      </c>
      <c r="E338" t="s">
        <v>30</v>
      </c>
      <c r="F338" t="s">
        <v>55</v>
      </c>
      <c r="G338" t="s">
        <v>56</v>
      </c>
      <c r="H338" t="s">
        <v>46</v>
      </c>
      <c r="I338" t="s">
        <v>34</v>
      </c>
      <c r="J338" t="s">
        <v>65</v>
      </c>
      <c r="K338" s="2">
        <v>30064</v>
      </c>
      <c r="L338" t="s">
        <v>36</v>
      </c>
      <c r="M338" t="s">
        <v>48</v>
      </c>
      <c r="N338" t="s">
        <v>60</v>
      </c>
      <c r="O338" t="s">
        <v>77</v>
      </c>
      <c r="P338" t="s">
        <v>40</v>
      </c>
      <c r="Q338">
        <v>3</v>
      </c>
      <c r="R338" s="2">
        <v>44926</v>
      </c>
      <c r="S338">
        <v>2</v>
      </c>
      <c r="T338">
        <v>5</v>
      </c>
      <c r="U338">
        <v>2</v>
      </c>
      <c r="V338" s="1">
        <v>44804</v>
      </c>
      <c r="W338" t="s">
        <v>92</v>
      </c>
      <c r="X338" t="s">
        <v>51</v>
      </c>
      <c r="Y338" t="s">
        <v>52</v>
      </c>
      <c r="Z338">
        <v>1</v>
      </c>
      <c r="AA338">
        <v>391.88</v>
      </c>
      <c r="AB338">
        <v>40</v>
      </c>
    </row>
    <row r="339" spans="1:28" x14ac:dyDescent="0.2">
      <c r="A339">
        <v>3806</v>
      </c>
      <c r="B339" s="1">
        <v>44462</v>
      </c>
      <c r="C339" t="s">
        <v>28</v>
      </c>
      <c r="D339" t="s">
        <v>85</v>
      </c>
      <c r="E339" t="s">
        <v>30</v>
      </c>
      <c r="F339" t="s">
        <v>31</v>
      </c>
      <c r="G339" t="s">
        <v>32</v>
      </c>
      <c r="H339" t="s">
        <v>33</v>
      </c>
      <c r="I339" t="s">
        <v>34</v>
      </c>
      <c r="J339" t="s">
        <v>70</v>
      </c>
      <c r="K339" s="2">
        <v>27273</v>
      </c>
      <c r="L339" t="s">
        <v>36</v>
      </c>
      <c r="M339" t="s">
        <v>48</v>
      </c>
      <c r="N339" t="s">
        <v>60</v>
      </c>
      <c r="O339" t="s">
        <v>67</v>
      </c>
      <c r="P339" t="s">
        <v>40</v>
      </c>
      <c r="Q339">
        <v>3</v>
      </c>
      <c r="R339" s="2">
        <v>44998</v>
      </c>
      <c r="S339">
        <v>4</v>
      </c>
      <c r="T339">
        <v>1</v>
      </c>
      <c r="U339">
        <v>5</v>
      </c>
      <c r="V339" s="1">
        <v>44813</v>
      </c>
      <c r="W339" t="s">
        <v>50</v>
      </c>
      <c r="X339" t="s">
        <v>51</v>
      </c>
      <c r="Y339" t="s">
        <v>73</v>
      </c>
      <c r="Z339">
        <v>4</v>
      </c>
      <c r="AA339">
        <v>600.64</v>
      </c>
      <c r="AB339">
        <v>47</v>
      </c>
    </row>
    <row r="340" spans="1:28" x14ac:dyDescent="0.2">
      <c r="A340">
        <v>3807</v>
      </c>
      <c r="B340" s="1">
        <v>44454</v>
      </c>
      <c r="C340" t="s">
        <v>28</v>
      </c>
      <c r="D340" t="s">
        <v>44</v>
      </c>
      <c r="E340" t="s">
        <v>30</v>
      </c>
      <c r="F340" t="s">
        <v>31</v>
      </c>
      <c r="G340" t="s">
        <v>32</v>
      </c>
      <c r="H340" t="s">
        <v>33</v>
      </c>
      <c r="I340" t="s">
        <v>34</v>
      </c>
      <c r="J340" t="s">
        <v>96</v>
      </c>
      <c r="K340" s="2">
        <v>23513</v>
      </c>
      <c r="L340" t="s">
        <v>36</v>
      </c>
      <c r="M340" t="s">
        <v>48</v>
      </c>
      <c r="N340" t="s">
        <v>84</v>
      </c>
      <c r="O340" t="s">
        <v>61</v>
      </c>
      <c r="P340" t="s">
        <v>40</v>
      </c>
      <c r="Q340">
        <v>3</v>
      </c>
      <c r="R340" s="2">
        <v>44790</v>
      </c>
      <c r="S340">
        <v>4</v>
      </c>
      <c r="T340">
        <v>5</v>
      </c>
      <c r="U340">
        <v>4</v>
      </c>
      <c r="V340" s="1">
        <v>45011</v>
      </c>
      <c r="W340" t="s">
        <v>92</v>
      </c>
      <c r="X340" t="s">
        <v>51</v>
      </c>
      <c r="Y340" t="s">
        <v>73</v>
      </c>
      <c r="Z340">
        <v>1</v>
      </c>
      <c r="AA340">
        <v>997.74</v>
      </c>
      <c r="AB340">
        <v>57</v>
      </c>
    </row>
    <row r="341" spans="1:28" x14ac:dyDescent="0.2">
      <c r="A341">
        <v>3808</v>
      </c>
      <c r="B341" s="1">
        <v>43582</v>
      </c>
      <c r="C341" t="s">
        <v>112</v>
      </c>
      <c r="D341" t="s">
        <v>94</v>
      </c>
      <c r="E341" t="s">
        <v>30</v>
      </c>
      <c r="F341" t="s">
        <v>31</v>
      </c>
      <c r="G341" t="s">
        <v>56</v>
      </c>
      <c r="H341" t="s">
        <v>55</v>
      </c>
      <c r="I341" t="s">
        <v>95</v>
      </c>
      <c r="J341" t="s">
        <v>58</v>
      </c>
      <c r="K341" s="2">
        <v>17548</v>
      </c>
      <c r="L341" t="s">
        <v>36</v>
      </c>
      <c r="M341" t="s">
        <v>37</v>
      </c>
      <c r="N341" t="s">
        <v>38</v>
      </c>
      <c r="O341" t="s">
        <v>39</v>
      </c>
      <c r="P341" t="s">
        <v>40</v>
      </c>
      <c r="Q341">
        <v>3</v>
      </c>
      <c r="R341" s="2">
        <v>44953</v>
      </c>
      <c r="S341">
        <v>5</v>
      </c>
      <c r="T341">
        <v>4</v>
      </c>
      <c r="U341">
        <v>4</v>
      </c>
      <c r="V341" s="1">
        <v>44951</v>
      </c>
      <c r="W341" t="s">
        <v>68</v>
      </c>
      <c r="X341" t="s">
        <v>51</v>
      </c>
      <c r="Y341" t="s">
        <v>73</v>
      </c>
      <c r="Z341">
        <v>4</v>
      </c>
      <c r="AA341">
        <v>254.26</v>
      </c>
      <c r="AB341">
        <v>71</v>
      </c>
    </row>
    <row r="342" spans="1:28" x14ac:dyDescent="0.2">
      <c r="A342">
        <v>3809</v>
      </c>
      <c r="B342" s="1">
        <v>43744</v>
      </c>
      <c r="C342" t="s">
        <v>113</v>
      </c>
      <c r="D342" t="s">
        <v>64</v>
      </c>
      <c r="E342" t="s">
        <v>30</v>
      </c>
      <c r="F342" t="s">
        <v>46</v>
      </c>
      <c r="G342" t="s">
        <v>56</v>
      </c>
      <c r="H342" t="s">
        <v>46</v>
      </c>
      <c r="I342" t="s">
        <v>95</v>
      </c>
      <c r="J342" t="s">
        <v>70</v>
      </c>
      <c r="K342" s="2">
        <v>36911</v>
      </c>
      <c r="L342" t="s">
        <v>36</v>
      </c>
      <c r="M342" t="s">
        <v>48</v>
      </c>
      <c r="N342" t="s">
        <v>49</v>
      </c>
      <c r="O342" t="s">
        <v>61</v>
      </c>
      <c r="P342" t="s">
        <v>40</v>
      </c>
      <c r="Q342">
        <v>3</v>
      </c>
      <c r="R342" s="2">
        <v>44808</v>
      </c>
      <c r="S342">
        <v>3</v>
      </c>
      <c r="T342">
        <v>1</v>
      </c>
      <c r="U342">
        <v>5</v>
      </c>
      <c r="V342" s="1">
        <v>44855</v>
      </c>
      <c r="W342" t="s">
        <v>68</v>
      </c>
      <c r="X342" t="s">
        <v>51</v>
      </c>
      <c r="Y342" t="s">
        <v>52</v>
      </c>
      <c r="Z342">
        <v>3</v>
      </c>
      <c r="AA342">
        <v>786.62</v>
      </c>
      <c r="AB342">
        <v>18</v>
      </c>
    </row>
    <row r="343" spans="1:28" x14ac:dyDescent="0.2">
      <c r="A343">
        <v>3810</v>
      </c>
      <c r="B343" s="1">
        <v>43877</v>
      </c>
      <c r="C343" t="s">
        <v>114</v>
      </c>
      <c r="D343" t="s">
        <v>54</v>
      </c>
      <c r="E343" t="s">
        <v>30</v>
      </c>
      <c r="F343" t="s">
        <v>55</v>
      </c>
      <c r="G343" t="s">
        <v>45</v>
      </c>
      <c r="H343" t="s">
        <v>33</v>
      </c>
      <c r="I343" t="s">
        <v>95</v>
      </c>
      <c r="J343" t="s">
        <v>58</v>
      </c>
      <c r="K343" s="2">
        <v>21833</v>
      </c>
      <c r="L343" t="s">
        <v>71</v>
      </c>
      <c r="M343" t="s">
        <v>37</v>
      </c>
      <c r="N343" t="s">
        <v>72</v>
      </c>
      <c r="O343" t="s">
        <v>61</v>
      </c>
      <c r="P343" t="s">
        <v>40</v>
      </c>
      <c r="Q343">
        <v>3</v>
      </c>
      <c r="R343" s="2">
        <v>44917</v>
      </c>
      <c r="S343">
        <v>3</v>
      </c>
      <c r="T343">
        <v>3</v>
      </c>
      <c r="U343">
        <v>1</v>
      </c>
      <c r="V343" s="1">
        <v>44916</v>
      </c>
      <c r="W343" t="s">
        <v>92</v>
      </c>
      <c r="X343" t="s">
        <v>51</v>
      </c>
      <c r="Y343" t="s">
        <v>63</v>
      </c>
      <c r="Z343">
        <v>3</v>
      </c>
      <c r="AA343">
        <v>189.7</v>
      </c>
      <c r="AB343">
        <v>61</v>
      </c>
    </row>
    <row r="344" spans="1:28" x14ac:dyDescent="0.2">
      <c r="A344">
        <v>3811</v>
      </c>
      <c r="B344" s="1">
        <v>44695</v>
      </c>
      <c r="C344" t="s">
        <v>114</v>
      </c>
      <c r="D344" t="s">
        <v>54</v>
      </c>
      <c r="E344" t="s">
        <v>30</v>
      </c>
      <c r="F344" t="s">
        <v>46</v>
      </c>
      <c r="G344" t="s">
        <v>56</v>
      </c>
      <c r="H344" t="s">
        <v>33</v>
      </c>
      <c r="I344" t="s">
        <v>95</v>
      </c>
      <c r="J344" t="s">
        <v>97</v>
      </c>
      <c r="K344" s="2">
        <v>21255</v>
      </c>
      <c r="L344" t="s">
        <v>71</v>
      </c>
      <c r="M344" t="s">
        <v>48</v>
      </c>
      <c r="N344" t="s">
        <v>49</v>
      </c>
      <c r="O344" t="s">
        <v>39</v>
      </c>
      <c r="P344" t="s">
        <v>40</v>
      </c>
      <c r="Q344">
        <v>3</v>
      </c>
      <c r="R344" s="2">
        <v>45064</v>
      </c>
      <c r="S344">
        <v>1</v>
      </c>
      <c r="T344">
        <v>1</v>
      </c>
      <c r="U344">
        <v>1</v>
      </c>
      <c r="V344" s="1">
        <v>45061</v>
      </c>
      <c r="W344" t="s">
        <v>68</v>
      </c>
      <c r="X344" t="s">
        <v>51</v>
      </c>
      <c r="Y344" t="s">
        <v>63</v>
      </c>
      <c r="Z344">
        <v>2</v>
      </c>
      <c r="AA344">
        <v>484.02</v>
      </c>
      <c r="AB344">
        <v>64</v>
      </c>
    </row>
    <row r="345" spans="1:28" x14ac:dyDescent="0.2">
      <c r="A345">
        <v>3812</v>
      </c>
      <c r="B345" s="1">
        <v>43509</v>
      </c>
      <c r="C345" t="s">
        <v>114</v>
      </c>
      <c r="D345" t="s">
        <v>69</v>
      </c>
      <c r="E345" t="s">
        <v>30</v>
      </c>
      <c r="F345" t="s">
        <v>31</v>
      </c>
      <c r="G345" t="s">
        <v>56</v>
      </c>
      <c r="H345" t="s">
        <v>55</v>
      </c>
      <c r="I345" t="s">
        <v>95</v>
      </c>
      <c r="J345" t="s">
        <v>75</v>
      </c>
      <c r="K345" s="2">
        <v>31191</v>
      </c>
      <c r="L345" t="s">
        <v>36</v>
      </c>
      <c r="M345" t="s">
        <v>37</v>
      </c>
      <c r="N345" t="s">
        <v>49</v>
      </c>
      <c r="O345" t="s">
        <v>61</v>
      </c>
      <c r="P345" t="s">
        <v>40</v>
      </c>
      <c r="Q345">
        <v>3</v>
      </c>
      <c r="R345" s="2">
        <v>44937</v>
      </c>
      <c r="S345">
        <v>3</v>
      </c>
      <c r="T345">
        <v>3</v>
      </c>
      <c r="U345">
        <v>1</v>
      </c>
      <c r="V345" s="1">
        <v>45079</v>
      </c>
      <c r="W345" t="s">
        <v>92</v>
      </c>
      <c r="X345" t="s">
        <v>42</v>
      </c>
      <c r="Y345" t="s">
        <v>43</v>
      </c>
      <c r="Z345">
        <v>5</v>
      </c>
      <c r="AA345">
        <v>299.74</v>
      </c>
      <c r="AB345">
        <v>34</v>
      </c>
    </row>
    <row r="346" spans="1:28" x14ac:dyDescent="0.2">
      <c r="A346">
        <v>3813</v>
      </c>
      <c r="B346" s="1">
        <v>44797</v>
      </c>
      <c r="C346" t="s">
        <v>112</v>
      </c>
      <c r="D346" t="s">
        <v>85</v>
      </c>
      <c r="E346" t="s">
        <v>30</v>
      </c>
      <c r="F346" t="s">
        <v>46</v>
      </c>
      <c r="G346" t="s">
        <v>45</v>
      </c>
      <c r="H346" t="s">
        <v>46</v>
      </c>
      <c r="I346" t="s">
        <v>95</v>
      </c>
      <c r="J346" t="s">
        <v>79</v>
      </c>
      <c r="K346" s="2">
        <v>20145</v>
      </c>
      <c r="L346" t="s">
        <v>36</v>
      </c>
      <c r="M346" t="s">
        <v>48</v>
      </c>
      <c r="N346" t="s">
        <v>49</v>
      </c>
      <c r="O346" t="s">
        <v>39</v>
      </c>
      <c r="P346" t="s">
        <v>40</v>
      </c>
      <c r="Q346">
        <v>3</v>
      </c>
      <c r="R346" s="2">
        <v>45083</v>
      </c>
      <c r="S346">
        <v>2</v>
      </c>
      <c r="T346">
        <v>3</v>
      </c>
      <c r="U346">
        <v>4</v>
      </c>
      <c r="V346" s="1">
        <v>45128</v>
      </c>
      <c r="W346" t="s">
        <v>68</v>
      </c>
      <c r="X346" t="s">
        <v>42</v>
      </c>
      <c r="Y346" t="s">
        <v>43</v>
      </c>
      <c r="Z346">
        <v>1</v>
      </c>
      <c r="AA346">
        <v>169.79</v>
      </c>
      <c r="AB346">
        <v>67</v>
      </c>
    </row>
    <row r="347" spans="1:28" x14ac:dyDescent="0.2">
      <c r="A347">
        <v>3815</v>
      </c>
      <c r="B347" s="1">
        <v>44281</v>
      </c>
      <c r="C347" t="s">
        <v>113</v>
      </c>
      <c r="D347" t="s">
        <v>85</v>
      </c>
      <c r="E347" t="s">
        <v>30</v>
      </c>
      <c r="F347" t="s">
        <v>31</v>
      </c>
      <c r="G347" t="s">
        <v>32</v>
      </c>
      <c r="H347" t="s">
        <v>46</v>
      </c>
      <c r="I347" t="s">
        <v>95</v>
      </c>
      <c r="J347" t="s">
        <v>96</v>
      </c>
      <c r="K347" s="2">
        <v>30828</v>
      </c>
      <c r="L347" t="s">
        <v>36</v>
      </c>
      <c r="M347" t="s">
        <v>48</v>
      </c>
      <c r="N347" t="s">
        <v>38</v>
      </c>
      <c r="O347" t="s">
        <v>77</v>
      </c>
      <c r="P347" t="s">
        <v>40</v>
      </c>
      <c r="Q347">
        <v>3</v>
      </c>
      <c r="R347" s="2">
        <v>44980</v>
      </c>
      <c r="S347">
        <v>1</v>
      </c>
      <c r="T347">
        <v>5</v>
      </c>
      <c r="U347">
        <v>3</v>
      </c>
      <c r="V347" s="1">
        <v>44962</v>
      </c>
      <c r="W347" t="s">
        <v>62</v>
      </c>
      <c r="X347" t="s">
        <v>42</v>
      </c>
      <c r="Y347" t="s">
        <v>43</v>
      </c>
      <c r="Z347">
        <v>1</v>
      </c>
      <c r="AA347">
        <v>910.09</v>
      </c>
      <c r="AB347">
        <v>37</v>
      </c>
    </row>
    <row r="348" spans="1:28" x14ac:dyDescent="0.2">
      <c r="A348">
        <v>3816</v>
      </c>
      <c r="B348" s="1">
        <v>44317</v>
      </c>
      <c r="C348" t="s">
        <v>112</v>
      </c>
      <c r="D348" t="s">
        <v>74</v>
      </c>
      <c r="E348" t="s">
        <v>30</v>
      </c>
      <c r="F348" t="s">
        <v>55</v>
      </c>
      <c r="G348" t="s">
        <v>45</v>
      </c>
      <c r="H348" t="s">
        <v>33</v>
      </c>
      <c r="I348" t="s">
        <v>95</v>
      </c>
      <c r="J348" t="s">
        <v>70</v>
      </c>
      <c r="K348" s="2">
        <v>20677</v>
      </c>
      <c r="L348" t="s">
        <v>36</v>
      </c>
      <c r="M348" t="s">
        <v>48</v>
      </c>
      <c r="N348" t="s">
        <v>49</v>
      </c>
      <c r="O348" t="s">
        <v>61</v>
      </c>
      <c r="P348" t="s">
        <v>40</v>
      </c>
      <c r="Q348">
        <v>3</v>
      </c>
      <c r="R348" s="2">
        <v>44921</v>
      </c>
      <c r="S348">
        <v>1</v>
      </c>
      <c r="T348">
        <v>1</v>
      </c>
      <c r="U348">
        <v>5</v>
      </c>
      <c r="V348" s="1">
        <v>44915</v>
      </c>
      <c r="W348" t="s">
        <v>92</v>
      </c>
      <c r="X348" t="s">
        <v>51</v>
      </c>
      <c r="Y348" t="s">
        <v>73</v>
      </c>
      <c r="Z348">
        <v>5</v>
      </c>
      <c r="AA348">
        <v>912.1</v>
      </c>
      <c r="AB348">
        <v>65</v>
      </c>
    </row>
    <row r="349" spans="1:28" x14ac:dyDescent="0.2">
      <c r="A349">
        <v>3817</v>
      </c>
      <c r="B349" s="1">
        <v>44479</v>
      </c>
      <c r="C349" t="s">
        <v>112</v>
      </c>
      <c r="D349" t="s">
        <v>29</v>
      </c>
      <c r="E349" t="s">
        <v>30</v>
      </c>
      <c r="F349" t="s">
        <v>46</v>
      </c>
      <c r="G349" t="s">
        <v>45</v>
      </c>
      <c r="H349" t="s">
        <v>55</v>
      </c>
      <c r="I349" t="s">
        <v>95</v>
      </c>
      <c r="J349" t="s">
        <v>65</v>
      </c>
      <c r="K349" s="2">
        <v>28491</v>
      </c>
      <c r="L349" t="s">
        <v>36</v>
      </c>
      <c r="M349" t="s">
        <v>37</v>
      </c>
      <c r="N349" t="s">
        <v>72</v>
      </c>
      <c r="O349" t="s">
        <v>61</v>
      </c>
      <c r="P349" t="s">
        <v>98</v>
      </c>
      <c r="Q349">
        <v>3</v>
      </c>
      <c r="R349" s="2">
        <v>45101</v>
      </c>
      <c r="S349">
        <v>3</v>
      </c>
      <c r="T349">
        <v>3</v>
      </c>
      <c r="U349">
        <v>1</v>
      </c>
      <c r="V349" s="1">
        <v>44992</v>
      </c>
      <c r="W349" t="s">
        <v>50</v>
      </c>
      <c r="X349" t="s">
        <v>42</v>
      </c>
      <c r="Y349" t="s">
        <v>52</v>
      </c>
      <c r="Z349">
        <v>4</v>
      </c>
      <c r="AA349">
        <v>456.65</v>
      </c>
      <c r="AB349">
        <v>43</v>
      </c>
    </row>
    <row r="350" spans="1:28" x14ac:dyDescent="0.2">
      <c r="A350">
        <v>3818</v>
      </c>
      <c r="B350" s="1">
        <v>43832</v>
      </c>
      <c r="C350" t="s">
        <v>113</v>
      </c>
      <c r="D350" t="s">
        <v>29</v>
      </c>
      <c r="E350" t="s">
        <v>30</v>
      </c>
      <c r="F350" t="s">
        <v>46</v>
      </c>
      <c r="G350" t="s">
        <v>45</v>
      </c>
      <c r="H350" t="s">
        <v>46</v>
      </c>
      <c r="I350" t="s">
        <v>95</v>
      </c>
      <c r="J350" t="s">
        <v>103</v>
      </c>
      <c r="K350" s="2">
        <v>18429</v>
      </c>
      <c r="L350" t="s">
        <v>36</v>
      </c>
      <c r="M350" t="s">
        <v>48</v>
      </c>
      <c r="N350" t="s">
        <v>84</v>
      </c>
      <c r="O350" t="s">
        <v>61</v>
      </c>
      <c r="P350" t="s">
        <v>40</v>
      </c>
      <c r="Q350">
        <v>3</v>
      </c>
      <c r="R350" s="2">
        <v>44954</v>
      </c>
      <c r="S350">
        <v>1</v>
      </c>
      <c r="T350">
        <v>1</v>
      </c>
      <c r="U350">
        <v>3</v>
      </c>
      <c r="V350" s="1">
        <v>44872</v>
      </c>
      <c r="W350" t="s">
        <v>41</v>
      </c>
      <c r="X350" t="s">
        <v>51</v>
      </c>
      <c r="Y350" t="s">
        <v>52</v>
      </c>
      <c r="Z350">
        <v>4</v>
      </c>
      <c r="AA350">
        <v>313.5</v>
      </c>
      <c r="AB350">
        <v>70</v>
      </c>
    </row>
    <row r="351" spans="1:28" x14ac:dyDescent="0.2">
      <c r="A351">
        <v>3819</v>
      </c>
      <c r="B351" s="1">
        <v>43850</v>
      </c>
      <c r="C351" t="s">
        <v>113</v>
      </c>
      <c r="D351" t="s">
        <v>87</v>
      </c>
      <c r="E351" t="s">
        <v>30</v>
      </c>
      <c r="F351" t="s">
        <v>55</v>
      </c>
      <c r="G351" t="s">
        <v>56</v>
      </c>
      <c r="H351" t="s">
        <v>46</v>
      </c>
      <c r="I351" t="s">
        <v>95</v>
      </c>
      <c r="J351" t="s">
        <v>47</v>
      </c>
      <c r="K351" s="2">
        <v>21150</v>
      </c>
      <c r="L351" t="s">
        <v>36</v>
      </c>
      <c r="M351" t="s">
        <v>37</v>
      </c>
      <c r="N351" t="s">
        <v>84</v>
      </c>
      <c r="O351" t="s">
        <v>61</v>
      </c>
      <c r="P351" t="s">
        <v>40</v>
      </c>
      <c r="Q351">
        <v>3</v>
      </c>
      <c r="R351" s="2">
        <v>45108</v>
      </c>
      <c r="S351">
        <v>4</v>
      </c>
      <c r="T351">
        <v>1</v>
      </c>
      <c r="U351">
        <v>1</v>
      </c>
      <c r="V351" s="1">
        <v>44924</v>
      </c>
      <c r="W351" t="s">
        <v>41</v>
      </c>
      <c r="X351" t="s">
        <v>42</v>
      </c>
      <c r="Y351" t="s">
        <v>52</v>
      </c>
      <c r="Z351">
        <v>3</v>
      </c>
      <c r="AA351">
        <v>906.45</v>
      </c>
      <c r="AB351">
        <v>63</v>
      </c>
    </row>
    <row r="352" spans="1:28" x14ac:dyDescent="0.2">
      <c r="A352">
        <v>3820</v>
      </c>
      <c r="B352" s="1">
        <v>43323</v>
      </c>
      <c r="C352" t="s">
        <v>113</v>
      </c>
      <c r="D352" t="s">
        <v>44</v>
      </c>
      <c r="E352" t="s">
        <v>30</v>
      </c>
      <c r="F352" t="s">
        <v>31</v>
      </c>
      <c r="G352" t="s">
        <v>32</v>
      </c>
      <c r="H352" t="s">
        <v>55</v>
      </c>
      <c r="I352" t="s">
        <v>95</v>
      </c>
      <c r="J352" t="s">
        <v>65</v>
      </c>
      <c r="K352" s="2">
        <v>28032</v>
      </c>
      <c r="L352" t="s">
        <v>36</v>
      </c>
      <c r="M352" t="s">
        <v>37</v>
      </c>
      <c r="N352" t="s">
        <v>60</v>
      </c>
      <c r="O352" t="s">
        <v>77</v>
      </c>
      <c r="P352" t="s">
        <v>40</v>
      </c>
      <c r="Q352">
        <v>3</v>
      </c>
      <c r="R352" s="2">
        <v>45133</v>
      </c>
      <c r="S352">
        <v>1</v>
      </c>
      <c r="T352">
        <v>3</v>
      </c>
      <c r="U352">
        <v>4</v>
      </c>
      <c r="V352" s="1">
        <v>44792</v>
      </c>
      <c r="W352" t="s">
        <v>62</v>
      </c>
      <c r="X352" t="s">
        <v>51</v>
      </c>
      <c r="Y352" t="s">
        <v>52</v>
      </c>
      <c r="Z352">
        <v>2</v>
      </c>
      <c r="AA352">
        <v>333.8</v>
      </c>
      <c r="AB352">
        <v>42</v>
      </c>
    </row>
    <row r="353" spans="1:28" x14ac:dyDescent="0.2">
      <c r="A353">
        <v>3821</v>
      </c>
      <c r="B353" s="1">
        <v>44548</v>
      </c>
      <c r="C353" t="s">
        <v>114</v>
      </c>
      <c r="D353" t="s">
        <v>64</v>
      </c>
      <c r="E353" t="s">
        <v>30</v>
      </c>
      <c r="F353" t="s">
        <v>31</v>
      </c>
      <c r="G353" t="s">
        <v>45</v>
      </c>
      <c r="H353" t="s">
        <v>33</v>
      </c>
      <c r="I353" t="s">
        <v>95</v>
      </c>
      <c r="J353" t="s">
        <v>70</v>
      </c>
      <c r="K353" s="2">
        <v>29679</v>
      </c>
      <c r="L353" t="s">
        <v>36</v>
      </c>
      <c r="M353" t="s">
        <v>48</v>
      </c>
      <c r="N353" t="s">
        <v>38</v>
      </c>
      <c r="O353" t="s">
        <v>61</v>
      </c>
      <c r="P353" t="s">
        <v>40</v>
      </c>
      <c r="Q353">
        <v>3</v>
      </c>
      <c r="R353" s="2">
        <v>44900</v>
      </c>
      <c r="S353">
        <v>5</v>
      </c>
      <c r="T353">
        <v>4</v>
      </c>
      <c r="U353">
        <v>4</v>
      </c>
      <c r="V353" s="1">
        <v>44895</v>
      </c>
      <c r="W353" t="s">
        <v>62</v>
      </c>
      <c r="X353" t="s">
        <v>51</v>
      </c>
      <c r="Y353" t="s">
        <v>73</v>
      </c>
      <c r="Z353">
        <v>2</v>
      </c>
      <c r="AA353">
        <v>866.63</v>
      </c>
      <c r="AB353">
        <v>40</v>
      </c>
    </row>
    <row r="354" spans="1:28" x14ac:dyDescent="0.2">
      <c r="A354">
        <v>3822</v>
      </c>
      <c r="B354" s="1">
        <v>43732</v>
      </c>
      <c r="C354" t="s">
        <v>113</v>
      </c>
      <c r="D354" t="s">
        <v>74</v>
      </c>
      <c r="E354" t="s">
        <v>30</v>
      </c>
      <c r="F354" t="s">
        <v>55</v>
      </c>
      <c r="G354" t="s">
        <v>56</v>
      </c>
      <c r="H354" t="s">
        <v>46</v>
      </c>
      <c r="I354" t="s">
        <v>115</v>
      </c>
      <c r="J354" t="s">
        <v>65</v>
      </c>
      <c r="K354" s="2">
        <v>27655</v>
      </c>
      <c r="L354" t="s">
        <v>36</v>
      </c>
      <c r="M354" t="s">
        <v>48</v>
      </c>
      <c r="N354" t="s">
        <v>49</v>
      </c>
      <c r="O354" t="s">
        <v>77</v>
      </c>
      <c r="P354" t="s">
        <v>40</v>
      </c>
      <c r="Q354">
        <v>3</v>
      </c>
      <c r="R354" s="2">
        <v>45008</v>
      </c>
      <c r="S354">
        <v>4</v>
      </c>
      <c r="T354">
        <v>4</v>
      </c>
      <c r="U354">
        <v>5</v>
      </c>
      <c r="V354" s="1">
        <v>44903</v>
      </c>
      <c r="W354" t="s">
        <v>68</v>
      </c>
      <c r="X354" t="s">
        <v>42</v>
      </c>
      <c r="Y354" t="s">
        <v>52</v>
      </c>
      <c r="Z354">
        <v>5</v>
      </c>
      <c r="AA354">
        <v>357.58</v>
      </c>
      <c r="AB354">
        <v>44</v>
      </c>
    </row>
    <row r="355" spans="1:28" x14ac:dyDescent="0.2">
      <c r="A355">
        <v>3823</v>
      </c>
      <c r="B355" s="1">
        <v>44851</v>
      </c>
      <c r="C355" t="s">
        <v>113</v>
      </c>
      <c r="D355" t="s">
        <v>64</v>
      </c>
      <c r="E355" t="s">
        <v>30</v>
      </c>
      <c r="F355" t="s">
        <v>55</v>
      </c>
      <c r="G355" t="s">
        <v>45</v>
      </c>
      <c r="H355" t="s">
        <v>33</v>
      </c>
      <c r="I355" t="s">
        <v>115</v>
      </c>
      <c r="J355" t="s">
        <v>100</v>
      </c>
      <c r="K355" s="2">
        <v>32013</v>
      </c>
      <c r="L355" t="s">
        <v>36</v>
      </c>
      <c r="M355" t="s">
        <v>48</v>
      </c>
      <c r="N355" t="s">
        <v>38</v>
      </c>
      <c r="O355" t="s">
        <v>61</v>
      </c>
      <c r="P355" t="s">
        <v>98</v>
      </c>
      <c r="Q355">
        <v>3</v>
      </c>
      <c r="R355" s="2">
        <v>44881</v>
      </c>
      <c r="S355">
        <v>5</v>
      </c>
      <c r="T355">
        <v>4</v>
      </c>
      <c r="U355">
        <v>1</v>
      </c>
      <c r="V355" s="1">
        <v>44825</v>
      </c>
      <c r="W355" t="s">
        <v>92</v>
      </c>
      <c r="X355" t="s">
        <v>51</v>
      </c>
      <c r="Y355" t="s">
        <v>63</v>
      </c>
      <c r="Z355">
        <v>4</v>
      </c>
      <c r="AA355">
        <v>516.9</v>
      </c>
      <c r="AB355">
        <v>35</v>
      </c>
    </row>
    <row r="356" spans="1:28" x14ac:dyDescent="0.2">
      <c r="A356">
        <v>3824</v>
      </c>
      <c r="B356" s="1">
        <v>43837</v>
      </c>
      <c r="C356" t="s">
        <v>112</v>
      </c>
      <c r="D356" t="s">
        <v>85</v>
      </c>
      <c r="E356" t="s">
        <v>30</v>
      </c>
      <c r="F356" t="s">
        <v>31</v>
      </c>
      <c r="G356" t="s">
        <v>32</v>
      </c>
      <c r="H356" t="s">
        <v>55</v>
      </c>
      <c r="I356" t="s">
        <v>95</v>
      </c>
      <c r="J356" t="s">
        <v>58</v>
      </c>
      <c r="K356" s="2">
        <v>17858</v>
      </c>
      <c r="L356" t="s">
        <v>36</v>
      </c>
      <c r="M356" t="s">
        <v>48</v>
      </c>
      <c r="N356" t="s">
        <v>72</v>
      </c>
      <c r="O356" t="s">
        <v>61</v>
      </c>
      <c r="P356" t="s">
        <v>40</v>
      </c>
      <c r="Q356">
        <v>3</v>
      </c>
      <c r="R356" s="2">
        <v>44970</v>
      </c>
      <c r="S356">
        <v>4</v>
      </c>
      <c r="T356">
        <v>4</v>
      </c>
      <c r="U356">
        <v>5</v>
      </c>
      <c r="V356" s="1">
        <v>44852</v>
      </c>
      <c r="W356" t="s">
        <v>41</v>
      </c>
      <c r="X356" t="s">
        <v>42</v>
      </c>
      <c r="Y356" t="s">
        <v>63</v>
      </c>
      <c r="Z356">
        <v>5</v>
      </c>
      <c r="AA356">
        <v>200.23</v>
      </c>
      <c r="AB356">
        <v>72</v>
      </c>
    </row>
    <row r="357" spans="1:28" x14ac:dyDescent="0.2">
      <c r="A357">
        <v>3825</v>
      </c>
      <c r="B357" s="1">
        <v>44870</v>
      </c>
      <c r="C357" t="s">
        <v>112</v>
      </c>
      <c r="D357" t="s">
        <v>94</v>
      </c>
      <c r="E357" t="s">
        <v>30</v>
      </c>
      <c r="F357" t="s">
        <v>55</v>
      </c>
      <c r="G357" t="s">
        <v>45</v>
      </c>
      <c r="H357" t="s">
        <v>46</v>
      </c>
      <c r="I357" t="s">
        <v>95</v>
      </c>
      <c r="J357" t="s">
        <v>70</v>
      </c>
      <c r="K357" s="2">
        <v>35938</v>
      </c>
      <c r="L357" t="s">
        <v>36</v>
      </c>
      <c r="M357" t="s">
        <v>48</v>
      </c>
      <c r="N357" t="s">
        <v>72</v>
      </c>
      <c r="O357" t="s">
        <v>67</v>
      </c>
      <c r="P357" t="s">
        <v>40</v>
      </c>
      <c r="Q357">
        <v>3</v>
      </c>
      <c r="R357" s="2">
        <v>44917</v>
      </c>
      <c r="S357">
        <v>4</v>
      </c>
      <c r="T357">
        <v>4</v>
      </c>
      <c r="U357">
        <v>2</v>
      </c>
      <c r="V357" s="1">
        <v>44828</v>
      </c>
      <c r="W357" t="s">
        <v>41</v>
      </c>
      <c r="X357" t="s">
        <v>42</v>
      </c>
      <c r="Y357" t="s">
        <v>63</v>
      </c>
      <c r="Z357">
        <v>1</v>
      </c>
      <c r="AA357">
        <v>728.77</v>
      </c>
      <c r="AB357">
        <v>24</v>
      </c>
    </row>
    <row r="358" spans="1:28" x14ac:dyDescent="0.2">
      <c r="A358">
        <v>3826</v>
      </c>
      <c r="B358" s="1">
        <v>45042</v>
      </c>
      <c r="C358" t="s">
        <v>112</v>
      </c>
      <c r="D358" t="s">
        <v>54</v>
      </c>
      <c r="E358" t="s">
        <v>30</v>
      </c>
      <c r="F358" t="s">
        <v>46</v>
      </c>
      <c r="G358" t="s">
        <v>56</v>
      </c>
      <c r="H358" t="s">
        <v>55</v>
      </c>
      <c r="I358" t="s">
        <v>95</v>
      </c>
      <c r="J358" t="s">
        <v>70</v>
      </c>
      <c r="K358" s="2">
        <v>36992</v>
      </c>
      <c r="L358" t="s">
        <v>36</v>
      </c>
      <c r="M358" t="s">
        <v>48</v>
      </c>
      <c r="N358" t="s">
        <v>84</v>
      </c>
      <c r="O358" t="s">
        <v>77</v>
      </c>
      <c r="P358" t="s">
        <v>40</v>
      </c>
      <c r="Q358">
        <v>3</v>
      </c>
      <c r="R358" s="2">
        <v>44882</v>
      </c>
      <c r="S358">
        <v>2</v>
      </c>
      <c r="T358">
        <v>1</v>
      </c>
      <c r="U358">
        <v>3</v>
      </c>
      <c r="V358" s="1">
        <v>44886</v>
      </c>
      <c r="W358" t="s">
        <v>92</v>
      </c>
      <c r="X358" t="s">
        <v>42</v>
      </c>
      <c r="Y358" t="s">
        <v>63</v>
      </c>
      <c r="Z358">
        <v>4</v>
      </c>
      <c r="AA358">
        <v>286.12</v>
      </c>
      <c r="AB358">
        <v>22</v>
      </c>
    </row>
    <row r="359" spans="1:28" x14ac:dyDescent="0.2">
      <c r="A359">
        <v>3827</v>
      </c>
      <c r="B359" s="1">
        <v>43614</v>
      </c>
      <c r="C359" t="s">
        <v>112</v>
      </c>
      <c r="D359" t="s">
        <v>81</v>
      </c>
      <c r="E359" t="s">
        <v>30</v>
      </c>
      <c r="F359" t="s">
        <v>46</v>
      </c>
      <c r="G359" t="s">
        <v>56</v>
      </c>
      <c r="H359" t="s">
        <v>46</v>
      </c>
      <c r="I359" t="s">
        <v>95</v>
      </c>
      <c r="J359" t="s">
        <v>75</v>
      </c>
      <c r="K359" s="2">
        <v>33871</v>
      </c>
      <c r="L359" t="s">
        <v>36</v>
      </c>
      <c r="M359" t="s">
        <v>48</v>
      </c>
      <c r="N359" t="s">
        <v>84</v>
      </c>
      <c r="O359" t="s">
        <v>39</v>
      </c>
      <c r="P359" t="s">
        <v>40</v>
      </c>
      <c r="Q359">
        <v>3</v>
      </c>
      <c r="R359" s="2">
        <v>44920</v>
      </c>
      <c r="S359">
        <v>3</v>
      </c>
      <c r="T359">
        <v>3</v>
      </c>
      <c r="U359">
        <v>4</v>
      </c>
      <c r="V359" s="1">
        <v>44958</v>
      </c>
      <c r="W359" t="s">
        <v>92</v>
      </c>
      <c r="X359" t="s">
        <v>42</v>
      </c>
      <c r="Y359" t="s">
        <v>43</v>
      </c>
      <c r="Z359">
        <v>5</v>
      </c>
      <c r="AA359">
        <v>997.15</v>
      </c>
      <c r="AB359">
        <v>27</v>
      </c>
    </row>
    <row r="360" spans="1:28" x14ac:dyDescent="0.2">
      <c r="A360">
        <v>3828</v>
      </c>
      <c r="B360" s="1">
        <v>43720</v>
      </c>
      <c r="C360" t="s">
        <v>114</v>
      </c>
      <c r="D360" t="s">
        <v>54</v>
      </c>
      <c r="E360" t="s">
        <v>30</v>
      </c>
      <c r="F360" t="s">
        <v>46</v>
      </c>
      <c r="G360" t="s">
        <v>45</v>
      </c>
      <c r="H360" t="s">
        <v>55</v>
      </c>
      <c r="I360" t="s">
        <v>95</v>
      </c>
      <c r="J360" t="s">
        <v>47</v>
      </c>
      <c r="K360" s="2">
        <v>33174</v>
      </c>
      <c r="L360" t="s">
        <v>36</v>
      </c>
      <c r="M360" t="s">
        <v>48</v>
      </c>
      <c r="N360" t="s">
        <v>72</v>
      </c>
      <c r="O360" t="s">
        <v>77</v>
      </c>
      <c r="P360" t="s">
        <v>40</v>
      </c>
      <c r="Q360">
        <v>3</v>
      </c>
      <c r="R360" s="2">
        <v>44978</v>
      </c>
      <c r="S360">
        <v>2</v>
      </c>
      <c r="T360">
        <v>5</v>
      </c>
      <c r="U360">
        <v>1</v>
      </c>
      <c r="V360" s="1">
        <v>45090</v>
      </c>
      <c r="W360" t="s">
        <v>41</v>
      </c>
      <c r="X360" t="s">
        <v>51</v>
      </c>
      <c r="Y360" t="s">
        <v>43</v>
      </c>
      <c r="Z360">
        <v>2</v>
      </c>
      <c r="AA360">
        <v>984.63</v>
      </c>
      <c r="AB360">
        <v>29</v>
      </c>
    </row>
    <row r="361" spans="1:28" x14ac:dyDescent="0.2">
      <c r="A361">
        <v>3829</v>
      </c>
      <c r="B361" s="1">
        <v>43492</v>
      </c>
      <c r="C361" t="s">
        <v>114</v>
      </c>
      <c r="D361" t="s">
        <v>69</v>
      </c>
      <c r="E361" t="s">
        <v>30</v>
      </c>
      <c r="F361" t="s">
        <v>46</v>
      </c>
      <c r="G361" t="s">
        <v>32</v>
      </c>
      <c r="H361" t="s">
        <v>55</v>
      </c>
      <c r="I361" t="s">
        <v>95</v>
      </c>
      <c r="J361" t="s">
        <v>96</v>
      </c>
      <c r="K361" s="2">
        <v>20526</v>
      </c>
      <c r="L361" t="s">
        <v>36</v>
      </c>
      <c r="M361" t="s">
        <v>48</v>
      </c>
      <c r="N361" t="s">
        <v>60</v>
      </c>
      <c r="O361" t="s">
        <v>67</v>
      </c>
      <c r="P361" t="s">
        <v>78</v>
      </c>
      <c r="Q361">
        <v>3</v>
      </c>
      <c r="R361" s="2">
        <v>44864</v>
      </c>
      <c r="S361">
        <v>3</v>
      </c>
      <c r="T361">
        <v>2</v>
      </c>
      <c r="U361">
        <v>1</v>
      </c>
      <c r="V361" s="1">
        <v>44858</v>
      </c>
      <c r="W361" t="s">
        <v>62</v>
      </c>
      <c r="X361" t="s">
        <v>51</v>
      </c>
      <c r="Y361" t="s">
        <v>52</v>
      </c>
      <c r="Z361">
        <v>5</v>
      </c>
      <c r="AA361">
        <v>233.67</v>
      </c>
      <c r="AB361">
        <v>63</v>
      </c>
    </row>
    <row r="362" spans="1:28" x14ac:dyDescent="0.2">
      <c r="A362">
        <v>3830</v>
      </c>
      <c r="B362" s="1">
        <v>43697</v>
      </c>
      <c r="C362" t="s">
        <v>116</v>
      </c>
      <c r="D362" t="s">
        <v>29</v>
      </c>
      <c r="E362" t="s">
        <v>30</v>
      </c>
      <c r="F362" t="s">
        <v>46</v>
      </c>
      <c r="G362" t="s">
        <v>32</v>
      </c>
      <c r="H362" t="s">
        <v>33</v>
      </c>
      <c r="I362" t="s">
        <v>95</v>
      </c>
      <c r="J362" t="s">
        <v>70</v>
      </c>
      <c r="K362" s="2">
        <v>17317</v>
      </c>
      <c r="L362" t="s">
        <v>71</v>
      </c>
      <c r="M362" t="s">
        <v>48</v>
      </c>
      <c r="N362" t="s">
        <v>38</v>
      </c>
      <c r="O362" t="s">
        <v>39</v>
      </c>
      <c r="P362" t="s">
        <v>107</v>
      </c>
      <c r="Q362">
        <v>3</v>
      </c>
      <c r="R362" s="2">
        <v>44923</v>
      </c>
      <c r="S362">
        <v>1</v>
      </c>
      <c r="T362">
        <v>1</v>
      </c>
      <c r="U362">
        <v>3</v>
      </c>
      <c r="V362" s="1">
        <v>45000</v>
      </c>
      <c r="W362" t="s">
        <v>68</v>
      </c>
      <c r="X362" t="s">
        <v>42</v>
      </c>
      <c r="Y362" t="s">
        <v>63</v>
      </c>
      <c r="Z362">
        <v>3</v>
      </c>
      <c r="AA362">
        <v>142.41999999999999</v>
      </c>
      <c r="AB362">
        <v>72</v>
      </c>
    </row>
    <row r="363" spans="1:28" x14ac:dyDescent="0.2">
      <c r="A363">
        <v>3831</v>
      </c>
      <c r="B363" s="1">
        <v>43357</v>
      </c>
      <c r="C363" t="s">
        <v>117</v>
      </c>
      <c r="D363" t="s">
        <v>85</v>
      </c>
      <c r="E363" t="s">
        <v>30</v>
      </c>
      <c r="F363" t="s">
        <v>46</v>
      </c>
      <c r="G363" t="s">
        <v>32</v>
      </c>
      <c r="H363" t="s">
        <v>46</v>
      </c>
      <c r="I363" t="s">
        <v>95</v>
      </c>
      <c r="J363" t="s">
        <v>70</v>
      </c>
      <c r="K363" s="2">
        <v>18329</v>
      </c>
      <c r="L363" t="s">
        <v>71</v>
      </c>
      <c r="M363" t="s">
        <v>37</v>
      </c>
      <c r="N363" t="s">
        <v>49</v>
      </c>
      <c r="O363" t="s">
        <v>77</v>
      </c>
      <c r="P363" t="s">
        <v>98</v>
      </c>
      <c r="Q363">
        <v>3</v>
      </c>
      <c r="R363" s="2">
        <v>45065</v>
      </c>
      <c r="S363">
        <v>3</v>
      </c>
      <c r="T363">
        <v>2</v>
      </c>
      <c r="U363">
        <v>5</v>
      </c>
      <c r="V363" s="1">
        <v>45007</v>
      </c>
      <c r="W363" t="s">
        <v>62</v>
      </c>
      <c r="X363" t="s">
        <v>42</v>
      </c>
      <c r="Y363" t="s">
        <v>43</v>
      </c>
      <c r="Z363">
        <v>2</v>
      </c>
      <c r="AA363">
        <v>784.73</v>
      </c>
      <c r="AB363">
        <v>68</v>
      </c>
    </row>
    <row r="364" spans="1:28" x14ac:dyDescent="0.2">
      <c r="A364">
        <v>3833</v>
      </c>
      <c r="B364" s="1">
        <v>44587</v>
      </c>
      <c r="C364" t="s">
        <v>113</v>
      </c>
      <c r="D364" t="s">
        <v>94</v>
      </c>
      <c r="E364" t="s">
        <v>30</v>
      </c>
      <c r="F364" t="s">
        <v>55</v>
      </c>
      <c r="G364" t="s">
        <v>45</v>
      </c>
      <c r="H364" t="s">
        <v>46</v>
      </c>
      <c r="I364" t="s">
        <v>115</v>
      </c>
      <c r="J364" t="s">
        <v>70</v>
      </c>
      <c r="K364" s="2">
        <v>19491</v>
      </c>
      <c r="L364" t="s">
        <v>36</v>
      </c>
      <c r="M364" t="s">
        <v>48</v>
      </c>
      <c r="N364" t="s">
        <v>84</v>
      </c>
      <c r="O364" t="s">
        <v>61</v>
      </c>
      <c r="P364" t="s">
        <v>107</v>
      </c>
      <c r="Q364">
        <v>3</v>
      </c>
      <c r="R364" s="2">
        <v>44961</v>
      </c>
      <c r="S364">
        <v>3</v>
      </c>
      <c r="T364">
        <v>5</v>
      </c>
      <c r="U364">
        <v>2</v>
      </c>
      <c r="V364" s="1">
        <v>45100</v>
      </c>
      <c r="W364" t="s">
        <v>41</v>
      </c>
      <c r="X364" t="s">
        <v>51</v>
      </c>
      <c r="Y364" t="s">
        <v>63</v>
      </c>
      <c r="Z364">
        <v>2</v>
      </c>
      <c r="AA364">
        <v>409.16</v>
      </c>
      <c r="AB364">
        <v>69</v>
      </c>
    </row>
    <row r="365" spans="1:28" x14ac:dyDescent="0.2">
      <c r="A365">
        <v>3834</v>
      </c>
      <c r="B365" s="1">
        <v>43595</v>
      </c>
      <c r="C365" t="s">
        <v>113</v>
      </c>
      <c r="D365" t="s">
        <v>74</v>
      </c>
      <c r="E365" t="s">
        <v>30</v>
      </c>
      <c r="F365" t="s">
        <v>31</v>
      </c>
      <c r="G365" t="s">
        <v>32</v>
      </c>
      <c r="H365" t="s">
        <v>46</v>
      </c>
      <c r="I365" t="s">
        <v>115</v>
      </c>
      <c r="J365" t="s">
        <v>70</v>
      </c>
      <c r="K365" s="2">
        <v>22473</v>
      </c>
      <c r="L365" t="s">
        <v>36</v>
      </c>
      <c r="M365" t="s">
        <v>48</v>
      </c>
      <c r="N365" t="s">
        <v>49</v>
      </c>
      <c r="O365" t="s">
        <v>67</v>
      </c>
      <c r="P365" t="s">
        <v>40</v>
      </c>
      <c r="Q365">
        <v>3</v>
      </c>
      <c r="R365" s="2">
        <v>44951</v>
      </c>
      <c r="S365">
        <v>3</v>
      </c>
      <c r="T365">
        <v>5</v>
      </c>
      <c r="U365">
        <v>5</v>
      </c>
      <c r="V365" s="1">
        <v>44930</v>
      </c>
      <c r="W365" t="s">
        <v>68</v>
      </c>
      <c r="X365" t="s">
        <v>51</v>
      </c>
      <c r="Y365" t="s">
        <v>73</v>
      </c>
      <c r="Z365">
        <v>1</v>
      </c>
      <c r="AA365">
        <v>700.53</v>
      </c>
      <c r="AB365">
        <v>58</v>
      </c>
    </row>
    <row r="366" spans="1:28" x14ac:dyDescent="0.2">
      <c r="A366">
        <v>3835</v>
      </c>
      <c r="B366" s="1">
        <v>43467</v>
      </c>
      <c r="C366" t="s">
        <v>112</v>
      </c>
      <c r="D366" t="s">
        <v>81</v>
      </c>
      <c r="E366" t="s">
        <v>30</v>
      </c>
      <c r="F366" t="s">
        <v>46</v>
      </c>
      <c r="G366" t="s">
        <v>56</v>
      </c>
      <c r="H366" t="s">
        <v>46</v>
      </c>
      <c r="I366" t="s">
        <v>95</v>
      </c>
      <c r="J366" t="s">
        <v>105</v>
      </c>
      <c r="K366" s="2">
        <v>34253</v>
      </c>
      <c r="L366" t="s">
        <v>36</v>
      </c>
      <c r="M366" t="s">
        <v>48</v>
      </c>
      <c r="N366" t="s">
        <v>49</v>
      </c>
      <c r="O366" t="s">
        <v>77</v>
      </c>
      <c r="P366" t="s">
        <v>40</v>
      </c>
      <c r="Q366">
        <v>3</v>
      </c>
      <c r="R366" s="2">
        <v>44835</v>
      </c>
      <c r="S366">
        <v>5</v>
      </c>
      <c r="T366">
        <v>3</v>
      </c>
      <c r="U366">
        <v>1</v>
      </c>
      <c r="V366" s="1">
        <v>44870</v>
      </c>
      <c r="W366" t="s">
        <v>50</v>
      </c>
      <c r="X366" t="s">
        <v>51</v>
      </c>
      <c r="Y366" t="s">
        <v>43</v>
      </c>
      <c r="Z366">
        <v>3</v>
      </c>
      <c r="AA366">
        <v>439.63</v>
      </c>
      <c r="AB366">
        <v>26</v>
      </c>
    </row>
    <row r="367" spans="1:28" x14ac:dyDescent="0.2">
      <c r="A367">
        <v>3836</v>
      </c>
      <c r="B367" s="1">
        <v>44421</v>
      </c>
      <c r="C367" t="s">
        <v>112</v>
      </c>
      <c r="D367" t="s">
        <v>54</v>
      </c>
      <c r="E367" t="s">
        <v>30</v>
      </c>
      <c r="F367" t="s">
        <v>31</v>
      </c>
      <c r="G367" t="s">
        <v>45</v>
      </c>
      <c r="H367" t="s">
        <v>33</v>
      </c>
      <c r="I367" t="s">
        <v>95</v>
      </c>
      <c r="J367" t="s">
        <v>65</v>
      </c>
      <c r="K367" s="2">
        <v>16814</v>
      </c>
      <c r="L367" t="s">
        <v>36</v>
      </c>
      <c r="M367" t="s">
        <v>48</v>
      </c>
      <c r="N367" t="s">
        <v>72</v>
      </c>
      <c r="O367" t="s">
        <v>61</v>
      </c>
      <c r="P367" t="s">
        <v>40</v>
      </c>
      <c r="Q367">
        <v>3</v>
      </c>
      <c r="R367" s="2">
        <v>44989</v>
      </c>
      <c r="S367">
        <v>2</v>
      </c>
      <c r="T367">
        <v>3</v>
      </c>
      <c r="U367">
        <v>5</v>
      </c>
      <c r="V367" s="1">
        <v>45045</v>
      </c>
      <c r="W367" t="s">
        <v>68</v>
      </c>
      <c r="X367" t="s">
        <v>51</v>
      </c>
      <c r="Y367" t="s">
        <v>52</v>
      </c>
      <c r="Z367">
        <v>3</v>
      </c>
      <c r="AA367">
        <v>830.78</v>
      </c>
      <c r="AB367">
        <v>75</v>
      </c>
    </row>
    <row r="368" spans="1:28" x14ac:dyDescent="0.2">
      <c r="A368">
        <v>3837</v>
      </c>
      <c r="B368" s="1">
        <v>44836</v>
      </c>
      <c r="C368" t="s">
        <v>112</v>
      </c>
      <c r="D368" t="s">
        <v>69</v>
      </c>
      <c r="E368" t="s">
        <v>30</v>
      </c>
      <c r="F368" t="s">
        <v>46</v>
      </c>
      <c r="G368" t="s">
        <v>45</v>
      </c>
      <c r="H368" t="s">
        <v>46</v>
      </c>
      <c r="I368" t="s">
        <v>95</v>
      </c>
      <c r="J368" t="s">
        <v>35</v>
      </c>
      <c r="K368" s="2">
        <v>20694</v>
      </c>
      <c r="L368" t="s">
        <v>36</v>
      </c>
      <c r="M368" t="s">
        <v>48</v>
      </c>
      <c r="N368" t="s">
        <v>60</v>
      </c>
      <c r="O368" t="s">
        <v>61</v>
      </c>
      <c r="P368" t="s">
        <v>107</v>
      </c>
      <c r="Q368">
        <v>3</v>
      </c>
      <c r="R368" s="2">
        <v>44849</v>
      </c>
      <c r="S368">
        <v>5</v>
      </c>
      <c r="T368">
        <v>3</v>
      </c>
      <c r="U368">
        <v>1</v>
      </c>
      <c r="V368" s="1">
        <v>44979</v>
      </c>
      <c r="W368" t="s">
        <v>92</v>
      </c>
      <c r="X368" t="s">
        <v>42</v>
      </c>
      <c r="Y368" t="s">
        <v>43</v>
      </c>
      <c r="Z368">
        <v>3</v>
      </c>
      <c r="AA368">
        <v>320.33999999999997</v>
      </c>
      <c r="AB368">
        <v>66</v>
      </c>
    </row>
    <row r="369" spans="1:28" x14ac:dyDescent="0.2">
      <c r="A369">
        <v>3838</v>
      </c>
      <c r="B369" s="1">
        <v>43451</v>
      </c>
      <c r="C369" t="s">
        <v>112</v>
      </c>
      <c r="D369" t="s">
        <v>29</v>
      </c>
      <c r="E369" t="s">
        <v>30</v>
      </c>
      <c r="F369" t="s">
        <v>46</v>
      </c>
      <c r="G369" t="s">
        <v>45</v>
      </c>
      <c r="H369" t="s">
        <v>55</v>
      </c>
      <c r="I369" t="s">
        <v>95</v>
      </c>
      <c r="J369" t="s">
        <v>70</v>
      </c>
      <c r="K369" s="2">
        <v>29081</v>
      </c>
      <c r="L369" t="s">
        <v>36</v>
      </c>
      <c r="M369" t="s">
        <v>37</v>
      </c>
      <c r="N369" t="s">
        <v>84</v>
      </c>
      <c r="O369" t="s">
        <v>61</v>
      </c>
      <c r="P369" t="s">
        <v>107</v>
      </c>
      <c r="Q369">
        <v>3</v>
      </c>
      <c r="R369" s="2">
        <v>44900</v>
      </c>
      <c r="S369">
        <v>1</v>
      </c>
      <c r="T369">
        <v>1</v>
      </c>
      <c r="U369">
        <v>2</v>
      </c>
      <c r="V369" s="1">
        <v>45035</v>
      </c>
      <c r="W369" t="s">
        <v>92</v>
      </c>
      <c r="X369" t="s">
        <v>42</v>
      </c>
      <c r="Y369" t="s">
        <v>43</v>
      </c>
      <c r="Z369">
        <v>2</v>
      </c>
      <c r="AA369">
        <v>510.23</v>
      </c>
      <c r="AB369">
        <v>39</v>
      </c>
    </row>
    <row r="370" spans="1:28" x14ac:dyDescent="0.2">
      <c r="A370">
        <v>3839</v>
      </c>
      <c r="B370" s="1">
        <v>44480</v>
      </c>
      <c r="C370" t="s">
        <v>114</v>
      </c>
      <c r="D370" t="s">
        <v>54</v>
      </c>
      <c r="E370" t="s">
        <v>30</v>
      </c>
      <c r="F370" t="s">
        <v>31</v>
      </c>
      <c r="G370" t="s">
        <v>56</v>
      </c>
      <c r="H370" t="s">
        <v>46</v>
      </c>
      <c r="I370" t="s">
        <v>95</v>
      </c>
      <c r="J370" t="s">
        <v>65</v>
      </c>
      <c r="K370" s="2">
        <v>36796</v>
      </c>
      <c r="L370" t="s">
        <v>36</v>
      </c>
      <c r="M370" t="s">
        <v>48</v>
      </c>
      <c r="N370" t="s">
        <v>49</v>
      </c>
      <c r="O370" t="s">
        <v>77</v>
      </c>
      <c r="P370" t="s">
        <v>107</v>
      </c>
      <c r="Q370">
        <v>3</v>
      </c>
      <c r="R370" s="2">
        <v>45020</v>
      </c>
      <c r="S370">
        <v>3</v>
      </c>
      <c r="T370">
        <v>3</v>
      </c>
      <c r="U370">
        <v>4</v>
      </c>
      <c r="V370" s="1">
        <v>45089</v>
      </c>
      <c r="W370" t="s">
        <v>92</v>
      </c>
      <c r="X370" t="s">
        <v>51</v>
      </c>
      <c r="Y370" t="s">
        <v>43</v>
      </c>
      <c r="Z370">
        <v>4</v>
      </c>
      <c r="AA370">
        <v>403</v>
      </c>
      <c r="AB370">
        <v>21</v>
      </c>
    </row>
    <row r="371" spans="1:28" x14ac:dyDescent="0.2">
      <c r="A371">
        <v>3840</v>
      </c>
      <c r="B371" s="1">
        <v>45017</v>
      </c>
      <c r="C371" t="s">
        <v>114</v>
      </c>
      <c r="D371" t="s">
        <v>69</v>
      </c>
      <c r="E371" t="s">
        <v>30</v>
      </c>
      <c r="F371" t="s">
        <v>46</v>
      </c>
      <c r="G371" t="s">
        <v>56</v>
      </c>
      <c r="H371" t="s">
        <v>55</v>
      </c>
      <c r="I371" t="s">
        <v>95</v>
      </c>
      <c r="J371" t="s">
        <v>70</v>
      </c>
      <c r="K371" s="2">
        <v>25501</v>
      </c>
      <c r="L371" t="s">
        <v>36</v>
      </c>
      <c r="M371" t="s">
        <v>48</v>
      </c>
      <c r="N371" t="s">
        <v>49</v>
      </c>
      <c r="O371" t="s">
        <v>61</v>
      </c>
      <c r="P371" t="s">
        <v>40</v>
      </c>
      <c r="Q371">
        <v>3</v>
      </c>
      <c r="R371" s="2">
        <v>44960</v>
      </c>
      <c r="S371">
        <v>1</v>
      </c>
      <c r="T371">
        <v>5</v>
      </c>
      <c r="U371">
        <v>4</v>
      </c>
      <c r="V371" s="1">
        <v>44871</v>
      </c>
      <c r="W371" t="s">
        <v>68</v>
      </c>
      <c r="X371" t="s">
        <v>51</v>
      </c>
      <c r="Y371" t="s">
        <v>43</v>
      </c>
      <c r="Z371">
        <v>4</v>
      </c>
      <c r="AA371">
        <v>170.61</v>
      </c>
      <c r="AB371">
        <v>54</v>
      </c>
    </row>
    <row r="372" spans="1:28" x14ac:dyDescent="0.2">
      <c r="A372">
        <v>3841</v>
      </c>
      <c r="B372" s="1">
        <v>44275</v>
      </c>
      <c r="C372" t="s">
        <v>116</v>
      </c>
      <c r="D372" t="s">
        <v>29</v>
      </c>
      <c r="E372" t="s">
        <v>30</v>
      </c>
      <c r="F372" t="s">
        <v>55</v>
      </c>
      <c r="G372" t="s">
        <v>32</v>
      </c>
      <c r="H372" t="s">
        <v>55</v>
      </c>
      <c r="I372" t="s">
        <v>95</v>
      </c>
      <c r="J372" t="s">
        <v>101</v>
      </c>
      <c r="K372" s="2">
        <v>25736</v>
      </c>
      <c r="L372" t="s">
        <v>71</v>
      </c>
      <c r="M372" t="s">
        <v>48</v>
      </c>
      <c r="N372" t="s">
        <v>84</v>
      </c>
      <c r="O372" t="s">
        <v>61</v>
      </c>
      <c r="P372" t="s">
        <v>40</v>
      </c>
      <c r="Q372">
        <v>3</v>
      </c>
      <c r="R372" s="2">
        <v>45064</v>
      </c>
      <c r="S372">
        <v>5</v>
      </c>
      <c r="T372">
        <v>4</v>
      </c>
      <c r="U372">
        <v>4</v>
      </c>
      <c r="V372" s="1">
        <v>44950</v>
      </c>
      <c r="W372" t="s">
        <v>50</v>
      </c>
      <c r="X372" t="s">
        <v>51</v>
      </c>
      <c r="Y372" t="s">
        <v>73</v>
      </c>
      <c r="Z372">
        <v>4</v>
      </c>
      <c r="AA372">
        <v>872.91</v>
      </c>
      <c r="AB372">
        <v>51</v>
      </c>
    </row>
    <row r="373" spans="1:28" x14ac:dyDescent="0.2">
      <c r="A373">
        <v>3844</v>
      </c>
      <c r="B373" s="1">
        <v>44357</v>
      </c>
      <c r="C373" t="s">
        <v>113</v>
      </c>
      <c r="D373" t="s">
        <v>94</v>
      </c>
      <c r="E373" t="s">
        <v>30</v>
      </c>
      <c r="F373" t="s">
        <v>46</v>
      </c>
      <c r="G373" t="s">
        <v>32</v>
      </c>
      <c r="H373" t="s">
        <v>33</v>
      </c>
      <c r="I373" t="s">
        <v>115</v>
      </c>
      <c r="J373" t="s">
        <v>65</v>
      </c>
      <c r="K373" s="2">
        <v>22434</v>
      </c>
      <c r="L373" t="s">
        <v>36</v>
      </c>
      <c r="M373" t="s">
        <v>48</v>
      </c>
      <c r="N373" t="s">
        <v>38</v>
      </c>
      <c r="O373" t="s">
        <v>61</v>
      </c>
      <c r="P373" t="s">
        <v>107</v>
      </c>
      <c r="Q373">
        <v>3</v>
      </c>
      <c r="R373" s="2">
        <v>44958</v>
      </c>
      <c r="S373">
        <v>3</v>
      </c>
      <c r="T373">
        <v>2</v>
      </c>
      <c r="U373">
        <v>5</v>
      </c>
      <c r="V373" s="1">
        <v>45116</v>
      </c>
      <c r="W373" t="s">
        <v>62</v>
      </c>
      <c r="X373" t="s">
        <v>51</v>
      </c>
      <c r="Y373" t="s">
        <v>43</v>
      </c>
      <c r="Z373">
        <v>5</v>
      </c>
      <c r="AA373">
        <v>603.66999999999996</v>
      </c>
      <c r="AB373">
        <v>60</v>
      </c>
    </row>
    <row r="374" spans="1:28" x14ac:dyDescent="0.2">
      <c r="A374">
        <v>3845</v>
      </c>
      <c r="B374" s="1">
        <v>43702</v>
      </c>
      <c r="C374" t="s">
        <v>113</v>
      </c>
      <c r="D374" t="s">
        <v>74</v>
      </c>
      <c r="E374" t="s">
        <v>30</v>
      </c>
      <c r="F374" t="s">
        <v>31</v>
      </c>
      <c r="G374" t="s">
        <v>45</v>
      </c>
      <c r="H374" t="s">
        <v>55</v>
      </c>
      <c r="I374" t="s">
        <v>115</v>
      </c>
      <c r="J374" t="s">
        <v>70</v>
      </c>
      <c r="K374" s="2">
        <v>25425</v>
      </c>
      <c r="L374" t="s">
        <v>36</v>
      </c>
      <c r="M374" t="s">
        <v>48</v>
      </c>
      <c r="N374" t="s">
        <v>49</v>
      </c>
      <c r="O374" t="s">
        <v>61</v>
      </c>
      <c r="P374" t="s">
        <v>107</v>
      </c>
      <c r="Q374">
        <v>3</v>
      </c>
      <c r="R374" s="2">
        <v>45143</v>
      </c>
      <c r="S374">
        <v>4</v>
      </c>
      <c r="T374">
        <v>5</v>
      </c>
      <c r="U374">
        <v>3</v>
      </c>
      <c r="V374" s="1">
        <v>44790</v>
      </c>
      <c r="W374" t="s">
        <v>62</v>
      </c>
      <c r="X374" t="s">
        <v>42</v>
      </c>
      <c r="Y374" t="s">
        <v>73</v>
      </c>
      <c r="Z374">
        <v>5</v>
      </c>
      <c r="AA374">
        <v>546.24</v>
      </c>
      <c r="AB374">
        <v>50</v>
      </c>
    </row>
    <row r="375" spans="1:28" x14ac:dyDescent="0.2">
      <c r="A375">
        <v>3846</v>
      </c>
      <c r="B375" s="1">
        <v>43955</v>
      </c>
      <c r="C375" t="s">
        <v>112</v>
      </c>
      <c r="D375" t="s">
        <v>81</v>
      </c>
      <c r="E375" t="s">
        <v>30</v>
      </c>
      <c r="F375" t="s">
        <v>31</v>
      </c>
      <c r="G375" t="s">
        <v>32</v>
      </c>
      <c r="H375" t="s">
        <v>55</v>
      </c>
      <c r="I375" t="s">
        <v>95</v>
      </c>
      <c r="J375" t="s">
        <v>101</v>
      </c>
      <c r="K375" s="2">
        <v>27616</v>
      </c>
      <c r="L375" t="s">
        <v>36</v>
      </c>
      <c r="M375" t="s">
        <v>48</v>
      </c>
      <c r="N375" t="s">
        <v>84</v>
      </c>
      <c r="O375" t="s">
        <v>61</v>
      </c>
      <c r="P375" t="s">
        <v>40</v>
      </c>
      <c r="Q375">
        <v>3</v>
      </c>
      <c r="R375" s="2">
        <v>44953</v>
      </c>
      <c r="S375">
        <v>4</v>
      </c>
      <c r="T375">
        <v>5</v>
      </c>
      <c r="U375">
        <v>1</v>
      </c>
      <c r="V375" s="1">
        <v>45027</v>
      </c>
      <c r="W375" t="s">
        <v>41</v>
      </c>
      <c r="X375" t="s">
        <v>42</v>
      </c>
      <c r="Y375" t="s">
        <v>52</v>
      </c>
      <c r="Z375">
        <v>4</v>
      </c>
      <c r="AA375">
        <v>607.97</v>
      </c>
      <c r="AB375">
        <v>45</v>
      </c>
    </row>
    <row r="376" spans="1:28" x14ac:dyDescent="0.2">
      <c r="A376">
        <v>3847</v>
      </c>
      <c r="B376" s="1">
        <v>43520</v>
      </c>
      <c r="C376" t="s">
        <v>112</v>
      </c>
      <c r="D376" t="s">
        <v>54</v>
      </c>
      <c r="E376" t="s">
        <v>30</v>
      </c>
      <c r="F376" t="s">
        <v>46</v>
      </c>
      <c r="G376" t="s">
        <v>56</v>
      </c>
      <c r="H376" t="s">
        <v>33</v>
      </c>
      <c r="I376" t="s">
        <v>95</v>
      </c>
      <c r="J376" t="s">
        <v>70</v>
      </c>
      <c r="K376" s="2">
        <v>36044</v>
      </c>
      <c r="L376" t="s">
        <v>36</v>
      </c>
      <c r="M376" t="s">
        <v>48</v>
      </c>
      <c r="N376" t="s">
        <v>49</v>
      </c>
      <c r="O376" t="s">
        <v>61</v>
      </c>
      <c r="P376" t="s">
        <v>40</v>
      </c>
      <c r="Q376">
        <v>3</v>
      </c>
      <c r="R376" s="2">
        <v>44838</v>
      </c>
      <c r="S376">
        <v>5</v>
      </c>
      <c r="T376">
        <v>3</v>
      </c>
      <c r="U376">
        <v>1</v>
      </c>
      <c r="V376" s="1">
        <v>45013</v>
      </c>
      <c r="W376" t="s">
        <v>68</v>
      </c>
      <c r="X376" t="s">
        <v>42</v>
      </c>
      <c r="Y376" t="s">
        <v>63</v>
      </c>
      <c r="Z376">
        <v>4</v>
      </c>
      <c r="AA376">
        <v>130.59</v>
      </c>
      <c r="AB376">
        <v>21</v>
      </c>
    </row>
    <row r="377" spans="1:28" x14ac:dyDescent="0.2">
      <c r="A377">
        <v>3848</v>
      </c>
      <c r="B377" s="1">
        <v>43732</v>
      </c>
      <c r="C377" t="s">
        <v>112</v>
      </c>
      <c r="D377" t="s">
        <v>69</v>
      </c>
      <c r="E377" t="s">
        <v>30</v>
      </c>
      <c r="F377" t="s">
        <v>55</v>
      </c>
      <c r="G377" t="s">
        <v>32</v>
      </c>
      <c r="H377" t="s">
        <v>33</v>
      </c>
      <c r="I377" t="s">
        <v>95</v>
      </c>
      <c r="J377" t="s">
        <v>70</v>
      </c>
      <c r="K377" s="2">
        <v>35295</v>
      </c>
      <c r="L377" t="s">
        <v>36</v>
      </c>
      <c r="M377" t="s">
        <v>48</v>
      </c>
      <c r="N377" t="s">
        <v>84</v>
      </c>
      <c r="O377" t="s">
        <v>67</v>
      </c>
      <c r="P377" t="s">
        <v>40</v>
      </c>
      <c r="Q377">
        <v>3</v>
      </c>
      <c r="R377" s="2">
        <v>44836</v>
      </c>
      <c r="S377">
        <v>5</v>
      </c>
      <c r="T377">
        <v>1</v>
      </c>
      <c r="U377">
        <v>4</v>
      </c>
      <c r="V377" s="1">
        <v>44883</v>
      </c>
      <c r="W377" t="s">
        <v>92</v>
      </c>
      <c r="X377" t="s">
        <v>42</v>
      </c>
      <c r="Y377" t="s">
        <v>52</v>
      </c>
      <c r="Z377">
        <v>2</v>
      </c>
      <c r="AA377">
        <v>443.56</v>
      </c>
      <c r="AB377">
        <v>23</v>
      </c>
    </row>
    <row r="378" spans="1:28" x14ac:dyDescent="0.2">
      <c r="A378">
        <v>3849</v>
      </c>
      <c r="B378" s="1">
        <v>44240</v>
      </c>
      <c r="C378" t="s">
        <v>112</v>
      </c>
      <c r="D378" t="s">
        <v>29</v>
      </c>
      <c r="E378" t="s">
        <v>30</v>
      </c>
      <c r="F378" t="s">
        <v>31</v>
      </c>
      <c r="G378" t="s">
        <v>45</v>
      </c>
      <c r="H378" t="s">
        <v>46</v>
      </c>
      <c r="I378" t="s">
        <v>95</v>
      </c>
      <c r="J378" t="s">
        <v>65</v>
      </c>
      <c r="K378" s="2">
        <v>28876</v>
      </c>
      <c r="L378" t="s">
        <v>36</v>
      </c>
      <c r="M378" t="s">
        <v>37</v>
      </c>
      <c r="N378" t="s">
        <v>38</v>
      </c>
      <c r="O378" t="s">
        <v>39</v>
      </c>
      <c r="P378" t="s">
        <v>40</v>
      </c>
      <c r="Q378">
        <v>3</v>
      </c>
      <c r="R378" s="2">
        <v>44811</v>
      </c>
      <c r="S378">
        <v>3</v>
      </c>
      <c r="T378">
        <v>3</v>
      </c>
      <c r="U378">
        <v>1</v>
      </c>
      <c r="V378" s="1">
        <v>45000</v>
      </c>
      <c r="W378" t="s">
        <v>41</v>
      </c>
      <c r="X378" t="s">
        <v>51</v>
      </c>
      <c r="Y378" t="s">
        <v>73</v>
      </c>
      <c r="Z378">
        <v>3</v>
      </c>
      <c r="AA378">
        <v>436.47</v>
      </c>
      <c r="AB378">
        <v>42</v>
      </c>
    </row>
    <row r="379" spans="1:28" x14ac:dyDescent="0.2">
      <c r="A379">
        <v>3850</v>
      </c>
      <c r="B379" s="1">
        <v>43835</v>
      </c>
      <c r="C379" t="s">
        <v>114</v>
      </c>
      <c r="D379" t="s">
        <v>87</v>
      </c>
      <c r="E379" t="s">
        <v>30</v>
      </c>
      <c r="F379" t="s">
        <v>46</v>
      </c>
      <c r="G379" t="s">
        <v>56</v>
      </c>
      <c r="H379" t="s">
        <v>33</v>
      </c>
      <c r="I379" t="s">
        <v>95</v>
      </c>
      <c r="J379" t="s">
        <v>105</v>
      </c>
      <c r="K379" s="2">
        <v>19588</v>
      </c>
      <c r="L379" t="s">
        <v>36</v>
      </c>
      <c r="M379" t="s">
        <v>48</v>
      </c>
      <c r="N379" t="s">
        <v>49</v>
      </c>
      <c r="O379" t="s">
        <v>61</v>
      </c>
      <c r="P379" t="s">
        <v>40</v>
      </c>
      <c r="Q379">
        <v>3</v>
      </c>
      <c r="R379" s="2">
        <v>44849</v>
      </c>
      <c r="S379">
        <v>1</v>
      </c>
      <c r="T379">
        <v>3</v>
      </c>
      <c r="U379">
        <v>5</v>
      </c>
      <c r="V379" s="1">
        <v>44866</v>
      </c>
      <c r="W379" t="s">
        <v>92</v>
      </c>
      <c r="X379" t="s">
        <v>42</v>
      </c>
      <c r="Y379" t="s">
        <v>63</v>
      </c>
      <c r="Z379">
        <v>1</v>
      </c>
      <c r="AA379">
        <v>355.75</v>
      </c>
      <c r="AB379">
        <v>67</v>
      </c>
    </row>
    <row r="380" spans="1:28" x14ac:dyDescent="0.2">
      <c r="A380">
        <v>3854</v>
      </c>
      <c r="B380" s="1">
        <v>43622</v>
      </c>
      <c r="C380" t="s">
        <v>113</v>
      </c>
      <c r="D380" t="s">
        <v>74</v>
      </c>
      <c r="E380" t="s">
        <v>30</v>
      </c>
      <c r="F380" t="s">
        <v>46</v>
      </c>
      <c r="G380" t="s">
        <v>56</v>
      </c>
      <c r="H380" t="s">
        <v>33</v>
      </c>
      <c r="I380" t="s">
        <v>115</v>
      </c>
      <c r="J380" t="s">
        <v>110</v>
      </c>
      <c r="K380" s="2">
        <v>15365</v>
      </c>
      <c r="L380" t="s">
        <v>36</v>
      </c>
      <c r="M380" t="s">
        <v>48</v>
      </c>
      <c r="N380" t="s">
        <v>72</v>
      </c>
      <c r="O380" t="s">
        <v>61</v>
      </c>
      <c r="P380" t="s">
        <v>40</v>
      </c>
      <c r="Q380">
        <v>3</v>
      </c>
      <c r="R380" s="2">
        <v>45125</v>
      </c>
      <c r="S380">
        <v>5</v>
      </c>
      <c r="T380">
        <v>2</v>
      </c>
      <c r="U380">
        <v>5</v>
      </c>
      <c r="V380" s="1">
        <v>44851</v>
      </c>
      <c r="W380" t="s">
        <v>92</v>
      </c>
      <c r="X380" t="s">
        <v>51</v>
      </c>
      <c r="Y380" t="s">
        <v>52</v>
      </c>
      <c r="Z380">
        <v>5</v>
      </c>
      <c r="AA380">
        <v>913.62</v>
      </c>
      <c r="AB380">
        <v>77</v>
      </c>
    </row>
    <row r="381" spans="1:28" x14ac:dyDescent="0.2">
      <c r="A381">
        <v>3855</v>
      </c>
      <c r="B381" s="1">
        <v>44341</v>
      </c>
      <c r="C381" t="s">
        <v>113</v>
      </c>
      <c r="D381" t="s">
        <v>74</v>
      </c>
      <c r="E381" t="s">
        <v>30</v>
      </c>
      <c r="F381" t="s">
        <v>46</v>
      </c>
      <c r="G381" t="s">
        <v>56</v>
      </c>
      <c r="H381" t="s">
        <v>46</v>
      </c>
      <c r="I381" t="s">
        <v>115</v>
      </c>
      <c r="J381" t="s">
        <v>104</v>
      </c>
      <c r="K381" s="2">
        <v>36434</v>
      </c>
      <c r="L381" t="s">
        <v>36</v>
      </c>
      <c r="M381" t="s">
        <v>48</v>
      </c>
      <c r="N381" t="s">
        <v>60</v>
      </c>
      <c r="O381" t="s">
        <v>39</v>
      </c>
      <c r="P381" t="s">
        <v>40</v>
      </c>
      <c r="Q381">
        <v>3</v>
      </c>
      <c r="R381" s="2">
        <v>45040</v>
      </c>
      <c r="S381">
        <v>5</v>
      </c>
      <c r="T381">
        <v>3</v>
      </c>
      <c r="U381">
        <v>4</v>
      </c>
      <c r="V381" s="1">
        <v>44836</v>
      </c>
      <c r="W381" t="s">
        <v>92</v>
      </c>
      <c r="X381" t="s">
        <v>51</v>
      </c>
      <c r="Y381" t="s">
        <v>73</v>
      </c>
      <c r="Z381">
        <v>1</v>
      </c>
      <c r="AA381">
        <v>157.94</v>
      </c>
      <c r="AB381">
        <v>22</v>
      </c>
    </row>
    <row r="382" spans="1:28" x14ac:dyDescent="0.2">
      <c r="A382">
        <v>3856</v>
      </c>
      <c r="B382" s="1">
        <v>45002</v>
      </c>
      <c r="C382" t="s">
        <v>113</v>
      </c>
      <c r="D382" t="s">
        <v>64</v>
      </c>
      <c r="E382" t="s">
        <v>30</v>
      </c>
      <c r="F382" t="s">
        <v>46</v>
      </c>
      <c r="G382" t="s">
        <v>32</v>
      </c>
      <c r="H382" t="s">
        <v>46</v>
      </c>
      <c r="I382" t="s">
        <v>115</v>
      </c>
      <c r="J382" t="s">
        <v>101</v>
      </c>
      <c r="K382" s="2">
        <v>34471</v>
      </c>
      <c r="L382" t="s">
        <v>36</v>
      </c>
      <c r="M382" t="s">
        <v>48</v>
      </c>
      <c r="N382" t="s">
        <v>60</v>
      </c>
      <c r="O382" t="s">
        <v>77</v>
      </c>
      <c r="P382" t="s">
        <v>107</v>
      </c>
      <c r="Q382">
        <v>3</v>
      </c>
      <c r="R382" s="2">
        <v>44943</v>
      </c>
      <c r="S382">
        <v>5</v>
      </c>
      <c r="T382">
        <v>1</v>
      </c>
      <c r="U382">
        <v>4</v>
      </c>
      <c r="V382" s="1">
        <v>45119</v>
      </c>
      <c r="W382" t="s">
        <v>68</v>
      </c>
      <c r="X382" t="s">
        <v>51</v>
      </c>
      <c r="Y382" t="s">
        <v>63</v>
      </c>
      <c r="Z382">
        <v>4</v>
      </c>
      <c r="AA382">
        <v>527.6</v>
      </c>
      <c r="AB382">
        <v>29</v>
      </c>
    </row>
    <row r="383" spans="1:28" x14ac:dyDescent="0.2">
      <c r="A383">
        <v>3857</v>
      </c>
      <c r="B383" s="1">
        <v>44836</v>
      </c>
      <c r="C383" t="s">
        <v>112</v>
      </c>
      <c r="D383" t="s">
        <v>85</v>
      </c>
      <c r="E383" t="s">
        <v>30</v>
      </c>
      <c r="F383" t="s">
        <v>31</v>
      </c>
      <c r="G383" t="s">
        <v>56</v>
      </c>
      <c r="H383" t="s">
        <v>33</v>
      </c>
      <c r="I383" t="s">
        <v>95</v>
      </c>
      <c r="J383" t="s">
        <v>97</v>
      </c>
      <c r="K383" s="2">
        <v>23155</v>
      </c>
      <c r="L383" t="s">
        <v>36</v>
      </c>
      <c r="M383" t="s">
        <v>48</v>
      </c>
      <c r="N383" t="s">
        <v>72</v>
      </c>
      <c r="O383" t="s">
        <v>39</v>
      </c>
      <c r="P383" t="s">
        <v>107</v>
      </c>
      <c r="Q383">
        <v>3</v>
      </c>
      <c r="R383" s="2">
        <v>44822</v>
      </c>
      <c r="S383">
        <v>1</v>
      </c>
      <c r="T383">
        <v>1</v>
      </c>
      <c r="U383">
        <v>2</v>
      </c>
      <c r="V383" s="1">
        <v>45131</v>
      </c>
      <c r="W383" t="s">
        <v>41</v>
      </c>
      <c r="X383" t="s">
        <v>51</v>
      </c>
      <c r="Y383" t="s">
        <v>63</v>
      </c>
      <c r="Z383">
        <v>1</v>
      </c>
      <c r="AA383">
        <v>601.20000000000005</v>
      </c>
      <c r="AB383">
        <v>59</v>
      </c>
    </row>
    <row r="384" spans="1:28" x14ac:dyDescent="0.2">
      <c r="A384">
        <v>3858</v>
      </c>
      <c r="B384" s="1">
        <v>44583</v>
      </c>
      <c r="C384" t="s">
        <v>112</v>
      </c>
      <c r="D384" t="s">
        <v>94</v>
      </c>
      <c r="E384" t="s">
        <v>30</v>
      </c>
      <c r="F384" t="s">
        <v>55</v>
      </c>
      <c r="G384" t="s">
        <v>56</v>
      </c>
      <c r="H384" t="s">
        <v>55</v>
      </c>
      <c r="I384" t="s">
        <v>95</v>
      </c>
      <c r="J384" t="s">
        <v>79</v>
      </c>
      <c r="K384" s="2">
        <v>18811</v>
      </c>
      <c r="L384" t="s">
        <v>36</v>
      </c>
      <c r="M384" t="s">
        <v>48</v>
      </c>
      <c r="N384" t="s">
        <v>60</v>
      </c>
      <c r="O384" t="s">
        <v>67</v>
      </c>
      <c r="P384" t="s">
        <v>40</v>
      </c>
      <c r="Q384">
        <v>3</v>
      </c>
      <c r="R384" s="2">
        <v>45053</v>
      </c>
      <c r="S384">
        <v>3</v>
      </c>
      <c r="T384">
        <v>3</v>
      </c>
      <c r="U384">
        <v>1</v>
      </c>
      <c r="V384" s="1">
        <v>45090</v>
      </c>
      <c r="W384" t="s">
        <v>62</v>
      </c>
      <c r="X384" t="s">
        <v>51</v>
      </c>
      <c r="Y384" t="s">
        <v>43</v>
      </c>
      <c r="Z384">
        <v>4</v>
      </c>
      <c r="AA384">
        <v>478.88</v>
      </c>
      <c r="AB384">
        <v>71</v>
      </c>
    </row>
    <row r="385" spans="1:28" x14ac:dyDescent="0.2">
      <c r="A385">
        <v>3859</v>
      </c>
      <c r="B385" s="1">
        <v>43798</v>
      </c>
      <c r="C385" t="s">
        <v>112</v>
      </c>
      <c r="D385" t="s">
        <v>54</v>
      </c>
      <c r="E385" t="s">
        <v>30</v>
      </c>
      <c r="F385" t="s">
        <v>55</v>
      </c>
      <c r="G385" t="s">
        <v>56</v>
      </c>
      <c r="H385" t="s">
        <v>46</v>
      </c>
      <c r="I385" t="s">
        <v>95</v>
      </c>
      <c r="J385" t="s">
        <v>97</v>
      </c>
      <c r="K385" s="2">
        <v>33714</v>
      </c>
      <c r="L385" t="s">
        <v>36</v>
      </c>
      <c r="M385" t="s">
        <v>37</v>
      </c>
      <c r="N385" t="s">
        <v>49</v>
      </c>
      <c r="O385" t="s">
        <v>67</v>
      </c>
      <c r="P385" t="s">
        <v>107</v>
      </c>
      <c r="Q385">
        <v>3</v>
      </c>
      <c r="R385" s="2">
        <v>45140</v>
      </c>
      <c r="S385">
        <v>1</v>
      </c>
      <c r="T385">
        <v>2</v>
      </c>
      <c r="U385">
        <v>5</v>
      </c>
      <c r="V385" s="1">
        <v>45082</v>
      </c>
      <c r="W385" t="s">
        <v>92</v>
      </c>
      <c r="X385" t="s">
        <v>51</v>
      </c>
      <c r="Y385" t="s">
        <v>63</v>
      </c>
      <c r="Z385">
        <v>1</v>
      </c>
      <c r="AA385">
        <v>838.69</v>
      </c>
      <c r="AB385">
        <v>27</v>
      </c>
    </row>
    <row r="386" spans="1:28" x14ac:dyDescent="0.2">
      <c r="A386">
        <v>3860</v>
      </c>
      <c r="B386" s="1">
        <v>44013</v>
      </c>
      <c r="C386" t="s">
        <v>112</v>
      </c>
      <c r="D386" t="s">
        <v>81</v>
      </c>
      <c r="E386" t="s">
        <v>30</v>
      </c>
      <c r="F386" t="s">
        <v>31</v>
      </c>
      <c r="G386" t="s">
        <v>56</v>
      </c>
      <c r="H386" t="s">
        <v>33</v>
      </c>
      <c r="I386" t="s">
        <v>95</v>
      </c>
      <c r="J386" t="s">
        <v>102</v>
      </c>
      <c r="K386" s="2">
        <v>35068</v>
      </c>
      <c r="L386" t="s">
        <v>36</v>
      </c>
      <c r="M386" t="s">
        <v>37</v>
      </c>
      <c r="N386" t="s">
        <v>84</v>
      </c>
      <c r="O386" t="s">
        <v>61</v>
      </c>
      <c r="P386" t="s">
        <v>40</v>
      </c>
      <c r="Q386">
        <v>3</v>
      </c>
      <c r="R386" s="2">
        <v>45103</v>
      </c>
      <c r="S386">
        <v>2</v>
      </c>
      <c r="T386">
        <v>4</v>
      </c>
      <c r="U386">
        <v>3</v>
      </c>
      <c r="V386" s="1">
        <v>44844</v>
      </c>
      <c r="W386" t="s">
        <v>68</v>
      </c>
      <c r="X386" t="s">
        <v>42</v>
      </c>
      <c r="Y386" t="s">
        <v>63</v>
      </c>
      <c r="Z386">
        <v>4</v>
      </c>
      <c r="AA386">
        <v>389.63</v>
      </c>
      <c r="AB386">
        <v>24</v>
      </c>
    </row>
    <row r="387" spans="1:28" x14ac:dyDescent="0.2">
      <c r="A387">
        <v>3861</v>
      </c>
      <c r="B387" s="1">
        <v>44644</v>
      </c>
      <c r="C387" t="s">
        <v>114</v>
      </c>
      <c r="D387" t="s">
        <v>54</v>
      </c>
      <c r="E387" t="s">
        <v>30</v>
      </c>
      <c r="F387" t="s">
        <v>55</v>
      </c>
      <c r="G387" t="s">
        <v>32</v>
      </c>
      <c r="H387" t="s">
        <v>46</v>
      </c>
      <c r="I387" t="s">
        <v>95</v>
      </c>
      <c r="J387" t="s">
        <v>65</v>
      </c>
      <c r="K387" s="2">
        <v>23798</v>
      </c>
      <c r="L387" t="s">
        <v>36</v>
      </c>
      <c r="M387" t="s">
        <v>48</v>
      </c>
      <c r="N387" t="s">
        <v>60</v>
      </c>
      <c r="O387" t="s">
        <v>39</v>
      </c>
      <c r="P387" t="s">
        <v>107</v>
      </c>
      <c r="Q387">
        <v>3</v>
      </c>
      <c r="R387" s="2">
        <v>45126</v>
      </c>
      <c r="S387">
        <v>3</v>
      </c>
      <c r="T387">
        <v>1</v>
      </c>
      <c r="U387">
        <v>5</v>
      </c>
      <c r="V387" s="1">
        <v>45045</v>
      </c>
      <c r="W387" t="s">
        <v>62</v>
      </c>
      <c r="X387" t="s">
        <v>42</v>
      </c>
      <c r="Y387" t="s">
        <v>73</v>
      </c>
      <c r="Z387">
        <v>1</v>
      </c>
      <c r="AA387">
        <v>911.36</v>
      </c>
      <c r="AB387">
        <v>57</v>
      </c>
    </row>
    <row r="388" spans="1:28" x14ac:dyDescent="0.2">
      <c r="A388">
        <v>3863</v>
      </c>
      <c r="B388" s="1">
        <v>43623</v>
      </c>
      <c r="C388" t="s">
        <v>116</v>
      </c>
      <c r="D388" t="s">
        <v>29</v>
      </c>
      <c r="E388" t="s">
        <v>30</v>
      </c>
      <c r="F388" t="s">
        <v>31</v>
      </c>
      <c r="G388" t="s">
        <v>45</v>
      </c>
      <c r="H388" t="s">
        <v>33</v>
      </c>
      <c r="I388" t="s">
        <v>95</v>
      </c>
      <c r="J388" t="s">
        <v>47</v>
      </c>
      <c r="K388" s="2">
        <v>26377</v>
      </c>
      <c r="L388" t="s">
        <v>36</v>
      </c>
      <c r="M388" t="s">
        <v>37</v>
      </c>
      <c r="N388" t="s">
        <v>60</v>
      </c>
      <c r="O388" t="s">
        <v>61</v>
      </c>
      <c r="P388" t="s">
        <v>107</v>
      </c>
      <c r="Q388">
        <v>3</v>
      </c>
      <c r="R388" s="2">
        <v>44888</v>
      </c>
      <c r="S388">
        <v>4</v>
      </c>
      <c r="T388">
        <v>2</v>
      </c>
      <c r="U388">
        <v>1</v>
      </c>
      <c r="V388" s="1">
        <v>44820</v>
      </c>
      <c r="W388" t="s">
        <v>41</v>
      </c>
      <c r="X388" t="s">
        <v>42</v>
      </c>
      <c r="Y388" t="s">
        <v>52</v>
      </c>
      <c r="Z388">
        <v>5</v>
      </c>
      <c r="AA388">
        <v>274.98</v>
      </c>
      <c r="AB388">
        <v>47</v>
      </c>
    </row>
    <row r="389" spans="1:28" x14ac:dyDescent="0.2">
      <c r="A389">
        <v>3865</v>
      </c>
      <c r="B389" s="1">
        <v>44103</v>
      </c>
      <c r="C389" t="s">
        <v>113</v>
      </c>
      <c r="D389" t="s">
        <v>87</v>
      </c>
      <c r="E389" t="s">
        <v>30</v>
      </c>
      <c r="F389" t="s">
        <v>46</v>
      </c>
      <c r="G389" t="s">
        <v>32</v>
      </c>
      <c r="H389" t="s">
        <v>33</v>
      </c>
      <c r="I389" t="s">
        <v>34</v>
      </c>
      <c r="J389" t="s">
        <v>118</v>
      </c>
      <c r="K389" s="2">
        <v>23287</v>
      </c>
      <c r="L389" t="s">
        <v>36</v>
      </c>
      <c r="M389" t="s">
        <v>48</v>
      </c>
      <c r="N389" t="s">
        <v>84</v>
      </c>
      <c r="O389" t="s">
        <v>61</v>
      </c>
      <c r="P389" t="s">
        <v>98</v>
      </c>
      <c r="Q389">
        <v>3</v>
      </c>
      <c r="R389" s="2">
        <v>45072</v>
      </c>
      <c r="S389">
        <v>1</v>
      </c>
      <c r="T389">
        <v>4</v>
      </c>
      <c r="U389">
        <v>3</v>
      </c>
      <c r="V389" s="1">
        <v>44868</v>
      </c>
      <c r="W389" t="s">
        <v>62</v>
      </c>
      <c r="X389" t="s">
        <v>51</v>
      </c>
      <c r="Y389" t="s">
        <v>63</v>
      </c>
      <c r="Z389">
        <v>2</v>
      </c>
      <c r="AA389">
        <v>399.26</v>
      </c>
      <c r="AB389">
        <v>57</v>
      </c>
    </row>
    <row r="390" spans="1:28" x14ac:dyDescent="0.2">
      <c r="A390">
        <v>3866</v>
      </c>
      <c r="B390" s="1">
        <v>44078</v>
      </c>
      <c r="C390" t="s">
        <v>113</v>
      </c>
      <c r="D390" t="s">
        <v>64</v>
      </c>
      <c r="E390" t="s">
        <v>30</v>
      </c>
      <c r="F390" t="s">
        <v>31</v>
      </c>
      <c r="G390" t="s">
        <v>45</v>
      </c>
      <c r="H390" t="s">
        <v>55</v>
      </c>
      <c r="I390" t="s">
        <v>115</v>
      </c>
      <c r="J390" t="s">
        <v>70</v>
      </c>
      <c r="K390" s="2">
        <v>21863</v>
      </c>
      <c r="L390" t="s">
        <v>36</v>
      </c>
      <c r="M390" t="s">
        <v>48</v>
      </c>
      <c r="N390" t="s">
        <v>60</v>
      </c>
      <c r="O390" t="s">
        <v>77</v>
      </c>
      <c r="P390" t="s">
        <v>40</v>
      </c>
      <c r="Q390">
        <v>3</v>
      </c>
      <c r="R390" s="2">
        <v>44820</v>
      </c>
      <c r="S390">
        <v>2</v>
      </c>
      <c r="T390">
        <v>1</v>
      </c>
      <c r="U390">
        <v>5</v>
      </c>
      <c r="V390" s="1">
        <v>44899</v>
      </c>
      <c r="W390" t="s">
        <v>50</v>
      </c>
      <c r="X390" t="s">
        <v>42</v>
      </c>
      <c r="Y390" t="s">
        <v>52</v>
      </c>
      <c r="Z390">
        <v>4</v>
      </c>
      <c r="AA390">
        <v>993.08</v>
      </c>
      <c r="AB390">
        <v>61</v>
      </c>
    </row>
    <row r="391" spans="1:28" x14ac:dyDescent="0.2">
      <c r="A391">
        <v>3867</v>
      </c>
      <c r="B391" s="1">
        <v>43338</v>
      </c>
      <c r="C391" t="s">
        <v>113</v>
      </c>
      <c r="D391" t="s">
        <v>94</v>
      </c>
      <c r="E391" t="s">
        <v>30</v>
      </c>
      <c r="F391" t="s">
        <v>46</v>
      </c>
      <c r="G391" t="s">
        <v>56</v>
      </c>
      <c r="H391" t="s">
        <v>55</v>
      </c>
      <c r="I391" t="s">
        <v>115</v>
      </c>
      <c r="J391" t="s">
        <v>102</v>
      </c>
      <c r="K391" s="2">
        <v>31706</v>
      </c>
      <c r="L391" t="s">
        <v>36</v>
      </c>
      <c r="M391" t="s">
        <v>48</v>
      </c>
      <c r="N391" t="s">
        <v>60</v>
      </c>
      <c r="O391" t="s">
        <v>39</v>
      </c>
      <c r="P391" t="s">
        <v>40</v>
      </c>
      <c r="Q391">
        <v>3</v>
      </c>
      <c r="R391" s="2">
        <v>44865</v>
      </c>
      <c r="S391">
        <v>5</v>
      </c>
      <c r="T391">
        <v>3</v>
      </c>
      <c r="U391">
        <v>3</v>
      </c>
      <c r="V391" s="1">
        <v>44811</v>
      </c>
      <c r="W391" t="s">
        <v>92</v>
      </c>
      <c r="X391" t="s">
        <v>51</v>
      </c>
      <c r="Y391" t="s">
        <v>43</v>
      </c>
      <c r="Z391">
        <v>4</v>
      </c>
      <c r="AA391">
        <v>540.57000000000005</v>
      </c>
      <c r="AB391">
        <v>32</v>
      </c>
    </row>
    <row r="392" spans="1:28" x14ac:dyDescent="0.2">
      <c r="A392">
        <v>3868</v>
      </c>
      <c r="B392" s="1">
        <v>43694</v>
      </c>
      <c r="C392" t="s">
        <v>113</v>
      </c>
      <c r="D392" t="s">
        <v>74</v>
      </c>
      <c r="E392" t="s">
        <v>30</v>
      </c>
      <c r="F392" t="s">
        <v>31</v>
      </c>
      <c r="G392" t="s">
        <v>45</v>
      </c>
      <c r="H392" t="s">
        <v>46</v>
      </c>
      <c r="I392" t="s">
        <v>95</v>
      </c>
      <c r="J392" t="s">
        <v>35</v>
      </c>
      <c r="K392" s="2">
        <v>36608</v>
      </c>
      <c r="L392" t="s">
        <v>36</v>
      </c>
      <c r="M392" t="s">
        <v>48</v>
      </c>
      <c r="N392" t="s">
        <v>49</v>
      </c>
      <c r="O392" t="s">
        <v>39</v>
      </c>
      <c r="P392" t="s">
        <v>40</v>
      </c>
      <c r="Q392">
        <v>3</v>
      </c>
      <c r="R392" s="2">
        <v>44820</v>
      </c>
      <c r="S392">
        <v>3</v>
      </c>
      <c r="T392">
        <v>1</v>
      </c>
      <c r="U392">
        <v>2</v>
      </c>
      <c r="V392" s="1">
        <v>44831</v>
      </c>
      <c r="W392" t="s">
        <v>62</v>
      </c>
      <c r="X392" t="s">
        <v>42</v>
      </c>
      <c r="Y392" t="s">
        <v>63</v>
      </c>
      <c r="Z392">
        <v>3</v>
      </c>
      <c r="AA392">
        <v>272.58</v>
      </c>
      <c r="AB392">
        <v>19</v>
      </c>
    </row>
    <row r="393" spans="1:28" x14ac:dyDescent="0.2">
      <c r="A393">
        <v>3869</v>
      </c>
      <c r="B393" s="1">
        <v>43733</v>
      </c>
      <c r="C393" t="s">
        <v>112</v>
      </c>
      <c r="D393" t="s">
        <v>81</v>
      </c>
      <c r="E393" t="s">
        <v>30</v>
      </c>
      <c r="F393" t="s">
        <v>55</v>
      </c>
      <c r="G393" t="s">
        <v>45</v>
      </c>
      <c r="H393" t="s">
        <v>33</v>
      </c>
      <c r="I393" t="s">
        <v>95</v>
      </c>
      <c r="J393" t="s">
        <v>70</v>
      </c>
      <c r="K393" s="2">
        <v>28286</v>
      </c>
      <c r="L393" t="s">
        <v>36</v>
      </c>
      <c r="M393" t="s">
        <v>48</v>
      </c>
      <c r="N393" t="s">
        <v>49</v>
      </c>
      <c r="O393" t="s">
        <v>77</v>
      </c>
      <c r="P393" t="s">
        <v>40</v>
      </c>
      <c r="Q393">
        <v>3</v>
      </c>
      <c r="R393" s="2">
        <v>44933</v>
      </c>
      <c r="S393">
        <v>1</v>
      </c>
      <c r="T393">
        <v>4</v>
      </c>
      <c r="U393">
        <v>2</v>
      </c>
      <c r="V393" s="1">
        <v>45004</v>
      </c>
      <c r="W393" t="s">
        <v>62</v>
      </c>
      <c r="X393" t="s">
        <v>51</v>
      </c>
      <c r="Y393" t="s">
        <v>63</v>
      </c>
      <c r="Z393">
        <v>2</v>
      </c>
      <c r="AA393">
        <v>905.51</v>
      </c>
      <c r="AB393">
        <v>42</v>
      </c>
    </row>
    <row r="394" spans="1:28" x14ac:dyDescent="0.2">
      <c r="A394">
        <v>3870</v>
      </c>
      <c r="B394" s="1">
        <v>44996</v>
      </c>
      <c r="C394" t="s">
        <v>112</v>
      </c>
      <c r="D394" t="s">
        <v>54</v>
      </c>
      <c r="E394" t="s">
        <v>30</v>
      </c>
      <c r="F394" t="s">
        <v>31</v>
      </c>
      <c r="G394" t="s">
        <v>56</v>
      </c>
      <c r="H394" t="s">
        <v>33</v>
      </c>
      <c r="I394" t="s">
        <v>95</v>
      </c>
      <c r="J394" t="s">
        <v>96</v>
      </c>
      <c r="K394" s="2">
        <v>24434</v>
      </c>
      <c r="L394" t="s">
        <v>36</v>
      </c>
      <c r="M394" t="s">
        <v>48</v>
      </c>
      <c r="N394" t="s">
        <v>84</v>
      </c>
      <c r="O394" t="s">
        <v>61</v>
      </c>
      <c r="P394" t="s">
        <v>40</v>
      </c>
      <c r="Q394">
        <v>3</v>
      </c>
      <c r="R394" s="2">
        <v>44970</v>
      </c>
      <c r="S394">
        <v>1</v>
      </c>
      <c r="T394">
        <v>5</v>
      </c>
      <c r="U394">
        <v>1</v>
      </c>
      <c r="V394" s="1">
        <v>44995</v>
      </c>
      <c r="W394" t="s">
        <v>68</v>
      </c>
      <c r="X394" t="s">
        <v>51</v>
      </c>
      <c r="Y394" t="s">
        <v>63</v>
      </c>
      <c r="Z394">
        <v>1</v>
      </c>
      <c r="AA394">
        <v>919.25</v>
      </c>
      <c r="AB394">
        <v>57</v>
      </c>
    </row>
    <row r="395" spans="1:28" x14ac:dyDescent="0.2">
      <c r="A395">
        <v>3871</v>
      </c>
      <c r="B395" s="1">
        <v>44910</v>
      </c>
      <c r="C395" t="s">
        <v>112</v>
      </c>
      <c r="D395" t="s">
        <v>69</v>
      </c>
      <c r="E395" t="s">
        <v>30</v>
      </c>
      <c r="F395" t="s">
        <v>55</v>
      </c>
      <c r="G395" t="s">
        <v>56</v>
      </c>
      <c r="H395" t="s">
        <v>55</v>
      </c>
      <c r="I395" t="s">
        <v>95</v>
      </c>
      <c r="J395" t="s">
        <v>65</v>
      </c>
      <c r="K395" s="2">
        <v>26089</v>
      </c>
      <c r="L395" t="s">
        <v>36</v>
      </c>
      <c r="M395" t="s">
        <v>37</v>
      </c>
      <c r="N395" t="s">
        <v>38</v>
      </c>
      <c r="O395" t="s">
        <v>39</v>
      </c>
      <c r="P395" t="s">
        <v>40</v>
      </c>
      <c r="Q395">
        <v>3</v>
      </c>
      <c r="R395" s="2">
        <v>45122</v>
      </c>
      <c r="S395">
        <v>4</v>
      </c>
      <c r="T395">
        <v>5</v>
      </c>
      <c r="U395">
        <v>2</v>
      </c>
      <c r="V395" s="1">
        <v>45031</v>
      </c>
      <c r="W395" t="s">
        <v>68</v>
      </c>
      <c r="X395" t="s">
        <v>51</v>
      </c>
      <c r="Y395" t="s">
        <v>63</v>
      </c>
      <c r="Z395">
        <v>5</v>
      </c>
      <c r="AA395">
        <v>979.98</v>
      </c>
      <c r="AB395">
        <v>51</v>
      </c>
    </row>
    <row r="396" spans="1:28" x14ac:dyDescent="0.2">
      <c r="A396">
        <v>3872</v>
      </c>
      <c r="B396" s="1">
        <v>43322</v>
      </c>
      <c r="C396" t="s">
        <v>112</v>
      </c>
      <c r="D396" t="s">
        <v>29</v>
      </c>
      <c r="E396" t="s">
        <v>30</v>
      </c>
      <c r="F396" t="s">
        <v>31</v>
      </c>
      <c r="G396" t="s">
        <v>56</v>
      </c>
      <c r="H396" t="s">
        <v>46</v>
      </c>
      <c r="I396" t="s">
        <v>95</v>
      </c>
      <c r="J396" t="s">
        <v>79</v>
      </c>
      <c r="K396" s="2">
        <v>24115</v>
      </c>
      <c r="L396" t="s">
        <v>36</v>
      </c>
      <c r="M396" t="s">
        <v>37</v>
      </c>
      <c r="N396" t="s">
        <v>84</v>
      </c>
      <c r="O396" t="s">
        <v>61</v>
      </c>
      <c r="P396" t="s">
        <v>40</v>
      </c>
      <c r="Q396">
        <v>3</v>
      </c>
      <c r="R396" s="2">
        <v>44788</v>
      </c>
      <c r="S396">
        <v>5</v>
      </c>
      <c r="T396">
        <v>5</v>
      </c>
      <c r="U396">
        <v>3</v>
      </c>
      <c r="V396" s="1">
        <v>44983</v>
      </c>
      <c r="W396" t="s">
        <v>92</v>
      </c>
      <c r="X396" t="s">
        <v>42</v>
      </c>
      <c r="Y396" t="s">
        <v>63</v>
      </c>
      <c r="Z396">
        <v>3</v>
      </c>
      <c r="AA396">
        <v>499.86</v>
      </c>
      <c r="AB396">
        <v>52</v>
      </c>
    </row>
    <row r="397" spans="1:28" x14ac:dyDescent="0.2">
      <c r="A397">
        <v>3873</v>
      </c>
      <c r="B397" s="1">
        <v>44624</v>
      </c>
      <c r="C397" t="s">
        <v>114</v>
      </c>
      <c r="D397" t="s">
        <v>81</v>
      </c>
      <c r="E397" t="s">
        <v>30</v>
      </c>
      <c r="F397" t="s">
        <v>55</v>
      </c>
      <c r="G397" t="s">
        <v>56</v>
      </c>
      <c r="H397" t="s">
        <v>46</v>
      </c>
      <c r="I397" t="s">
        <v>95</v>
      </c>
      <c r="J397" t="s">
        <v>82</v>
      </c>
      <c r="K397" s="2">
        <v>26599</v>
      </c>
      <c r="L397" t="s">
        <v>36</v>
      </c>
      <c r="M397" t="s">
        <v>48</v>
      </c>
      <c r="N397" t="s">
        <v>49</v>
      </c>
      <c r="O397" t="s">
        <v>39</v>
      </c>
      <c r="P397" t="s">
        <v>40</v>
      </c>
      <c r="Q397">
        <v>3</v>
      </c>
      <c r="R397" s="2">
        <v>45010</v>
      </c>
      <c r="S397">
        <v>3</v>
      </c>
      <c r="T397">
        <v>4</v>
      </c>
      <c r="U397">
        <v>5</v>
      </c>
      <c r="V397" s="1">
        <v>44995</v>
      </c>
      <c r="W397" t="s">
        <v>62</v>
      </c>
      <c r="X397" t="s">
        <v>42</v>
      </c>
      <c r="Y397" t="s">
        <v>63</v>
      </c>
      <c r="Z397">
        <v>3</v>
      </c>
      <c r="AA397">
        <v>598.22</v>
      </c>
      <c r="AB397">
        <v>50</v>
      </c>
    </row>
    <row r="398" spans="1:28" x14ac:dyDescent="0.2">
      <c r="A398">
        <v>3874</v>
      </c>
      <c r="B398" s="1">
        <v>43984</v>
      </c>
      <c r="C398" t="s">
        <v>114</v>
      </c>
      <c r="D398" t="s">
        <v>54</v>
      </c>
      <c r="E398" t="s">
        <v>30</v>
      </c>
      <c r="F398" t="s">
        <v>46</v>
      </c>
      <c r="G398" t="s">
        <v>32</v>
      </c>
      <c r="H398" t="s">
        <v>46</v>
      </c>
      <c r="I398" t="s">
        <v>95</v>
      </c>
      <c r="J398" t="s">
        <v>65</v>
      </c>
      <c r="K398" s="2">
        <v>35725</v>
      </c>
      <c r="L398" t="s">
        <v>71</v>
      </c>
      <c r="M398" t="s">
        <v>48</v>
      </c>
      <c r="N398" t="s">
        <v>49</v>
      </c>
      <c r="O398" t="s">
        <v>67</v>
      </c>
      <c r="P398" t="s">
        <v>40</v>
      </c>
      <c r="Q398">
        <v>3</v>
      </c>
      <c r="R398" s="2">
        <v>44835</v>
      </c>
      <c r="S398">
        <v>4</v>
      </c>
      <c r="T398">
        <v>4</v>
      </c>
      <c r="U398">
        <v>5</v>
      </c>
      <c r="V398" s="1">
        <v>44837</v>
      </c>
      <c r="W398" t="s">
        <v>62</v>
      </c>
      <c r="X398" t="s">
        <v>51</v>
      </c>
      <c r="Y398" t="s">
        <v>73</v>
      </c>
      <c r="Z398">
        <v>2</v>
      </c>
      <c r="AA398">
        <v>421.93</v>
      </c>
      <c r="AB398">
        <v>23</v>
      </c>
    </row>
    <row r="399" spans="1:28" x14ac:dyDescent="0.2">
      <c r="A399">
        <v>3875</v>
      </c>
      <c r="B399" s="1">
        <v>44376</v>
      </c>
      <c r="C399" t="s">
        <v>114</v>
      </c>
      <c r="D399" t="s">
        <v>69</v>
      </c>
      <c r="E399" t="s">
        <v>30</v>
      </c>
      <c r="F399" t="s">
        <v>31</v>
      </c>
      <c r="G399" t="s">
        <v>45</v>
      </c>
      <c r="H399" t="s">
        <v>33</v>
      </c>
      <c r="I399" t="s">
        <v>95</v>
      </c>
      <c r="J399" t="s">
        <v>111</v>
      </c>
      <c r="K399" s="2">
        <v>25438</v>
      </c>
      <c r="L399" t="s">
        <v>71</v>
      </c>
      <c r="M399" t="s">
        <v>48</v>
      </c>
      <c r="N399" t="s">
        <v>84</v>
      </c>
      <c r="O399" t="s">
        <v>77</v>
      </c>
      <c r="P399" t="s">
        <v>40</v>
      </c>
      <c r="Q399">
        <v>3</v>
      </c>
      <c r="R399" s="2">
        <v>44959</v>
      </c>
      <c r="S399">
        <v>5</v>
      </c>
      <c r="T399">
        <v>5</v>
      </c>
      <c r="U399">
        <v>1</v>
      </c>
      <c r="V399" s="1">
        <v>45087</v>
      </c>
      <c r="W399" t="s">
        <v>41</v>
      </c>
      <c r="X399" t="s">
        <v>51</v>
      </c>
      <c r="Y399" t="s">
        <v>52</v>
      </c>
      <c r="Z399">
        <v>2</v>
      </c>
      <c r="AA399">
        <v>860.22</v>
      </c>
      <c r="AB399">
        <v>52</v>
      </c>
    </row>
    <row r="400" spans="1:28" x14ac:dyDescent="0.2">
      <c r="A400">
        <v>3876</v>
      </c>
      <c r="B400" s="1">
        <v>44493</v>
      </c>
      <c r="C400" t="s">
        <v>116</v>
      </c>
      <c r="D400" t="s">
        <v>29</v>
      </c>
      <c r="E400" t="s">
        <v>30</v>
      </c>
      <c r="F400" t="s">
        <v>31</v>
      </c>
      <c r="G400" t="s">
        <v>32</v>
      </c>
      <c r="H400" t="s">
        <v>33</v>
      </c>
      <c r="I400" t="s">
        <v>95</v>
      </c>
      <c r="J400" t="s">
        <v>65</v>
      </c>
      <c r="K400" s="2">
        <v>19874</v>
      </c>
      <c r="L400" t="s">
        <v>36</v>
      </c>
      <c r="M400" t="s">
        <v>37</v>
      </c>
      <c r="N400" t="s">
        <v>49</v>
      </c>
      <c r="O400" t="s">
        <v>61</v>
      </c>
      <c r="P400" t="s">
        <v>107</v>
      </c>
      <c r="Q400">
        <v>3</v>
      </c>
      <c r="R400" s="2">
        <v>44872</v>
      </c>
      <c r="S400">
        <v>3</v>
      </c>
      <c r="T400">
        <v>2</v>
      </c>
      <c r="U400">
        <v>5</v>
      </c>
      <c r="V400" s="1">
        <v>44875</v>
      </c>
      <c r="W400" t="s">
        <v>41</v>
      </c>
      <c r="X400" t="s">
        <v>51</v>
      </c>
      <c r="Y400" t="s">
        <v>43</v>
      </c>
      <c r="Z400">
        <v>1</v>
      </c>
      <c r="AA400">
        <v>946.23</v>
      </c>
      <c r="AB400">
        <v>67</v>
      </c>
    </row>
    <row r="401" spans="1:28" x14ac:dyDescent="0.2">
      <c r="A401">
        <v>3877</v>
      </c>
      <c r="B401" s="1">
        <v>43395</v>
      </c>
      <c r="C401" t="s">
        <v>113</v>
      </c>
      <c r="D401" t="s">
        <v>87</v>
      </c>
      <c r="E401" t="s">
        <v>30</v>
      </c>
      <c r="F401" t="s">
        <v>46</v>
      </c>
      <c r="G401" t="s">
        <v>45</v>
      </c>
      <c r="H401" t="s">
        <v>55</v>
      </c>
      <c r="I401" t="s">
        <v>115</v>
      </c>
      <c r="J401" t="s">
        <v>65</v>
      </c>
      <c r="K401" s="2">
        <v>27780</v>
      </c>
      <c r="L401" t="s">
        <v>36</v>
      </c>
      <c r="M401" t="s">
        <v>48</v>
      </c>
      <c r="N401" t="s">
        <v>84</v>
      </c>
      <c r="O401" t="s">
        <v>61</v>
      </c>
      <c r="P401" t="s">
        <v>107</v>
      </c>
      <c r="Q401">
        <v>3</v>
      </c>
      <c r="R401" s="2">
        <v>45107</v>
      </c>
      <c r="S401">
        <v>3</v>
      </c>
      <c r="T401">
        <v>3</v>
      </c>
      <c r="U401">
        <v>4</v>
      </c>
      <c r="V401" s="1">
        <v>45081</v>
      </c>
      <c r="W401" t="s">
        <v>92</v>
      </c>
      <c r="X401" t="s">
        <v>51</v>
      </c>
      <c r="Y401" t="s">
        <v>73</v>
      </c>
      <c r="Z401">
        <v>1</v>
      </c>
      <c r="AA401">
        <v>888.55</v>
      </c>
      <c r="AB401">
        <v>42</v>
      </c>
    </row>
    <row r="402" spans="1:28" x14ac:dyDescent="0.2">
      <c r="A402">
        <v>3878</v>
      </c>
      <c r="B402" s="1">
        <v>43351</v>
      </c>
      <c r="C402" t="s">
        <v>113</v>
      </c>
      <c r="D402" t="s">
        <v>64</v>
      </c>
      <c r="E402" t="s">
        <v>30</v>
      </c>
      <c r="F402" t="s">
        <v>31</v>
      </c>
      <c r="G402" t="s">
        <v>56</v>
      </c>
      <c r="H402" t="s">
        <v>46</v>
      </c>
      <c r="I402" t="s">
        <v>115</v>
      </c>
      <c r="J402" t="s">
        <v>79</v>
      </c>
      <c r="K402" s="2">
        <v>24521</v>
      </c>
      <c r="L402" t="s">
        <v>36</v>
      </c>
      <c r="M402" t="s">
        <v>48</v>
      </c>
      <c r="N402" t="s">
        <v>60</v>
      </c>
      <c r="O402" t="s">
        <v>77</v>
      </c>
      <c r="P402" t="s">
        <v>40</v>
      </c>
      <c r="Q402">
        <v>3</v>
      </c>
      <c r="R402" s="2">
        <v>44980</v>
      </c>
      <c r="S402">
        <v>4</v>
      </c>
      <c r="T402">
        <v>4</v>
      </c>
      <c r="U402">
        <v>1</v>
      </c>
      <c r="V402" s="1">
        <v>44923</v>
      </c>
      <c r="W402" t="s">
        <v>50</v>
      </c>
      <c r="X402" t="s">
        <v>42</v>
      </c>
      <c r="Y402" t="s">
        <v>73</v>
      </c>
      <c r="Z402">
        <v>5</v>
      </c>
      <c r="AA402">
        <v>749.69</v>
      </c>
      <c r="AB402">
        <v>51</v>
      </c>
    </row>
    <row r="403" spans="1:28" x14ac:dyDescent="0.2">
      <c r="A403">
        <v>3879</v>
      </c>
      <c r="B403" s="1">
        <v>43504</v>
      </c>
      <c r="C403" t="s">
        <v>113</v>
      </c>
      <c r="D403" t="s">
        <v>94</v>
      </c>
      <c r="E403" t="s">
        <v>30</v>
      </c>
      <c r="F403" t="s">
        <v>55</v>
      </c>
      <c r="G403" t="s">
        <v>32</v>
      </c>
      <c r="H403" t="s">
        <v>46</v>
      </c>
      <c r="I403" t="s">
        <v>95</v>
      </c>
      <c r="J403" t="s">
        <v>70</v>
      </c>
      <c r="K403" s="2">
        <v>35077</v>
      </c>
      <c r="L403" t="s">
        <v>36</v>
      </c>
      <c r="M403" t="s">
        <v>48</v>
      </c>
      <c r="N403" t="s">
        <v>49</v>
      </c>
      <c r="O403" t="s">
        <v>67</v>
      </c>
      <c r="P403" t="s">
        <v>40</v>
      </c>
      <c r="Q403">
        <v>3</v>
      </c>
      <c r="R403" s="2">
        <v>44917</v>
      </c>
      <c r="S403">
        <v>1</v>
      </c>
      <c r="T403">
        <v>5</v>
      </c>
      <c r="U403">
        <v>2</v>
      </c>
      <c r="V403" s="1">
        <v>45027</v>
      </c>
      <c r="W403" t="s">
        <v>62</v>
      </c>
      <c r="X403" t="s">
        <v>42</v>
      </c>
      <c r="Y403" t="s">
        <v>52</v>
      </c>
      <c r="Z403">
        <v>2</v>
      </c>
      <c r="AA403">
        <v>613.95000000000005</v>
      </c>
      <c r="AB403">
        <v>23</v>
      </c>
    </row>
    <row r="404" spans="1:28" x14ac:dyDescent="0.2">
      <c r="A404">
        <v>3880</v>
      </c>
      <c r="B404" s="1">
        <v>44284</v>
      </c>
      <c r="C404" t="s">
        <v>113</v>
      </c>
      <c r="D404" t="s">
        <v>74</v>
      </c>
      <c r="E404" t="s">
        <v>30</v>
      </c>
      <c r="F404" t="s">
        <v>46</v>
      </c>
      <c r="G404" t="s">
        <v>56</v>
      </c>
      <c r="H404" t="s">
        <v>33</v>
      </c>
      <c r="I404" t="s">
        <v>95</v>
      </c>
      <c r="J404" t="s">
        <v>65</v>
      </c>
      <c r="K404" s="2">
        <v>26799</v>
      </c>
      <c r="L404" t="s">
        <v>36</v>
      </c>
      <c r="M404" t="s">
        <v>48</v>
      </c>
      <c r="N404" t="s">
        <v>72</v>
      </c>
      <c r="O404" t="s">
        <v>61</v>
      </c>
      <c r="P404" t="s">
        <v>40</v>
      </c>
      <c r="Q404">
        <v>3</v>
      </c>
      <c r="R404" s="2">
        <v>44822</v>
      </c>
      <c r="S404">
        <v>4</v>
      </c>
      <c r="T404">
        <v>3</v>
      </c>
      <c r="U404">
        <v>1</v>
      </c>
      <c r="V404" s="1">
        <v>44829</v>
      </c>
      <c r="W404" t="s">
        <v>92</v>
      </c>
      <c r="X404" t="s">
        <v>42</v>
      </c>
      <c r="Y404" t="s">
        <v>63</v>
      </c>
      <c r="Z404">
        <v>3</v>
      </c>
      <c r="AA404">
        <v>934.92</v>
      </c>
      <c r="AB404">
        <v>48</v>
      </c>
    </row>
    <row r="405" spans="1:28" x14ac:dyDescent="0.2">
      <c r="A405">
        <v>3881</v>
      </c>
      <c r="B405" s="1">
        <v>43635</v>
      </c>
      <c r="C405" t="s">
        <v>112</v>
      </c>
      <c r="D405" t="s">
        <v>81</v>
      </c>
      <c r="E405" t="s">
        <v>30</v>
      </c>
      <c r="F405" t="s">
        <v>46</v>
      </c>
      <c r="G405" t="s">
        <v>56</v>
      </c>
      <c r="H405" t="s">
        <v>46</v>
      </c>
      <c r="I405" t="s">
        <v>95</v>
      </c>
      <c r="J405" t="s">
        <v>70</v>
      </c>
      <c r="K405" s="2">
        <v>33920</v>
      </c>
      <c r="L405" t="s">
        <v>36</v>
      </c>
      <c r="M405" t="s">
        <v>48</v>
      </c>
      <c r="N405" t="s">
        <v>60</v>
      </c>
      <c r="O405" t="s">
        <v>77</v>
      </c>
      <c r="P405" t="s">
        <v>40</v>
      </c>
      <c r="Q405">
        <v>3</v>
      </c>
      <c r="R405" s="2">
        <v>44854</v>
      </c>
      <c r="S405">
        <v>5</v>
      </c>
      <c r="T405">
        <v>3</v>
      </c>
      <c r="U405">
        <v>5</v>
      </c>
      <c r="V405" s="1">
        <v>44859</v>
      </c>
      <c r="W405" t="s">
        <v>62</v>
      </c>
      <c r="X405" t="s">
        <v>51</v>
      </c>
      <c r="Y405" t="s">
        <v>43</v>
      </c>
      <c r="Z405">
        <v>3</v>
      </c>
      <c r="AA405">
        <v>170.61</v>
      </c>
      <c r="AB405">
        <v>27</v>
      </c>
    </row>
    <row r="406" spans="1:28" x14ac:dyDescent="0.2">
      <c r="A406">
        <v>3882</v>
      </c>
      <c r="B406" s="1">
        <v>43495</v>
      </c>
      <c r="C406" t="s">
        <v>112</v>
      </c>
      <c r="D406" t="s">
        <v>54</v>
      </c>
      <c r="E406" t="s">
        <v>30</v>
      </c>
      <c r="F406" t="s">
        <v>31</v>
      </c>
      <c r="G406" t="s">
        <v>32</v>
      </c>
      <c r="H406" t="s">
        <v>46</v>
      </c>
      <c r="I406" t="s">
        <v>95</v>
      </c>
      <c r="J406" t="s">
        <v>103</v>
      </c>
      <c r="K406" s="2">
        <v>16848</v>
      </c>
      <c r="L406" t="s">
        <v>36</v>
      </c>
      <c r="M406" t="s">
        <v>37</v>
      </c>
      <c r="N406" t="s">
        <v>84</v>
      </c>
      <c r="O406" t="s">
        <v>67</v>
      </c>
      <c r="P406" t="s">
        <v>40</v>
      </c>
      <c r="Q406">
        <v>3</v>
      </c>
      <c r="R406" s="2">
        <v>44823</v>
      </c>
      <c r="S406">
        <v>5</v>
      </c>
      <c r="T406">
        <v>3</v>
      </c>
      <c r="U406">
        <v>3</v>
      </c>
      <c r="V406" s="1">
        <v>45079</v>
      </c>
      <c r="W406" t="s">
        <v>50</v>
      </c>
      <c r="X406" t="s">
        <v>42</v>
      </c>
      <c r="Y406" t="s">
        <v>63</v>
      </c>
      <c r="Z406">
        <v>2</v>
      </c>
      <c r="AA406">
        <v>654.09</v>
      </c>
      <c r="AB406">
        <v>73</v>
      </c>
    </row>
    <row r="407" spans="1:28" x14ac:dyDescent="0.2">
      <c r="A407">
        <v>3883</v>
      </c>
      <c r="B407" s="1">
        <v>44687</v>
      </c>
      <c r="C407" t="s">
        <v>112</v>
      </c>
      <c r="D407" t="s">
        <v>69</v>
      </c>
      <c r="E407" t="s">
        <v>30</v>
      </c>
      <c r="F407" t="s">
        <v>31</v>
      </c>
      <c r="G407" t="s">
        <v>56</v>
      </c>
      <c r="H407" t="s">
        <v>55</v>
      </c>
      <c r="I407" t="s">
        <v>95</v>
      </c>
      <c r="J407" t="s">
        <v>70</v>
      </c>
      <c r="K407" s="2">
        <v>33405</v>
      </c>
      <c r="L407" t="s">
        <v>36</v>
      </c>
      <c r="M407" t="s">
        <v>37</v>
      </c>
      <c r="N407" t="s">
        <v>38</v>
      </c>
      <c r="O407" t="s">
        <v>39</v>
      </c>
      <c r="P407" t="s">
        <v>40</v>
      </c>
      <c r="Q407">
        <v>3</v>
      </c>
      <c r="R407" s="2">
        <v>44998</v>
      </c>
      <c r="S407">
        <v>2</v>
      </c>
      <c r="T407">
        <v>2</v>
      </c>
      <c r="U407">
        <v>1</v>
      </c>
      <c r="V407" s="1">
        <v>45112</v>
      </c>
      <c r="W407" t="s">
        <v>92</v>
      </c>
      <c r="X407" t="s">
        <v>42</v>
      </c>
      <c r="Y407" t="s">
        <v>52</v>
      </c>
      <c r="Z407">
        <v>2</v>
      </c>
      <c r="AA407">
        <v>842.6</v>
      </c>
      <c r="AB407">
        <v>31</v>
      </c>
    </row>
    <row r="408" spans="1:28" x14ac:dyDescent="0.2">
      <c r="A408">
        <v>3884</v>
      </c>
      <c r="B408" s="1">
        <v>43498</v>
      </c>
      <c r="C408" t="s">
        <v>112</v>
      </c>
      <c r="D408" t="s">
        <v>29</v>
      </c>
      <c r="E408" t="s">
        <v>30</v>
      </c>
      <c r="F408" t="s">
        <v>55</v>
      </c>
      <c r="G408" t="s">
        <v>56</v>
      </c>
      <c r="H408" t="s">
        <v>33</v>
      </c>
      <c r="I408" t="s">
        <v>95</v>
      </c>
      <c r="J408" t="s">
        <v>79</v>
      </c>
      <c r="K408" s="2">
        <v>31894</v>
      </c>
      <c r="L408" t="s">
        <v>36</v>
      </c>
      <c r="M408" t="s">
        <v>37</v>
      </c>
      <c r="N408" t="s">
        <v>72</v>
      </c>
      <c r="O408" t="s">
        <v>39</v>
      </c>
      <c r="P408" t="s">
        <v>40</v>
      </c>
      <c r="Q408">
        <v>3</v>
      </c>
      <c r="R408" s="2">
        <v>45137</v>
      </c>
      <c r="S408">
        <v>4</v>
      </c>
      <c r="T408">
        <v>2</v>
      </c>
      <c r="U408">
        <v>3</v>
      </c>
      <c r="V408" s="1">
        <v>44821</v>
      </c>
      <c r="W408" t="s">
        <v>50</v>
      </c>
      <c r="X408" t="s">
        <v>51</v>
      </c>
      <c r="Y408" t="s">
        <v>73</v>
      </c>
      <c r="Z408">
        <v>1</v>
      </c>
      <c r="AA408">
        <v>789.88</v>
      </c>
      <c r="AB408">
        <v>32</v>
      </c>
    </row>
    <row r="409" spans="1:28" x14ac:dyDescent="0.2">
      <c r="A409">
        <v>3885</v>
      </c>
      <c r="B409" s="1">
        <v>44538</v>
      </c>
      <c r="C409" t="s">
        <v>114</v>
      </c>
      <c r="D409" t="s">
        <v>44</v>
      </c>
      <c r="E409" t="s">
        <v>30</v>
      </c>
      <c r="F409" t="s">
        <v>55</v>
      </c>
      <c r="G409" t="s">
        <v>56</v>
      </c>
      <c r="H409" t="s">
        <v>46</v>
      </c>
      <c r="I409" t="s">
        <v>95</v>
      </c>
      <c r="J409" t="s">
        <v>79</v>
      </c>
      <c r="K409" s="2">
        <v>17827</v>
      </c>
      <c r="L409" t="s">
        <v>71</v>
      </c>
      <c r="M409" t="s">
        <v>37</v>
      </c>
      <c r="N409" t="s">
        <v>72</v>
      </c>
      <c r="O409" t="s">
        <v>61</v>
      </c>
      <c r="P409" t="s">
        <v>40</v>
      </c>
      <c r="Q409">
        <v>3</v>
      </c>
      <c r="R409" s="2">
        <v>45137</v>
      </c>
      <c r="S409">
        <v>5</v>
      </c>
      <c r="T409">
        <v>5</v>
      </c>
      <c r="U409">
        <v>5</v>
      </c>
      <c r="V409" s="1">
        <v>44792</v>
      </c>
      <c r="W409" t="s">
        <v>92</v>
      </c>
      <c r="X409" t="s">
        <v>51</v>
      </c>
      <c r="Y409" t="s">
        <v>43</v>
      </c>
      <c r="Z409">
        <v>2</v>
      </c>
      <c r="AA409">
        <v>324.81</v>
      </c>
      <c r="AB409">
        <v>73</v>
      </c>
    </row>
    <row r="410" spans="1:28" x14ac:dyDescent="0.2">
      <c r="A410">
        <v>3886</v>
      </c>
      <c r="B410" s="1">
        <v>43385</v>
      </c>
      <c r="C410" t="s">
        <v>114</v>
      </c>
      <c r="D410" t="s">
        <v>87</v>
      </c>
      <c r="E410" t="s">
        <v>30</v>
      </c>
      <c r="F410" t="s">
        <v>46</v>
      </c>
      <c r="G410" t="s">
        <v>56</v>
      </c>
      <c r="H410" t="s">
        <v>33</v>
      </c>
      <c r="I410" t="s">
        <v>95</v>
      </c>
      <c r="J410" t="s">
        <v>103</v>
      </c>
      <c r="K410" s="2">
        <v>28465</v>
      </c>
      <c r="L410" t="s">
        <v>71</v>
      </c>
      <c r="M410" t="s">
        <v>48</v>
      </c>
      <c r="N410" t="s">
        <v>60</v>
      </c>
      <c r="O410" t="s">
        <v>61</v>
      </c>
      <c r="P410" t="s">
        <v>40</v>
      </c>
      <c r="Q410">
        <v>3</v>
      </c>
      <c r="R410" s="2">
        <v>44803</v>
      </c>
      <c r="S410">
        <v>5</v>
      </c>
      <c r="T410">
        <v>2</v>
      </c>
      <c r="U410">
        <v>5</v>
      </c>
      <c r="V410" s="1">
        <v>44893</v>
      </c>
      <c r="W410" t="s">
        <v>68</v>
      </c>
      <c r="X410" t="s">
        <v>51</v>
      </c>
      <c r="Y410" t="s">
        <v>73</v>
      </c>
      <c r="Z410">
        <v>4</v>
      </c>
      <c r="AA410">
        <v>298.10000000000002</v>
      </c>
      <c r="AB410">
        <v>41</v>
      </c>
    </row>
    <row r="411" spans="1:28" x14ac:dyDescent="0.2">
      <c r="A411">
        <v>3889</v>
      </c>
      <c r="B411" s="1">
        <v>44809</v>
      </c>
      <c r="C411" t="s">
        <v>113</v>
      </c>
      <c r="D411" t="s">
        <v>64</v>
      </c>
      <c r="E411" t="s">
        <v>30</v>
      </c>
      <c r="F411" t="s">
        <v>31</v>
      </c>
      <c r="G411" t="s">
        <v>56</v>
      </c>
      <c r="H411" t="s">
        <v>46</v>
      </c>
      <c r="I411" t="s">
        <v>115</v>
      </c>
      <c r="J411" t="s">
        <v>65</v>
      </c>
      <c r="K411" s="2">
        <v>30239</v>
      </c>
      <c r="L411" t="s">
        <v>36</v>
      </c>
      <c r="M411" t="s">
        <v>48</v>
      </c>
      <c r="N411" t="s">
        <v>72</v>
      </c>
      <c r="O411" t="s">
        <v>61</v>
      </c>
      <c r="P411" t="s">
        <v>40</v>
      </c>
      <c r="Q411">
        <v>3</v>
      </c>
      <c r="R411" s="2">
        <v>44952</v>
      </c>
      <c r="S411">
        <v>2</v>
      </c>
      <c r="T411">
        <v>1</v>
      </c>
      <c r="U411">
        <v>1</v>
      </c>
      <c r="V411" s="1">
        <v>45140</v>
      </c>
      <c r="W411" t="s">
        <v>68</v>
      </c>
      <c r="X411" t="s">
        <v>51</v>
      </c>
      <c r="Y411" t="s">
        <v>52</v>
      </c>
      <c r="Z411">
        <v>1</v>
      </c>
      <c r="AA411">
        <v>292.8</v>
      </c>
      <c r="AB411">
        <v>40</v>
      </c>
    </row>
    <row r="412" spans="1:28" x14ac:dyDescent="0.2">
      <c r="A412">
        <v>3890</v>
      </c>
      <c r="B412" s="1">
        <v>44761</v>
      </c>
      <c r="C412" t="s">
        <v>113</v>
      </c>
      <c r="D412" t="s">
        <v>74</v>
      </c>
      <c r="E412" t="s">
        <v>30</v>
      </c>
      <c r="F412" t="s">
        <v>55</v>
      </c>
      <c r="G412" t="s">
        <v>56</v>
      </c>
      <c r="H412" t="s">
        <v>33</v>
      </c>
      <c r="I412" t="s">
        <v>95</v>
      </c>
      <c r="J412" t="s">
        <v>65</v>
      </c>
      <c r="K412" s="2">
        <v>36392</v>
      </c>
      <c r="L412" t="s">
        <v>36</v>
      </c>
      <c r="M412" t="s">
        <v>48</v>
      </c>
      <c r="N412" t="s">
        <v>84</v>
      </c>
      <c r="O412" t="s">
        <v>77</v>
      </c>
      <c r="P412" t="s">
        <v>40</v>
      </c>
      <c r="Q412">
        <v>3</v>
      </c>
      <c r="R412" s="2">
        <v>44858</v>
      </c>
      <c r="S412">
        <v>2</v>
      </c>
      <c r="T412">
        <v>3</v>
      </c>
      <c r="U412">
        <v>3</v>
      </c>
      <c r="V412" s="1">
        <v>44934</v>
      </c>
      <c r="W412" t="s">
        <v>62</v>
      </c>
      <c r="X412" t="s">
        <v>51</v>
      </c>
      <c r="Y412" t="s">
        <v>63</v>
      </c>
      <c r="Z412">
        <v>4</v>
      </c>
      <c r="AA412">
        <v>596.62</v>
      </c>
      <c r="AB412">
        <v>23</v>
      </c>
    </row>
    <row r="413" spans="1:28" x14ac:dyDescent="0.2">
      <c r="A413">
        <v>3891</v>
      </c>
      <c r="B413" s="1">
        <v>44707</v>
      </c>
      <c r="C413" t="s">
        <v>113</v>
      </c>
      <c r="D413" t="s">
        <v>69</v>
      </c>
      <c r="E413" t="s">
        <v>30</v>
      </c>
      <c r="F413" t="s">
        <v>55</v>
      </c>
      <c r="G413" t="s">
        <v>32</v>
      </c>
      <c r="H413" t="s">
        <v>33</v>
      </c>
      <c r="I413" t="s">
        <v>95</v>
      </c>
      <c r="J413" t="s">
        <v>79</v>
      </c>
      <c r="K413" s="2">
        <v>22101</v>
      </c>
      <c r="L413" t="s">
        <v>36</v>
      </c>
      <c r="M413" t="s">
        <v>48</v>
      </c>
      <c r="N413" t="s">
        <v>60</v>
      </c>
      <c r="O413" t="s">
        <v>61</v>
      </c>
      <c r="P413" t="s">
        <v>40</v>
      </c>
      <c r="Q413">
        <v>3</v>
      </c>
      <c r="R413" s="2">
        <v>45113</v>
      </c>
      <c r="S413">
        <v>3</v>
      </c>
      <c r="T413">
        <v>2</v>
      </c>
      <c r="U413">
        <v>2</v>
      </c>
      <c r="V413" s="1">
        <v>45024</v>
      </c>
      <c r="W413" t="s">
        <v>41</v>
      </c>
      <c r="X413" t="s">
        <v>51</v>
      </c>
      <c r="Y413" t="s">
        <v>73</v>
      </c>
      <c r="Z413">
        <v>5</v>
      </c>
      <c r="AA413">
        <v>774.74</v>
      </c>
      <c r="AB413">
        <v>62</v>
      </c>
    </row>
    <row r="414" spans="1:28" x14ac:dyDescent="0.2">
      <c r="A414">
        <v>3892</v>
      </c>
      <c r="B414" s="1">
        <v>44865</v>
      </c>
      <c r="C414" t="s">
        <v>113</v>
      </c>
      <c r="D414" t="s">
        <v>29</v>
      </c>
      <c r="E414" t="s">
        <v>30</v>
      </c>
      <c r="F414" t="s">
        <v>55</v>
      </c>
      <c r="G414" t="s">
        <v>45</v>
      </c>
      <c r="H414" t="s">
        <v>55</v>
      </c>
      <c r="I414" t="s">
        <v>95</v>
      </c>
      <c r="J414" t="s">
        <v>79</v>
      </c>
      <c r="K414" s="2">
        <v>28581</v>
      </c>
      <c r="L414" t="s">
        <v>36</v>
      </c>
      <c r="M414" t="s">
        <v>48</v>
      </c>
      <c r="N414" t="s">
        <v>49</v>
      </c>
      <c r="O414" t="s">
        <v>77</v>
      </c>
      <c r="P414" t="s">
        <v>40</v>
      </c>
      <c r="Q414">
        <v>3</v>
      </c>
      <c r="R414" s="2">
        <v>45118</v>
      </c>
      <c r="S414">
        <v>5</v>
      </c>
      <c r="T414">
        <v>4</v>
      </c>
      <c r="U414">
        <v>2</v>
      </c>
      <c r="V414" s="1">
        <v>44844</v>
      </c>
      <c r="W414" t="s">
        <v>68</v>
      </c>
      <c r="X414" t="s">
        <v>51</v>
      </c>
      <c r="Y414" t="s">
        <v>63</v>
      </c>
      <c r="Z414">
        <v>5</v>
      </c>
      <c r="AA414">
        <v>894.59</v>
      </c>
      <c r="AB414">
        <v>44</v>
      </c>
    </row>
    <row r="415" spans="1:28" x14ac:dyDescent="0.2">
      <c r="A415">
        <v>3893</v>
      </c>
      <c r="B415" s="1">
        <v>45007</v>
      </c>
      <c r="C415" t="s">
        <v>112</v>
      </c>
      <c r="D415" t="s">
        <v>44</v>
      </c>
      <c r="E415" t="s">
        <v>30</v>
      </c>
      <c r="F415" t="s">
        <v>55</v>
      </c>
      <c r="G415" t="s">
        <v>56</v>
      </c>
      <c r="H415" t="s">
        <v>46</v>
      </c>
      <c r="I415" t="s">
        <v>95</v>
      </c>
      <c r="J415" t="s">
        <v>65</v>
      </c>
      <c r="K415" s="2">
        <v>19464</v>
      </c>
      <c r="L415" t="s">
        <v>36</v>
      </c>
      <c r="M415" t="s">
        <v>37</v>
      </c>
      <c r="N415" t="s">
        <v>84</v>
      </c>
      <c r="O415" t="s">
        <v>67</v>
      </c>
      <c r="P415" t="s">
        <v>40</v>
      </c>
      <c r="Q415">
        <v>3</v>
      </c>
      <c r="R415" s="2">
        <v>44952</v>
      </c>
      <c r="S415">
        <v>3</v>
      </c>
      <c r="T415">
        <v>1</v>
      </c>
      <c r="U415">
        <v>2</v>
      </c>
      <c r="V415" s="1">
        <v>44820</v>
      </c>
      <c r="W415" t="s">
        <v>41</v>
      </c>
      <c r="X415" t="s">
        <v>51</v>
      </c>
      <c r="Y415" t="s">
        <v>43</v>
      </c>
      <c r="Z415">
        <v>1</v>
      </c>
      <c r="AA415">
        <v>242.36</v>
      </c>
      <c r="AB415">
        <v>70</v>
      </c>
    </row>
    <row r="416" spans="1:28" x14ac:dyDescent="0.2">
      <c r="A416">
        <v>3894</v>
      </c>
      <c r="B416" s="1">
        <v>45075</v>
      </c>
      <c r="C416" t="s">
        <v>112</v>
      </c>
      <c r="D416" t="s">
        <v>87</v>
      </c>
      <c r="E416" t="s">
        <v>30</v>
      </c>
      <c r="F416" t="s">
        <v>55</v>
      </c>
      <c r="G416" t="s">
        <v>45</v>
      </c>
      <c r="H416" t="s">
        <v>55</v>
      </c>
      <c r="I416" t="s">
        <v>95</v>
      </c>
      <c r="J416" t="s">
        <v>47</v>
      </c>
      <c r="K416" s="2">
        <v>21611</v>
      </c>
      <c r="L416" t="s">
        <v>36</v>
      </c>
      <c r="M416" t="s">
        <v>37</v>
      </c>
      <c r="N416" t="s">
        <v>72</v>
      </c>
      <c r="O416" t="s">
        <v>67</v>
      </c>
      <c r="P416" t="s">
        <v>40</v>
      </c>
      <c r="Q416">
        <v>3</v>
      </c>
      <c r="R416" s="2">
        <v>44787</v>
      </c>
      <c r="S416">
        <v>4</v>
      </c>
      <c r="T416">
        <v>3</v>
      </c>
      <c r="U416">
        <v>5</v>
      </c>
      <c r="V416" s="1">
        <v>44897</v>
      </c>
      <c r="W416" t="s">
        <v>41</v>
      </c>
      <c r="X416" t="s">
        <v>51</v>
      </c>
      <c r="Y416" t="s">
        <v>43</v>
      </c>
      <c r="Z416">
        <v>4</v>
      </c>
      <c r="AA416">
        <v>533.27</v>
      </c>
      <c r="AB416">
        <v>64</v>
      </c>
    </row>
    <row r="417" spans="1:28" x14ac:dyDescent="0.2">
      <c r="A417">
        <v>3895</v>
      </c>
      <c r="B417" s="1">
        <v>43884</v>
      </c>
      <c r="C417" t="s">
        <v>112</v>
      </c>
      <c r="D417" t="s">
        <v>81</v>
      </c>
      <c r="E417" t="s">
        <v>30</v>
      </c>
      <c r="F417" t="s">
        <v>55</v>
      </c>
      <c r="G417" t="s">
        <v>32</v>
      </c>
      <c r="H417" t="s">
        <v>55</v>
      </c>
      <c r="I417" t="s">
        <v>95</v>
      </c>
      <c r="J417" t="s">
        <v>89</v>
      </c>
      <c r="K417" s="2">
        <v>15842</v>
      </c>
      <c r="L417" t="s">
        <v>36</v>
      </c>
      <c r="M417" t="s">
        <v>37</v>
      </c>
      <c r="N417" t="s">
        <v>60</v>
      </c>
      <c r="O417" t="s">
        <v>61</v>
      </c>
      <c r="P417" t="s">
        <v>40</v>
      </c>
      <c r="Q417">
        <v>3</v>
      </c>
      <c r="R417" s="2">
        <v>45123</v>
      </c>
      <c r="S417">
        <v>2</v>
      </c>
      <c r="T417">
        <v>1</v>
      </c>
      <c r="U417">
        <v>2</v>
      </c>
      <c r="V417" s="1">
        <v>45038</v>
      </c>
      <c r="W417" t="s">
        <v>68</v>
      </c>
      <c r="X417" t="s">
        <v>51</v>
      </c>
      <c r="Y417" t="s">
        <v>63</v>
      </c>
      <c r="Z417">
        <v>1</v>
      </c>
      <c r="AA417">
        <v>983.77</v>
      </c>
      <c r="AB417">
        <v>77</v>
      </c>
    </row>
    <row r="418" spans="1:28" x14ac:dyDescent="0.2">
      <c r="A418">
        <v>3896</v>
      </c>
      <c r="B418" s="1">
        <v>43690</v>
      </c>
      <c r="C418" t="s">
        <v>112</v>
      </c>
      <c r="D418" t="s">
        <v>54</v>
      </c>
      <c r="E418" t="s">
        <v>30</v>
      </c>
      <c r="F418" t="s">
        <v>46</v>
      </c>
      <c r="G418" t="s">
        <v>56</v>
      </c>
      <c r="H418" t="s">
        <v>33</v>
      </c>
      <c r="I418" t="s">
        <v>95</v>
      </c>
      <c r="J418" t="s">
        <v>79</v>
      </c>
      <c r="K418" s="2">
        <v>29545</v>
      </c>
      <c r="L418" t="s">
        <v>36</v>
      </c>
      <c r="M418" t="s">
        <v>37</v>
      </c>
      <c r="N418" t="s">
        <v>60</v>
      </c>
      <c r="O418" t="s">
        <v>39</v>
      </c>
      <c r="P418" t="s">
        <v>40</v>
      </c>
      <c r="Q418">
        <v>3</v>
      </c>
      <c r="R418" s="2">
        <v>44971</v>
      </c>
      <c r="S418">
        <v>5</v>
      </c>
      <c r="T418">
        <v>3</v>
      </c>
      <c r="U418">
        <v>1</v>
      </c>
      <c r="V418" s="1">
        <v>45022</v>
      </c>
      <c r="W418" t="s">
        <v>68</v>
      </c>
      <c r="X418" t="s">
        <v>42</v>
      </c>
      <c r="Y418" t="s">
        <v>73</v>
      </c>
      <c r="Z418">
        <v>4</v>
      </c>
      <c r="AA418">
        <v>293.64</v>
      </c>
      <c r="AB418">
        <v>39</v>
      </c>
    </row>
    <row r="419" spans="1:28" x14ac:dyDescent="0.2">
      <c r="A419">
        <v>3897</v>
      </c>
      <c r="B419" s="1">
        <v>43549</v>
      </c>
      <c r="C419" t="s">
        <v>114</v>
      </c>
      <c r="D419" t="s">
        <v>81</v>
      </c>
      <c r="E419" t="s">
        <v>30</v>
      </c>
      <c r="F419" t="s">
        <v>46</v>
      </c>
      <c r="G419" t="s">
        <v>45</v>
      </c>
      <c r="H419" t="s">
        <v>46</v>
      </c>
      <c r="I419" t="s">
        <v>95</v>
      </c>
      <c r="J419" t="s">
        <v>47</v>
      </c>
      <c r="K419" s="2">
        <v>20545</v>
      </c>
      <c r="L419" t="s">
        <v>71</v>
      </c>
      <c r="M419" t="s">
        <v>37</v>
      </c>
      <c r="N419" t="s">
        <v>72</v>
      </c>
      <c r="O419" t="s">
        <v>67</v>
      </c>
      <c r="P419" t="s">
        <v>40</v>
      </c>
      <c r="Q419">
        <v>3</v>
      </c>
      <c r="R419" s="2">
        <v>44985</v>
      </c>
      <c r="S419">
        <v>5</v>
      </c>
      <c r="T419">
        <v>4</v>
      </c>
      <c r="U419">
        <v>3</v>
      </c>
      <c r="V419" s="1">
        <v>45142</v>
      </c>
      <c r="W419" t="s">
        <v>68</v>
      </c>
      <c r="X419" t="s">
        <v>42</v>
      </c>
      <c r="Y419" t="s">
        <v>52</v>
      </c>
      <c r="Z419">
        <v>3</v>
      </c>
      <c r="AA419">
        <v>380.61</v>
      </c>
      <c r="AB419">
        <v>63</v>
      </c>
    </row>
    <row r="420" spans="1:28" x14ac:dyDescent="0.2">
      <c r="A420">
        <v>3900</v>
      </c>
      <c r="B420" s="1">
        <v>45093</v>
      </c>
      <c r="C420" t="s">
        <v>116</v>
      </c>
      <c r="D420" t="s">
        <v>29</v>
      </c>
      <c r="E420" t="s">
        <v>30</v>
      </c>
      <c r="F420" t="s">
        <v>31</v>
      </c>
      <c r="G420" t="s">
        <v>32</v>
      </c>
      <c r="H420" t="s">
        <v>55</v>
      </c>
      <c r="I420" t="s">
        <v>95</v>
      </c>
      <c r="J420" t="s">
        <v>70</v>
      </c>
      <c r="K420" s="2">
        <v>34968</v>
      </c>
      <c r="L420" t="s">
        <v>36</v>
      </c>
      <c r="M420" t="s">
        <v>37</v>
      </c>
      <c r="N420" t="s">
        <v>84</v>
      </c>
      <c r="O420" t="s">
        <v>61</v>
      </c>
      <c r="P420" t="s">
        <v>40</v>
      </c>
      <c r="Q420">
        <v>3</v>
      </c>
      <c r="R420" s="2">
        <v>44994</v>
      </c>
      <c r="S420">
        <v>5</v>
      </c>
      <c r="T420">
        <v>2</v>
      </c>
      <c r="U420">
        <v>1</v>
      </c>
      <c r="V420" s="1">
        <v>45048</v>
      </c>
      <c r="W420" t="s">
        <v>68</v>
      </c>
      <c r="X420" t="s">
        <v>42</v>
      </c>
      <c r="Y420" t="s">
        <v>73</v>
      </c>
      <c r="Z420">
        <v>5</v>
      </c>
      <c r="AA420">
        <v>143.21</v>
      </c>
      <c r="AB420">
        <v>28</v>
      </c>
    </row>
    <row r="421" spans="1:28" x14ac:dyDescent="0.2">
      <c r="A421">
        <v>3901</v>
      </c>
      <c r="B421" s="1">
        <v>44365</v>
      </c>
      <c r="C421" t="s">
        <v>113</v>
      </c>
      <c r="D421" t="s">
        <v>44</v>
      </c>
      <c r="E421" t="s">
        <v>30</v>
      </c>
      <c r="F421" t="s">
        <v>46</v>
      </c>
      <c r="G421" t="s">
        <v>45</v>
      </c>
      <c r="H421" t="s">
        <v>33</v>
      </c>
      <c r="I421" t="s">
        <v>115</v>
      </c>
      <c r="J421" t="s">
        <v>99</v>
      </c>
      <c r="K421" s="2">
        <v>32178</v>
      </c>
      <c r="L421" t="s">
        <v>36</v>
      </c>
      <c r="M421" t="s">
        <v>48</v>
      </c>
      <c r="N421" t="s">
        <v>49</v>
      </c>
      <c r="O421" t="s">
        <v>61</v>
      </c>
      <c r="P421" t="s">
        <v>40</v>
      </c>
      <c r="Q421">
        <v>3</v>
      </c>
      <c r="R421" s="2">
        <v>45117</v>
      </c>
      <c r="S421">
        <v>1</v>
      </c>
      <c r="T421">
        <v>2</v>
      </c>
      <c r="U421">
        <v>5</v>
      </c>
      <c r="V421" s="1">
        <v>45057</v>
      </c>
      <c r="W421" t="s">
        <v>50</v>
      </c>
      <c r="X421" t="s">
        <v>51</v>
      </c>
      <c r="Y421" t="s">
        <v>43</v>
      </c>
      <c r="Z421">
        <v>1</v>
      </c>
      <c r="AA421">
        <v>876.73</v>
      </c>
      <c r="AB421">
        <v>33</v>
      </c>
    </row>
    <row r="422" spans="1:28" x14ac:dyDescent="0.2">
      <c r="A422">
        <v>3902</v>
      </c>
      <c r="B422" s="1">
        <v>45068</v>
      </c>
      <c r="C422" t="s">
        <v>113</v>
      </c>
      <c r="D422" t="s">
        <v>87</v>
      </c>
      <c r="E422" t="s">
        <v>30</v>
      </c>
      <c r="F422" t="s">
        <v>31</v>
      </c>
      <c r="G422" t="s">
        <v>56</v>
      </c>
      <c r="H422" t="s">
        <v>33</v>
      </c>
      <c r="I422" t="s">
        <v>115</v>
      </c>
      <c r="J422" t="s">
        <v>101</v>
      </c>
      <c r="K422" s="2">
        <v>23530</v>
      </c>
      <c r="L422" t="s">
        <v>36</v>
      </c>
      <c r="M422" t="s">
        <v>48</v>
      </c>
      <c r="N422" t="s">
        <v>72</v>
      </c>
      <c r="O422" t="s">
        <v>61</v>
      </c>
      <c r="P422" t="s">
        <v>40</v>
      </c>
      <c r="Q422">
        <v>3</v>
      </c>
      <c r="R422" s="2">
        <v>44959</v>
      </c>
      <c r="S422">
        <v>3</v>
      </c>
      <c r="T422">
        <v>1</v>
      </c>
      <c r="U422">
        <v>1</v>
      </c>
      <c r="V422" s="1">
        <v>44937</v>
      </c>
      <c r="W422" t="s">
        <v>41</v>
      </c>
      <c r="X422" t="s">
        <v>51</v>
      </c>
      <c r="Y422" t="s">
        <v>43</v>
      </c>
      <c r="Z422">
        <v>4</v>
      </c>
      <c r="AA422">
        <v>768.05</v>
      </c>
      <c r="AB422">
        <v>59</v>
      </c>
    </row>
    <row r="423" spans="1:28" x14ac:dyDescent="0.2">
      <c r="A423">
        <v>3903</v>
      </c>
      <c r="B423" s="1">
        <v>43599</v>
      </c>
      <c r="C423" t="s">
        <v>113</v>
      </c>
      <c r="D423" t="s">
        <v>64</v>
      </c>
      <c r="E423" t="s">
        <v>30</v>
      </c>
      <c r="F423" t="s">
        <v>55</v>
      </c>
      <c r="G423" t="s">
        <v>45</v>
      </c>
      <c r="H423" t="s">
        <v>55</v>
      </c>
      <c r="I423" t="s">
        <v>95</v>
      </c>
      <c r="J423" t="s">
        <v>70</v>
      </c>
      <c r="K423" s="2">
        <v>34171</v>
      </c>
      <c r="L423" t="s">
        <v>36</v>
      </c>
      <c r="M423" t="s">
        <v>48</v>
      </c>
      <c r="N423" t="s">
        <v>49</v>
      </c>
      <c r="O423" t="s">
        <v>61</v>
      </c>
      <c r="P423" t="s">
        <v>40</v>
      </c>
      <c r="Q423">
        <v>3</v>
      </c>
      <c r="R423" s="2">
        <v>44961</v>
      </c>
      <c r="S423">
        <v>1</v>
      </c>
      <c r="T423">
        <v>4</v>
      </c>
      <c r="U423">
        <v>3</v>
      </c>
      <c r="V423" s="1">
        <v>45078</v>
      </c>
      <c r="W423" t="s">
        <v>92</v>
      </c>
      <c r="X423" t="s">
        <v>51</v>
      </c>
      <c r="Y423" t="s">
        <v>52</v>
      </c>
      <c r="Z423">
        <v>4</v>
      </c>
      <c r="AA423">
        <v>153.15</v>
      </c>
      <c r="AB423">
        <v>26</v>
      </c>
    </row>
    <row r="424" spans="1:28" x14ac:dyDescent="0.2">
      <c r="A424">
        <v>3904</v>
      </c>
      <c r="B424" s="1">
        <v>44192</v>
      </c>
      <c r="C424" t="s">
        <v>113</v>
      </c>
      <c r="D424" t="s">
        <v>94</v>
      </c>
      <c r="E424" t="s">
        <v>30</v>
      </c>
      <c r="F424" t="s">
        <v>31</v>
      </c>
      <c r="G424" t="s">
        <v>45</v>
      </c>
      <c r="H424" t="s">
        <v>46</v>
      </c>
      <c r="I424" t="s">
        <v>95</v>
      </c>
      <c r="J424" t="s">
        <v>79</v>
      </c>
      <c r="K424" s="2">
        <v>25630</v>
      </c>
      <c r="L424" t="s">
        <v>36</v>
      </c>
      <c r="M424" t="s">
        <v>48</v>
      </c>
      <c r="N424" t="s">
        <v>84</v>
      </c>
      <c r="O424" t="s">
        <v>39</v>
      </c>
      <c r="P424" t="s">
        <v>40</v>
      </c>
      <c r="Q424">
        <v>3</v>
      </c>
      <c r="R424" s="2">
        <v>44817</v>
      </c>
      <c r="S424">
        <v>4</v>
      </c>
      <c r="T424">
        <v>4</v>
      </c>
      <c r="U424">
        <v>1</v>
      </c>
      <c r="V424" s="1">
        <v>45094</v>
      </c>
      <c r="W424" t="s">
        <v>62</v>
      </c>
      <c r="X424" t="s">
        <v>51</v>
      </c>
      <c r="Y424" t="s">
        <v>73</v>
      </c>
      <c r="Z424">
        <v>5</v>
      </c>
      <c r="AA424">
        <v>339.73</v>
      </c>
      <c r="AB424">
        <v>50</v>
      </c>
    </row>
    <row r="425" spans="1:28" x14ac:dyDescent="0.2">
      <c r="A425">
        <v>3905</v>
      </c>
      <c r="B425" s="1">
        <v>44047</v>
      </c>
      <c r="C425" t="s">
        <v>113</v>
      </c>
      <c r="D425" t="s">
        <v>74</v>
      </c>
      <c r="E425" t="s">
        <v>30</v>
      </c>
      <c r="F425" t="s">
        <v>55</v>
      </c>
      <c r="G425" t="s">
        <v>45</v>
      </c>
      <c r="H425" t="s">
        <v>55</v>
      </c>
      <c r="I425" t="s">
        <v>95</v>
      </c>
      <c r="J425" t="s">
        <v>109</v>
      </c>
      <c r="K425" s="2">
        <v>21344</v>
      </c>
      <c r="L425" t="s">
        <v>36</v>
      </c>
      <c r="M425" t="s">
        <v>37</v>
      </c>
      <c r="N425" t="s">
        <v>72</v>
      </c>
      <c r="O425" t="s">
        <v>39</v>
      </c>
      <c r="P425" t="s">
        <v>40</v>
      </c>
      <c r="Q425">
        <v>3</v>
      </c>
      <c r="R425" s="2">
        <v>45089</v>
      </c>
      <c r="S425">
        <v>5</v>
      </c>
      <c r="T425">
        <v>5</v>
      </c>
      <c r="U425">
        <v>5</v>
      </c>
      <c r="V425" s="1">
        <v>44913</v>
      </c>
      <c r="W425" t="s">
        <v>62</v>
      </c>
      <c r="X425" t="s">
        <v>42</v>
      </c>
      <c r="Y425" t="s">
        <v>43</v>
      </c>
      <c r="Z425">
        <v>3</v>
      </c>
      <c r="AA425">
        <v>233.22</v>
      </c>
      <c r="AB425">
        <v>62</v>
      </c>
    </row>
    <row r="426" spans="1:28" x14ac:dyDescent="0.2">
      <c r="A426">
        <v>3906</v>
      </c>
      <c r="B426" s="1">
        <v>44068</v>
      </c>
      <c r="C426" t="s">
        <v>112</v>
      </c>
      <c r="D426" t="s">
        <v>81</v>
      </c>
      <c r="E426" t="s">
        <v>30</v>
      </c>
      <c r="F426" t="s">
        <v>31</v>
      </c>
      <c r="G426" t="s">
        <v>32</v>
      </c>
      <c r="H426" t="s">
        <v>33</v>
      </c>
      <c r="I426" t="s">
        <v>95</v>
      </c>
      <c r="J426" t="s">
        <v>101</v>
      </c>
      <c r="K426" s="2">
        <v>27642</v>
      </c>
      <c r="L426" t="s">
        <v>36</v>
      </c>
      <c r="M426" t="s">
        <v>37</v>
      </c>
      <c r="N426" t="s">
        <v>60</v>
      </c>
      <c r="O426" t="s">
        <v>67</v>
      </c>
      <c r="P426" t="s">
        <v>40</v>
      </c>
      <c r="Q426">
        <v>3</v>
      </c>
      <c r="R426" s="2">
        <v>44944</v>
      </c>
      <c r="S426">
        <v>3</v>
      </c>
      <c r="T426">
        <v>2</v>
      </c>
      <c r="U426">
        <v>4</v>
      </c>
      <c r="V426" s="1">
        <v>44976</v>
      </c>
      <c r="W426" t="s">
        <v>62</v>
      </c>
      <c r="X426" t="s">
        <v>42</v>
      </c>
      <c r="Y426" t="s">
        <v>63</v>
      </c>
      <c r="Z426">
        <v>2</v>
      </c>
      <c r="AA426">
        <v>735.44</v>
      </c>
      <c r="AB426">
        <v>45</v>
      </c>
    </row>
    <row r="427" spans="1:28" x14ac:dyDescent="0.2">
      <c r="A427">
        <v>3907</v>
      </c>
      <c r="B427" s="1">
        <v>44616</v>
      </c>
      <c r="C427" t="s">
        <v>112</v>
      </c>
      <c r="D427" t="s">
        <v>54</v>
      </c>
      <c r="E427" t="s">
        <v>30</v>
      </c>
      <c r="F427" t="s">
        <v>55</v>
      </c>
      <c r="G427" t="s">
        <v>45</v>
      </c>
      <c r="H427" t="s">
        <v>33</v>
      </c>
      <c r="I427" t="s">
        <v>95</v>
      </c>
      <c r="J427" t="s">
        <v>79</v>
      </c>
      <c r="K427" s="2">
        <v>23569</v>
      </c>
      <c r="L427" t="s">
        <v>36</v>
      </c>
      <c r="M427" t="s">
        <v>37</v>
      </c>
      <c r="N427" t="s">
        <v>38</v>
      </c>
      <c r="O427" t="s">
        <v>67</v>
      </c>
      <c r="P427" t="s">
        <v>40</v>
      </c>
      <c r="Q427">
        <v>3</v>
      </c>
      <c r="R427" s="2">
        <v>44992</v>
      </c>
      <c r="S427">
        <v>3</v>
      </c>
      <c r="T427">
        <v>2</v>
      </c>
      <c r="U427">
        <v>5</v>
      </c>
      <c r="V427" s="1">
        <v>44901</v>
      </c>
      <c r="W427" t="s">
        <v>68</v>
      </c>
      <c r="X427" t="s">
        <v>51</v>
      </c>
      <c r="Y427" t="s">
        <v>52</v>
      </c>
      <c r="Z427">
        <v>3</v>
      </c>
      <c r="AA427">
        <v>281.7</v>
      </c>
      <c r="AB427">
        <v>58</v>
      </c>
    </row>
    <row r="428" spans="1:28" x14ac:dyDescent="0.2">
      <c r="A428">
        <v>3908</v>
      </c>
      <c r="B428" s="1">
        <v>43683</v>
      </c>
      <c r="C428" t="s">
        <v>112</v>
      </c>
      <c r="D428" t="s">
        <v>69</v>
      </c>
      <c r="E428" t="s">
        <v>30</v>
      </c>
      <c r="F428" t="s">
        <v>46</v>
      </c>
      <c r="G428" t="s">
        <v>32</v>
      </c>
      <c r="H428" t="s">
        <v>33</v>
      </c>
      <c r="I428" t="s">
        <v>95</v>
      </c>
      <c r="J428" t="s">
        <v>89</v>
      </c>
      <c r="K428" s="2">
        <v>31604</v>
      </c>
      <c r="L428" t="s">
        <v>36</v>
      </c>
      <c r="M428" t="s">
        <v>37</v>
      </c>
      <c r="N428" t="s">
        <v>72</v>
      </c>
      <c r="O428" t="s">
        <v>67</v>
      </c>
      <c r="P428" t="s">
        <v>98</v>
      </c>
      <c r="Q428">
        <v>3</v>
      </c>
      <c r="R428" s="2">
        <v>44920</v>
      </c>
      <c r="S428">
        <v>2</v>
      </c>
      <c r="T428">
        <v>5</v>
      </c>
      <c r="U428">
        <v>3</v>
      </c>
      <c r="V428" s="1">
        <v>44824</v>
      </c>
      <c r="W428" t="s">
        <v>62</v>
      </c>
      <c r="X428" t="s">
        <v>51</v>
      </c>
      <c r="Y428" t="s">
        <v>43</v>
      </c>
      <c r="Z428">
        <v>1</v>
      </c>
      <c r="AA428">
        <v>489.69</v>
      </c>
      <c r="AB428">
        <v>33</v>
      </c>
    </row>
    <row r="429" spans="1:28" x14ac:dyDescent="0.2">
      <c r="A429">
        <v>3909</v>
      </c>
      <c r="B429" s="1">
        <v>44409</v>
      </c>
      <c r="C429" t="s">
        <v>112</v>
      </c>
      <c r="D429" t="s">
        <v>29</v>
      </c>
      <c r="E429" t="s">
        <v>30</v>
      </c>
      <c r="F429" t="s">
        <v>46</v>
      </c>
      <c r="G429" t="s">
        <v>32</v>
      </c>
      <c r="H429" t="s">
        <v>46</v>
      </c>
      <c r="I429" t="s">
        <v>95</v>
      </c>
      <c r="J429" t="s">
        <v>75</v>
      </c>
      <c r="K429" s="2">
        <v>16218</v>
      </c>
      <c r="L429" t="s">
        <v>36</v>
      </c>
      <c r="M429" t="s">
        <v>37</v>
      </c>
      <c r="N429" t="s">
        <v>60</v>
      </c>
      <c r="O429" t="s">
        <v>67</v>
      </c>
      <c r="P429" t="s">
        <v>98</v>
      </c>
      <c r="Q429">
        <v>3</v>
      </c>
      <c r="R429" s="2">
        <v>45064</v>
      </c>
      <c r="S429">
        <v>1</v>
      </c>
      <c r="T429">
        <v>1</v>
      </c>
      <c r="U429">
        <v>2</v>
      </c>
      <c r="V429" s="1">
        <v>44930</v>
      </c>
      <c r="W429" t="s">
        <v>62</v>
      </c>
      <c r="X429" t="s">
        <v>42</v>
      </c>
      <c r="Y429" t="s">
        <v>43</v>
      </c>
      <c r="Z429">
        <v>4</v>
      </c>
      <c r="AA429">
        <v>436.23</v>
      </c>
      <c r="AB429">
        <v>77</v>
      </c>
    </row>
    <row r="430" spans="1:28" x14ac:dyDescent="0.2">
      <c r="A430">
        <v>3910</v>
      </c>
      <c r="B430" s="1">
        <v>44755</v>
      </c>
      <c r="C430" t="s">
        <v>114</v>
      </c>
      <c r="D430" t="s">
        <v>74</v>
      </c>
      <c r="E430" t="s">
        <v>30</v>
      </c>
      <c r="F430" t="s">
        <v>46</v>
      </c>
      <c r="G430" t="s">
        <v>45</v>
      </c>
      <c r="H430" t="s">
        <v>46</v>
      </c>
      <c r="I430" t="s">
        <v>95</v>
      </c>
      <c r="J430" t="s">
        <v>103</v>
      </c>
      <c r="K430" s="2">
        <v>35483</v>
      </c>
      <c r="L430" t="s">
        <v>36</v>
      </c>
      <c r="M430" t="s">
        <v>37</v>
      </c>
      <c r="N430" t="s">
        <v>38</v>
      </c>
      <c r="O430" t="s">
        <v>39</v>
      </c>
      <c r="P430" t="s">
        <v>98</v>
      </c>
      <c r="Q430">
        <v>3</v>
      </c>
      <c r="R430" s="2">
        <v>44894</v>
      </c>
      <c r="S430">
        <v>5</v>
      </c>
      <c r="T430">
        <v>3</v>
      </c>
      <c r="U430">
        <v>4</v>
      </c>
      <c r="V430" s="1">
        <v>45053</v>
      </c>
      <c r="W430" t="s">
        <v>41</v>
      </c>
      <c r="X430" t="s">
        <v>51</v>
      </c>
      <c r="Y430" t="s">
        <v>52</v>
      </c>
      <c r="Z430">
        <v>5</v>
      </c>
      <c r="AA430">
        <v>248.85</v>
      </c>
      <c r="AB430">
        <v>25</v>
      </c>
    </row>
    <row r="431" spans="1:28" x14ac:dyDescent="0.2">
      <c r="A431">
        <v>3911</v>
      </c>
      <c r="B431" s="1">
        <v>44344</v>
      </c>
      <c r="C431" t="s">
        <v>114</v>
      </c>
      <c r="D431" t="s">
        <v>81</v>
      </c>
      <c r="E431" t="s">
        <v>30</v>
      </c>
      <c r="F431" t="s">
        <v>55</v>
      </c>
      <c r="G431" t="s">
        <v>45</v>
      </c>
      <c r="H431" t="s">
        <v>46</v>
      </c>
      <c r="I431" t="s">
        <v>95</v>
      </c>
      <c r="J431" t="s">
        <v>89</v>
      </c>
      <c r="K431" s="2">
        <v>18473</v>
      </c>
      <c r="L431" t="s">
        <v>71</v>
      </c>
      <c r="M431" t="s">
        <v>48</v>
      </c>
      <c r="N431" t="s">
        <v>38</v>
      </c>
      <c r="O431" t="s">
        <v>39</v>
      </c>
      <c r="P431" t="s">
        <v>40</v>
      </c>
      <c r="Q431">
        <v>3</v>
      </c>
      <c r="R431" s="2">
        <v>45083</v>
      </c>
      <c r="S431">
        <v>2</v>
      </c>
      <c r="T431">
        <v>5</v>
      </c>
      <c r="U431">
        <v>4</v>
      </c>
      <c r="V431" s="1">
        <v>44813</v>
      </c>
      <c r="W431" t="s">
        <v>50</v>
      </c>
      <c r="X431" t="s">
        <v>51</v>
      </c>
      <c r="Y431" t="s">
        <v>43</v>
      </c>
      <c r="Z431">
        <v>5</v>
      </c>
      <c r="AA431">
        <v>395.22</v>
      </c>
      <c r="AB431">
        <v>71</v>
      </c>
    </row>
    <row r="432" spans="1:28" x14ac:dyDescent="0.2">
      <c r="A432">
        <v>3914</v>
      </c>
      <c r="B432" s="1">
        <v>43865</v>
      </c>
      <c r="C432" t="s">
        <v>113</v>
      </c>
      <c r="D432" t="s">
        <v>85</v>
      </c>
      <c r="E432" t="s">
        <v>30</v>
      </c>
      <c r="F432" t="s">
        <v>31</v>
      </c>
      <c r="G432" t="s">
        <v>32</v>
      </c>
      <c r="H432" t="s">
        <v>33</v>
      </c>
      <c r="I432" t="s">
        <v>115</v>
      </c>
      <c r="J432" t="s">
        <v>79</v>
      </c>
      <c r="K432" s="2">
        <v>21388</v>
      </c>
      <c r="L432" t="s">
        <v>36</v>
      </c>
      <c r="M432" t="s">
        <v>48</v>
      </c>
      <c r="N432" t="s">
        <v>60</v>
      </c>
      <c r="O432" t="s">
        <v>61</v>
      </c>
      <c r="P432" t="s">
        <v>78</v>
      </c>
      <c r="Q432">
        <v>3</v>
      </c>
      <c r="R432" s="2">
        <v>45000</v>
      </c>
      <c r="S432">
        <v>3</v>
      </c>
      <c r="T432">
        <v>5</v>
      </c>
      <c r="U432">
        <v>3</v>
      </c>
      <c r="V432" s="1">
        <v>44981</v>
      </c>
      <c r="W432" t="s">
        <v>41</v>
      </c>
      <c r="X432" t="s">
        <v>42</v>
      </c>
      <c r="Y432" t="s">
        <v>43</v>
      </c>
      <c r="Z432">
        <v>1</v>
      </c>
      <c r="AA432">
        <v>559.86</v>
      </c>
      <c r="AB432">
        <v>62</v>
      </c>
    </row>
    <row r="433" spans="1:28" x14ac:dyDescent="0.2">
      <c r="A433">
        <v>3915</v>
      </c>
      <c r="B433" s="1">
        <v>44801</v>
      </c>
      <c r="C433" t="s">
        <v>113</v>
      </c>
      <c r="D433" t="s">
        <v>64</v>
      </c>
      <c r="E433" t="s">
        <v>30</v>
      </c>
      <c r="F433" t="s">
        <v>31</v>
      </c>
      <c r="G433" t="s">
        <v>56</v>
      </c>
      <c r="H433" t="s">
        <v>46</v>
      </c>
      <c r="I433" t="s">
        <v>95</v>
      </c>
      <c r="J433" t="s">
        <v>70</v>
      </c>
      <c r="K433" s="2">
        <v>33361</v>
      </c>
      <c r="L433" t="s">
        <v>36</v>
      </c>
      <c r="M433" t="s">
        <v>48</v>
      </c>
      <c r="N433" t="s">
        <v>60</v>
      </c>
      <c r="O433" t="s">
        <v>39</v>
      </c>
      <c r="P433" t="s">
        <v>40</v>
      </c>
      <c r="Q433">
        <v>3</v>
      </c>
      <c r="R433" s="2">
        <v>44958</v>
      </c>
      <c r="S433">
        <v>5</v>
      </c>
      <c r="T433">
        <v>3</v>
      </c>
      <c r="U433">
        <v>1</v>
      </c>
      <c r="V433" s="1">
        <v>45017</v>
      </c>
      <c r="W433" t="s">
        <v>41</v>
      </c>
      <c r="X433" t="s">
        <v>51</v>
      </c>
      <c r="Y433" t="s">
        <v>63</v>
      </c>
      <c r="Z433">
        <v>2</v>
      </c>
      <c r="AA433">
        <v>602.21</v>
      </c>
      <c r="AB433">
        <v>31</v>
      </c>
    </row>
    <row r="434" spans="1:28" x14ac:dyDescent="0.2">
      <c r="A434">
        <v>3916</v>
      </c>
      <c r="B434" s="1">
        <v>44739</v>
      </c>
      <c r="C434" t="s">
        <v>113</v>
      </c>
      <c r="D434" t="s">
        <v>74</v>
      </c>
      <c r="E434" t="s">
        <v>30</v>
      </c>
      <c r="F434" t="s">
        <v>46</v>
      </c>
      <c r="G434" t="s">
        <v>32</v>
      </c>
      <c r="H434" t="s">
        <v>33</v>
      </c>
      <c r="I434" t="s">
        <v>95</v>
      </c>
      <c r="J434" t="s">
        <v>96</v>
      </c>
      <c r="K434" s="2">
        <v>23522</v>
      </c>
      <c r="L434" t="s">
        <v>36</v>
      </c>
      <c r="M434" t="s">
        <v>48</v>
      </c>
      <c r="N434" t="s">
        <v>60</v>
      </c>
      <c r="O434" t="s">
        <v>39</v>
      </c>
      <c r="P434" t="s">
        <v>40</v>
      </c>
      <c r="Q434">
        <v>3</v>
      </c>
      <c r="R434" s="2">
        <v>45007</v>
      </c>
      <c r="S434">
        <v>1</v>
      </c>
      <c r="T434">
        <v>3</v>
      </c>
      <c r="U434">
        <v>1</v>
      </c>
      <c r="V434" s="1">
        <v>45001</v>
      </c>
      <c r="W434" t="s">
        <v>92</v>
      </c>
      <c r="X434" t="s">
        <v>51</v>
      </c>
      <c r="Y434" t="s">
        <v>73</v>
      </c>
      <c r="Z434">
        <v>4</v>
      </c>
      <c r="AA434">
        <v>343.6</v>
      </c>
      <c r="AB434">
        <v>58</v>
      </c>
    </row>
    <row r="435" spans="1:28" x14ac:dyDescent="0.2">
      <c r="A435">
        <v>3917</v>
      </c>
      <c r="B435" s="1">
        <v>43818</v>
      </c>
      <c r="C435" t="s">
        <v>113</v>
      </c>
      <c r="D435" t="s">
        <v>94</v>
      </c>
      <c r="E435" t="s">
        <v>30</v>
      </c>
      <c r="F435" t="s">
        <v>46</v>
      </c>
      <c r="G435" t="s">
        <v>32</v>
      </c>
      <c r="H435" t="s">
        <v>55</v>
      </c>
      <c r="I435" t="s">
        <v>95</v>
      </c>
      <c r="J435" t="s">
        <v>65</v>
      </c>
      <c r="K435" s="2">
        <v>34070</v>
      </c>
      <c r="L435" t="s">
        <v>36</v>
      </c>
      <c r="M435" t="s">
        <v>37</v>
      </c>
      <c r="N435" t="s">
        <v>72</v>
      </c>
      <c r="O435" t="s">
        <v>39</v>
      </c>
      <c r="P435" t="s">
        <v>78</v>
      </c>
      <c r="Q435">
        <v>3</v>
      </c>
      <c r="R435" s="2">
        <v>44828</v>
      </c>
      <c r="S435">
        <v>3</v>
      </c>
      <c r="T435">
        <v>1</v>
      </c>
      <c r="U435">
        <v>4</v>
      </c>
      <c r="V435" s="1">
        <v>45013</v>
      </c>
      <c r="W435" t="s">
        <v>62</v>
      </c>
      <c r="X435" t="s">
        <v>42</v>
      </c>
      <c r="Y435" t="s">
        <v>43</v>
      </c>
      <c r="Z435">
        <v>3</v>
      </c>
      <c r="AA435">
        <v>328.89</v>
      </c>
      <c r="AB435">
        <v>26</v>
      </c>
    </row>
    <row r="436" spans="1:28" x14ac:dyDescent="0.2">
      <c r="A436">
        <v>3918</v>
      </c>
      <c r="B436" s="1">
        <v>44098</v>
      </c>
      <c r="C436" t="s">
        <v>113</v>
      </c>
      <c r="D436" t="s">
        <v>74</v>
      </c>
      <c r="E436" t="s">
        <v>30</v>
      </c>
      <c r="F436" t="s">
        <v>31</v>
      </c>
      <c r="G436" t="s">
        <v>45</v>
      </c>
      <c r="H436" t="s">
        <v>55</v>
      </c>
      <c r="I436" t="s">
        <v>95</v>
      </c>
      <c r="J436" t="s">
        <v>70</v>
      </c>
      <c r="K436" s="2">
        <v>22084</v>
      </c>
      <c r="L436" t="s">
        <v>36</v>
      </c>
      <c r="M436" t="s">
        <v>37</v>
      </c>
      <c r="N436" t="s">
        <v>84</v>
      </c>
      <c r="O436" t="s">
        <v>39</v>
      </c>
      <c r="P436" t="s">
        <v>40</v>
      </c>
      <c r="Q436">
        <v>3</v>
      </c>
      <c r="R436" s="2">
        <v>45076</v>
      </c>
      <c r="S436">
        <v>3</v>
      </c>
      <c r="T436">
        <v>3</v>
      </c>
      <c r="U436">
        <v>5</v>
      </c>
      <c r="V436" s="1">
        <v>44844</v>
      </c>
      <c r="W436" t="s">
        <v>92</v>
      </c>
      <c r="X436" t="s">
        <v>51</v>
      </c>
      <c r="Y436" t="s">
        <v>63</v>
      </c>
      <c r="Z436">
        <v>3</v>
      </c>
      <c r="AA436">
        <v>701.83</v>
      </c>
      <c r="AB436">
        <v>60</v>
      </c>
    </row>
    <row r="437" spans="1:28" x14ac:dyDescent="0.2">
      <c r="A437">
        <v>3919</v>
      </c>
      <c r="B437" s="1">
        <v>45113</v>
      </c>
      <c r="C437" t="s">
        <v>112</v>
      </c>
      <c r="D437" t="s">
        <v>81</v>
      </c>
      <c r="E437" t="s">
        <v>30</v>
      </c>
      <c r="F437" t="s">
        <v>31</v>
      </c>
      <c r="G437" t="s">
        <v>32</v>
      </c>
      <c r="H437" t="s">
        <v>55</v>
      </c>
      <c r="I437" t="s">
        <v>95</v>
      </c>
      <c r="J437" t="s">
        <v>70</v>
      </c>
      <c r="K437" s="2">
        <v>16352</v>
      </c>
      <c r="L437" t="s">
        <v>36</v>
      </c>
      <c r="M437" t="s">
        <v>37</v>
      </c>
      <c r="N437" t="s">
        <v>84</v>
      </c>
      <c r="O437" t="s">
        <v>77</v>
      </c>
      <c r="P437" t="s">
        <v>40</v>
      </c>
      <c r="Q437">
        <v>3</v>
      </c>
      <c r="R437" s="2">
        <v>45048</v>
      </c>
      <c r="S437">
        <v>3</v>
      </c>
      <c r="T437">
        <v>3</v>
      </c>
      <c r="U437">
        <v>2</v>
      </c>
      <c r="V437" s="1">
        <v>45135</v>
      </c>
      <c r="W437" t="s">
        <v>50</v>
      </c>
      <c r="X437" t="s">
        <v>51</v>
      </c>
      <c r="Y437" t="s">
        <v>63</v>
      </c>
      <c r="Z437">
        <v>5</v>
      </c>
      <c r="AA437">
        <v>229.03</v>
      </c>
      <c r="AB437">
        <v>79</v>
      </c>
    </row>
    <row r="438" spans="1:28" x14ac:dyDescent="0.2">
      <c r="A438">
        <v>3920</v>
      </c>
      <c r="B438" s="1">
        <v>44297</v>
      </c>
      <c r="C438" t="s">
        <v>112</v>
      </c>
      <c r="D438" t="s">
        <v>54</v>
      </c>
      <c r="E438" t="s">
        <v>30</v>
      </c>
      <c r="F438" t="s">
        <v>55</v>
      </c>
      <c r="G438" t="s">
        <v>45</v>
      </c>
      <c r="H438" t="s">
        <v>46</v>
      </c>
      <c r="I438" t="s">
        <v>95</v>
      </c>
      <c r="J438" t="s">
        <v>70</v>
      </c>
      <c r="K438" s="2">
        <v>22589</v>
      </c>
      <c r="L438" t="s">
        <v>36</v>
      </c>
      <c r="M438" t="s">
        <v>37</v>
      </c>
      <c r="N438" t="s">
        <v>60</v>
      </c>
      <c r="O438" t="s">
        <v>77</v>
      </c>
      <c r="P438" t="s">
        <v>40</v>
      </c>
      <c r="Q438">
        <v>3</v>
      </c>
      <c r="R438" s="2">
        <v>44879</v>
      </c>
      <c r="S438">
        <v>2</v>
      </c>
      <c r="T438">
        <v>1</v>
      </c>
      <c r="U438">
        <v>4</v>
      </c>
      <c r="V438" s="1">
        <v>45081</v>
      </c>
      <c r="W438" t="s">
        <v>50</v>
      </c>
      <c r="X438" t="s">
        <v>42</v>
      </c>
      <c r="Y438" t="s">
        <v>43</v>
      </c>
      <c r="Z438">
        <v>3</v>
      </c>
      <c r="AA438">
        <v>809.39</v>
      </c>
      <c r="AB438">
        <v>60</v>
      </c>
    </row>
    <row r="439" spans="1:28" x14ac:dyDescent="0.2">
      <c r="A439">
        <v>3921</v>
      </c>
      <c r="B439" s="1">
        <v>43873</v>
      </c>
      <c r="C439" t="s">
        <v>112</v>
      </c>
      <c r="D439" t="s">
        <v>69</v>
      </c>
      <c r="E439" t="s">
        <v>30</v>
      </c>
      <c r="F439" t="s">
        <v>31</v>
      </c>
      <c r="G439" t="s">
        <v>45</v>
      </c>
      <c r="H439" t="s">
        <v>46</v>
      </c>
      <c r="I439" t="s">
        <v>95</v>
      </c>
      <c r="J439" t="s">
        <v>89</v>
      </c>
      <c r="K439" s="2">
        <v>16040</v>
      </c>
      <c r="L439" t="s">
        <v>36</v>
      </c>
      <c r="M439" t="s">
        <v>37</v>
      </c>
      <c r="N439" t="s">
        <v>60</v>
      </c>
      <c r="O439" t="s">
        <v>67</v>
      </c>
      <c r="P439" t="s">
        <v>40</v>
      </c>
      <c r="Q439">
        <v>3</v>
      </c>
      <c r="R439" s="2">
        <v>45107</v>
      </c>
      <c r="S439">
        <v>4</v>
      </c>
      <c r="T439">
        <v>3</v>
      </c>
      <c r="U439">
        <v>2</v>
      </c>
      <c r="V439" s="1">
        <v>45081</v>
      </c>
      <c r="W439" t="s">
        <v>50</v>
      </c>
      <c r="X439" t="s">
        <v>51</v>
      </c>
      <c r="Y439" t="s">
        <v>63</v>
      </c>
      <c r="Z439">
        <v>5</v>
      </c>
      <c r="AA439">
        <v>393.54</v>
      </c>
      <c r="AB439">
        <v>77</v>
      </c>
    </row>
    <row r="440" spans="1:28" x14ac:dyDescent="0.2">
      <c r="A440">
        <v>3922</v>
      </c>
      <c r="B440" s="1">
        <v>43459</v>
      </c>
      <c r="C440" t="s">
        <v>112</v>
      </c>
      <c r="D440" t="s">
        <v>29</v>
      </c>
      <c r="E440" t="s">
        <v>30</v>
      </c>
      <c r="F440" t="s">
        <v>46</v>
      </c>
      <c r="G440" t="s">
        <v>45</v>
      </c>
      <c r="H440" t="s">
        <v>55</v>
      </c>
      <c r="I440" t="s">
        <v>95</v>
      </c>
      <c r="J440" t="s">
        <v>65</v>
      </c>
      <c r="K440" s="2">
        <v>35342</v>
      </c>
      <c r="L440" t="s">
        <v>36</v>
      </c>
      <c r="M440" t="s">
        <v>37</v>
      </c>
      <c r="N440" t="s">
        <v>38</v>
      </c>
      <c r="O440" t="s">
        <v>39</v>
      </c>
      <c r="P440" t="s">
        <v>40</v>
      </c>
      <c r="Q440">
        <v>3</v>
      </c>
      <c r="R440" s="2">
        <v>44972</v>
      </c>
      <c r="S440">
        <v>5</v>
      </c>
      <c r="T440">
        <v>3</v>
      </c>
      <c r="U440">
        <v>1</v>
      </c>
      <c r="V440" s="1">
        <v>45003</v>
      </c>
      <c r="W440" t="s">
        <v>92</v>
      </c>
      <c r="X440" t="s">
        <v>51</v>
      </c>
      <c r="Y440" t="s">
        <v>52</v>
      </c>
      <c r="Z440">
        <v>1</v>
      </c>
      <c r="AA440">
        <v>629.74</v>
      </c>
      <c r="AB440">
        <v>22</v>
      </c>
    </row>
    <row r="441" spans="1:28" x14ac:dyDescent="0.2">
      <c r="A441">
        <v>3923</v>
      </c>
      <c r="B441" s="1">
        <v>44555</v>
      </c>
      <c r="C441" t="s">
        <v>114</v>
      </c>
      <c r="D441" t="s">
        <v>74</v>
      </c>
      <c r="E441" t="s">
        <v>30</v>
      </c>
      <c r="F441" t="s">
        <v>55</v>
      </c>
      <c r="G441" t="s">
        <v>32</v>
      </c>
      <c r="H441" t="s">
        <v>46</v>
      </c>
      <c r="I441" t="s">
        <v>95</v>
      </c>
      <c r="J441" t="s">
        <v>47</v>
      </c>
      <c r="K441" s="2">
        <v>20164</v>
      </c>
      <c r="L441" t="s">
        <v>36</v>
      </c>
      <c r="M441" t="s">
        <v>37</v>
      </c>
      <c r="N441" t="s">
        <v>49</v>
      </c>
      <c r="O441" t="s">
        <v>61</v>
      </c>
      <c r="P441" t="s">
        <v>78</v>
      </c>
      <c r="Q441">
        <v>3</v>
      </c>
      <c r="R441" s="2">
        <v>44861</v>
      </c>
      <c r="S441">
        <v>2</v>
      </c>
      <c r="T441">
        <v>4</v>
      </c>
      <c r="U441">
        <v>3</v>
      </c>
      <c r="V441" s="1">
        <v>44922</v>
      </c>
      <c r="W441" t="s">
        <v>62</v>
      </c>
      <c r="X441" t="s">
        <v>51</v>
      </c>
      <c r="Y441" t="s">
        <v>43</v>
      </c>
      <c r="Z441">
        <v>2</v>
      </c>
      <c r="AA441">
        <v>378.39</v>
      </c>
      <c r="AB441">
        <v>66</v>
      </c>
    </row>
    <row r="442" spans="1:28" x14ac:dyDescent="0.2">
      <c r="A442">
        <v>3924</v>
      </c>
      <c r="B442" s="1">
        <v>44338</v>
      </c>
      <c r="C442" t="s">
        <v>114</v>
      </c>
      <c r="D442" t="s">
        <v>81</v>
      </c>
      <c r="E442" t="s">
        <v>30</v>
      </c>
      <c r="F442" t="s">
        <v>55</v>
      </c>
      <c r="G442" t="s">
        <v>56</v>
      </c>
      <c r="H442" t="s">
        <v>55</v>
      </c>
      <c r="I442" t="s">
        <v>95</v>
      </c>
      <c r="J442" t="s">
        <v>65</v>
      </c>
      <c r="K442" s="2">
        <v>34086</v>
      </c>
      <c r="L442" t="s">
        <v>71</v>
      </c>
      <c r="M442" t="s">
        <v>48</v>
      </c>
      <c r="N442" t="s">
        <v>60</v>
      </c>
      <c r="O442" t="s">
        <v>39</v>
      </c>
      <c r="P442" t="s">
        <v>40</v>
      </c>
      <c r="Q442">
        <v>3</v>
      </c>
      <c r="R442" s="2">
        <v>44872</v>
      </c>
      <c r="S442">
        <v>2</v>
      </c>
      <c r="T442">
        <v>4</v>
      </c>
      <c r="U442">
        <v>5</v>
      </c>
      <c r="V442" s="1">
        <v>44812</v>
      </c>
      <c r="W442" t="s">
        <v>50</v>
      </c>
      <c r="X442" t="s">
        <v>51</v>
      </c>
      <c r="Y442" t="s">
        <v>73</v>
      </c>
      <c r="Z442">
        <v>2</v>
      </c>
      <c r="AA442">
        <v>715.98</v>
      </c>
      <c r="AB442">
        <v>28</v>
      </c>
    </row>
    <row r="443" spans="1:28" x14ac:dyDescent="0.2">
      <c r="A443">
        <v>3926</v>
      </c>
      <c r="B443" s="1">
        <v>43523</v>
      </c>
      <c r="C443" t="s">
        <v>114</v>
      </c>
      <c r="D443" t="s">
        <v>69</v>
      </c>
      <c r="E443" t="s">
        <v>30</v>
      </c>
      <c r="F443" t="s">
        <v>55</v>
      </c>
      <c r="G443" t="s">
        <v>32</v>
      </c>
      <c r="H443" t="s">
        <v>55</v>
      </c>
      <c r="I443" t="s">
        <v>95</v>
      </c>
      <c r="J443" t="s">
        <v>103</v>
      </c>
      <c r="K443" s="2">
        <v>15326</v>
      </c>
      <c r="L443" t="s">
        <v>36</v>
      </c>
      <c r="M443" t="s">
        <v>37</v>
      </c>
      <c r="N443" t="s">
        <v>49</v>
      </c>
      <c r="O443" t="s">
        <v>61</v>
      </c>
      <c r="P443" t="s">
        <v>98</v>
      </c>
      <c r="Q443">
        <v>3</v>
      </c>
      <c r="R443" s="2">
        <v>45122</v>
      </c>
      <c r="S443">
        <v>4</v>
      </c>
      <c r="T443">
        <v>1</v>
      </c>
      <c r="U443">
        <v>4</v>
      </c>
      <c r="V443" s="1">
        <v>45132</v>
      </c>
      <c r="W443" t="s">
        <v>50</v>
      </c>
      <c r="X443" t="s">
        <v>42</v>
      </c>
      <c r="Y443" t="s">
        <v>52</v>
      </c>
      <c r="Z443">
        <v>2</v>
      </c>
      <c r="AA443">
        <v>449.35</v>
      </c>
      <c r="AB443">
        <v>78</v>
      </c>
    </row>
    <row r="444" spans="1:28" x14ac:dyDescent="0.2">
      <c r="A444">
        <v>3927</v>
      </c>
      <c r="B444" s="1">
        <v>43891</v>
      </c>
      <c r="C444" t="s">
        <v>113</v>
      </c>
      <c r="D444" t="s">
        <v>85</v>
      </c>
      <c r="E444" t="s">
        <v>30</v>
      </c>
      <c r="F444" t="s">
        <v>31</v>
      </c>
      <c r="G444" t="s">
        <v>32</v>
      </c>
      <c r="H444" t="s">
        <v>33</v>
      </c>
      <c r="I444" t="s">
        <v>115</v>
      </c>
      <c r="J444" t="s">
        <v>47</v>
      </c>
      <c r="K444" s="2">
        <v>30236</v>
      </c>
      <c r="L444" t="s">
        <v>36</v>
      </c>
      <c r="M444" t="s">
        <v>48</v>
      </c>
      <c r="N444" t="s">
        <v>60</v>
      </c>
      <c r="O444" t="s">
        <v>61</v>
      </c>
      <c r="P444" t="s">
        <v>40</v>
      </c>
      <c r="Q444">
        <v>3</v>
      </c>
      <c r="R444" s="2">
        <v>45050</v>
      </c>
      <c r="S444">
        <v>5</v>
      </c>
      <c r="T444">
        <v>4</v>
      </c>
      <c r="U444">
        <v>1</v>
      </c>
      <c r="V444" s="1">
        <v>44990</v>
      </c>
      <c r="W444" t="s">
        <v>50</v>
      </c>
      <c r="X444" t="s">
        <v>51</v>
      </c>
      <c r="Y444" t="s">
        <v>63</v>
      </c>
      <c r="Z444">
        <v>2</v>
      </c>
      <c r="AA444">
        <v>878.67</v>
      </c>
      <c r="AB444">
        <v>38</v>
      </c>
    </row>
    <row r="445" spans="1:28" x14ac:dyDescent="0.2">
      <c r="A445">
        <v>3928</v>
      </c>
      <c r="B445" s="1">
        <v>44223</v>
      </c>
      <c r="C445" t="s">
        <v>113</v>
      </c>
      <c r="D445" t="s">
        <v>64</v>
      </c>
      <c r="E445" t="s">
        <v>30</v>
      </c>
      <c r="F445" t="s">
        <v>55</v>
      </c>
      <c r="G445" t="s">
        <v>45</v>
      </c>
      <c r="H445" t="s">
        <v>33</v>
      </c>
      <c r="I445" t="s">
        <v>95</v>
      </c>
      <c r="J445" t="s">
        <v>65</v>
      </c>
      <c r="K445" s="2">
        <v>20647</v>
      </c>
      <c r="L445" t="s">
        <v>36</v>
      </c>
      <c r="M445" t="s">
        <v>48</v>
      </c>
      <c r="N445" t="s">
        <v>38</v>
      </c>
      <c r="O445" t="s">
        <v>39</v>
      </c>
      <c r="P445" t="s">
        <v>40</v>
      </c>
      <c r="Q445">
        <v>3</v>
      </c>
      <c r="R445" s="2">
        <v>44930</v>
      </c>
      <c r="S445">
        <v>4</v>
      </c>
      <c r="T445">
        <v>2</v>
      </c>
      <c r="U445">
        <v>1</v>
      </c>
      <c r="V445" s="1">
        <v>44815</v>
      </c>
      <c r="W445" t="s">
        <v>41</v>
      </c>
      <c r="X445" t="s">
        <v>42</v>
      </c>
      <c r="Y445" t="s">
        <v>43</v>
      </c>
      <c r="Z445">
        <v>1</v>
      </c>
      <c r="AA445">
        <v>799.99</v>
      </c>
      <c r="AB445">
        <v>65</v>
      </c>
    </row>
    <row r="446" spans="1:28" x14ac:dyDescent="0.2">
      <c r="A446">
        <v>3929</v>
      </c>
      <c r="B446" s="1">
        <v>45095</v>
      </c>
      <c r="C446" t="s">
        <v>113</v>
      </c>
      <c r="D446" t="s">
        <v>74</v>
      </c>
      <c r="E446" t="s">
        <v>30</v>
      </c>
      <c r="F446" t="s">
        <v>31</v>
      </c>
      <c r="G446" t="s">
        <v>32</v>
      </c>
      <c r="H446" t="s">
        <v>46</v>
      </c>
      <c r="I446" t="s">
        <v>95</v>
      </c>
      <c r="J446" t="s">
        <v>101</v>
      </c>
      <c r="K446" s="2">
        <v>28235</v>
      </c>
      <c r="L446" t="s">
        <v>36</v>
      </c>
      <c r="M446" t="s">
        <v>37</v>
      </c>
      <c r="N446" t="s">
        <v>84</v>
      </c>
      <c r="O446" t="s">
        <v>67</v>
      </c>
      <c r="P446" t="s">
        <v>40</v>
      </c>
      <c r="Q446">
        <v>3</v>
      </c>
      <c r="R446" s="2">
        <v>44862</v>
      </c>
      <c r="S446">
        <v>2</v>
      </c>
      <c r="T446">
        <v>5</v>
      </c>
      <c r="U446">
        <v>2</v>
      </c>
      <c r="V446" s="1">
        <v>45118</v>
      </c>
      <c r="W446" t="s">
        <v>68</v>
      </c>
      <c r="X446" t="s">
        <v>42</v>
      </c>
      <c r="Y446" t="s">
        <v>43</v>
      </c>
      <c r="Z446">
        <v>3</v>
      </c>
      <c r="AA446">
        <v>617.52</v>
      </c>
      <c r="AB446">
        <v>46</v>
      </c>
    </row>
    <row r="447" spans="1:28" x14ac:dyDescent="0.2">
      <c r="A447">
        <v>3930</v>
      </c>
      <c r="B447" s="1">
        <v>43793</v>
      </c>
      <c r="C447" t="s">
        <v>113</v>
      </c>
      <c r="D447" t="s">
        <v>69</v>
      </c>
      <c r="E447" t="s">
        <v>30</v>
      </c>
      <c r="F447" t="s">
        <v>31</v>
      </c>
      <c r="G447" t="s">
        <v>45</v>
      </c>
      <c r="H447" t="s">
        <v>46</v>
      </c>
      <c r="I447" t="s">
        <v>95</v>
      </c>
      <c r="J447" t="s">
        <v>65</v>
      </c>
      <c r="K447" s="2">
        <v>30781</v>
      </c>
      <c r="L447" t="s">
        <v>36</v>
      </c>
      <c r="M447" t="s">
        <v>37</v>
      </c>
      <c r="N447" t="s">
        <v>84</v>
      </c>
      <c r="O447" t="s">
        <v>67</v>
      </c>
      <c r="P447" t="s">
        <v>40</v>
      </c>
      <c r="Q447">
        <v>3</v>
      </c>
      <c r="R447" s="2">
        <v>45052</v>
      </c>
      <c r="S447">
        <v>4</v>
      </c>
      <c r="T447">
        <v>4</v>
      </c>
      <c r="U447">
        <v>4</v>
      </c>
      <c r="V447" s="1">
        <v>45076</v>
      </c>
      <c r="W447" t="s">
        <v>41</v>
      </c>
      <c r="X447" t="s">
        <v>51</v>
      </c>
      <c r="Y447" t="s">
        <v>43</v>
      </c>
      <c r="Z447">
        <v>5</v>
      </c>
      <c r="AA447">
        <v>522.86</v>
      </c>
      <c r="AB447">
        <v>35</v>
      </c>
    </row>
    <row r="448" spans="1:28" x14ac:dyDescent="0.2">
      <c r="A448">
        <v>3931</v>
      </c>
      <c r="B448" s="1">
        <v>44463</v>
      </c>
      <c r="C448" t="s">
        <v>113</v>
      </c>
      <c r="D448" t="s">
        <v>29</v>
      </c>
      <c r="E448" t="s">
        <v>30</v>
      </c>
      <c r="F448" t="s">
        <v>46</v>
      </c>
      <c r="G448" t="s">
        <v>45</v>
      </c>
      <c r="H448" t="s">
        <v>33</v>
      </c>
      <c r="I448" t="s">
        <v>95</v>
      </c>
      <c r="J448" t="s">
        <v>79</v>
      </c>
      <c r="K448" s="2">
        <v>22093</v>
      </c>
      <c r="L448" t="s">
        <v>36</v>
      </c>
      <c r="M448" t="s">
        <v>48</v>
      </c>
      <c r="N448" t="s">
        <v>72</v>
      </c>
      <c r="O448" t="s">
        <v>39</v>
      </c>
      <c r="P448" t="s">
        <v>40</v>
      </c>
      <c r="Q448">
        <v>3</v>
      </c>
      <c r="R448" s="2">
        <v>44834</v>
      </c>
      <c r="S448">
        <v>2</v>
      </c>
      <c r="T448">
        <v>1</v>
      </c>
      <c r="U448">
        <v>5</v>
      </c>
      <c r="V448" s="1">
        <v>44877</v>
      </c>
      <c r="W448" t="s">
        <v>50</v>
      </c>
      <c r="X448" t="s">
        <v>51</v>
      </c>
      <c r="Y448" t="s">
        <v>43</v>
      </c>
      <c r="Z448">
        <v>5</v>
      </c>
      <c r="AA448">
        <v>685.82</v>
      </c>
      <c r="AB448">
        <v>61</v>
      </c>
    </row>
    <row r="449" spans="1:28" x14ac:dyDescent="0.2">
      <c r="A449">
        <v>3932</v>
      </c>
      <c r="B449" s="1">
        <v>44790</v>
      </c>
      <c r="C449" t="s">
        <v>112</v>
      </c>
      <c r="D449" t="s">
        <v>44</v>
      </c>
      <c r="E449" t="s">
        <v>30</v>
      </c>
      <c r="F449" t="s">
        <v>31</v>
      </c>
      <c r="G449" t="s">
        <v>56</v>
      </c>
      <c r="H449" t="s">
        <v>55</v>
      </c>
      <c r="I449" t="s">
        <v>95</v>
      </c>
      <c r="J449" t="s">
        <v>75</v>
      </c>
      <c r="K449" s="2">
        <v>23853</v>
      </c>
      <c r="L449" t="s">
        <v>36</v>
      </c>
      <c r="M449" t="s">
        <v>37</v>
      </c>
      <c r="N449" t="s">
        <v>72</v>
      </c>
      <c r="O449" t="s">
        <v>61</v>
      </c>
      <c r="P449" t="s">
        <v>40</v>
      </c>
      <c r="Q449">
        <v>3</v>
      </c>
      <c r="R449" s="2">
        <v>45100</v>
      </c>
      <c r="S449">
        <v>5</v>
      </c>
      <c r="T449">
        <v>5</v>
      </c>
      <c r="U449">
        <v>4</v>
      </c>
      <c r="V449" s="1">
        <v>44984</v>
      </c>
      <c r="W449" t="s">
        <v>68</v>
      </c>
      <c r="X449" t="s">
        <v>42</v>
      </c>
      <c r="Y449" t="s">
        <v>63</v>
      </c>
      <c r="Z449">
        <v>5</v>
      </c>
      <c r="AA449">
        <v>898.93</v>
      </c>
      <c r="AB449">
        <v>57</v>
      </c>
    </row>
    <row r="450" spans="1:28" x14ac:dyDescent="0.2">
      <c r="A450">
        <v>3933</v>
      </c>
      <c r="B450" s="1">
        <v>45034</v>
      </c>
      <c r="C450" t="s">
        <v>112</v>
      </c>
      <c r="D450" t="s">
        <v>87</v>
      </c>
      <c r="E450" t="s">
        <v>30</v>
      </c>
      <c r="F450" t="s">
        <v>31</v>
      </c>
      <c r="G450" t="s">
        <v>45</v>
      </c>
      <c r="H450" t="s">
        <v>46</v>
      </c>
      <c r="I450" t="s">
        <v>95</v>
      </c>
      <c r="J450" t="s">
        <v>79</v>
      </c>
      <c r="K450" s="2">
        <v>24705</v>
      </c>
      <c r="L450" t="s">
        <v>36</v>
      </c>
      <c r="M450" t="s">
        <v>37</v>
      </c>
      <c r="N450" t="s">
        <v>38</v>
      </c>
      <c r="O450" t="s">
        <v>67</v>
      </c>
      <c r="P450" t="s">
        <v>40</v>
      </c>
      <c r="Q450">
        <v>3</v>
      </c>
      <c r="R450" s="2">
        <v>45012</v>
      </c>
      <c r="S450">
        <v>3</v>
      </c>
      <c r="T450">
        <v>4</v>
      </c>
      <c r="U450">
        <v>5</v>
      </c>
      <c r="V450" s="1">
        <v>44796</v>
      </c>
      <c r="W450" t="s">
        <v>92</v>
      </c>
      <c r="X450" t="s">
        <v>42</v>
      </c>
      <c r="Y450" t="s">
        <v>52</v>
      </c>
      <c r="Z450">
        <v>1</v>
      </c>
      <c r="AA450">
        <v>559.54999999999995</v>
      </c>
      <c r="AB450">
        <v>56</v>
      </c>
    </row>
    <row r="451" spans="1:28" x14ac:dyDescent="0.2">
      <c r="A451">
        <v>3934</v>
      </c>
      <c r="B451" s="1">
        <v>43936</v>
      </c>
      <c r="C451" t="s">
        <v>112</v>
      </c>
      <c r="D451" t="s">
        <v>81</v>
      </c>
      <c r="E451" t="s">
        <v>30</v>
      </c>
      <c r="F451" t="s">
        <v>55</v>
      </c>
      <c r="G451" t="s">
        <v>32</v>
      </c>
      <c r="H451" t="s">
        <v>33</v>
      </c>
      <c r="I451" t="s">
        <v>95</v>
      </c>
      <c r="J451" t="s">
        <v>82</v>
      </c>
      <c r="K451" s="2">
        <v>28858</v>
      </c>
      <c r="L451" t="s">
        <v>36</v>
      </c>
      <c r="M451" t="s">
        <v>37</v>
      </c>
      <c r="N451" t="s">
        <v>84</v>
      </c>
      <c r="O451" t="s">
        <v>39</v>
      </c>
      <c r="P451" t="s">
        <v>40</v>
      </c>
      <c r="Q451">
        <v>3</v>
      </c>
      <c r="R451" s="2">
        <v>45023</v>
      </c>
      <c r="S451">
        <v>3</v>
      </c>
      <c r="T451">
        <v>3</v>
      </c>
      <c r="U451">
        <v>2</v>
      </c>
      <c r="V451" s="1">
        <v>44973</v>
      </c>
      <c r="W451" t="s">
        <v>62</v>
      </c>
      <c r="X451" t="s">
        <v>42</v>
      </c>
      <c r="Y451" t="s">
        <v>63</v>
      </c>
      <c r="Z451">
        <v>5</v>
      </c>
      <c r="AA451">
        <v>219.78</v>
      </c>
      <c r="AB451">
        <v>41</v>
      </c>
    </row>
    <row r="452" spans="1:28" x14ac:dyDescent="0.2">
      <c r="A452">
        <v>3935</v>
      </c>
      <c r="B452" s="1">
        <v>44190</v>
      </c>
      <c r="C452" t="s">
        <v>112</v>
      </c>
      <c r="D452" t="s">
        <v>54</v>
      </c>
      <c r="E452" t="s">
        <v>30</v>
      </c>
      <c r="F452" t="s">
        <v>55</v>
      </c>
      <c r="G452" t="s">
        <v>32</v>
      </c>
      <c r="H452" t="s">
        <v>55</v>
      </c>
      <c r="I452" t="s">
        <v>95</v>
      </c>
      <c r="J452" t="s">
        <v>47</v>
      </c>
      <c r="K452" s="2">
        <v>34289</v>
      </c>
      <c r="L452" t="s">
        <v>36</v>
      </c>
      <c r="M452" t="s">
        <v>48</v>
      </c>
      <c r="N452" t="s">
        <v>38</v>
      </c>
      <c r="O452" t="s">
        <v>39</v>
      </c>
      <c r="P452" t="s">
        <v>40</v>
      </c>
      <c r="Q452">
        <v>3</v>
      </c>
      <c r="R452" s="2">
        <v>45021</v>
      </c>
      <c r="S452">
        <v>5</v>
      </c>
      <c r="T452">
        <v>1</v>
      </c>
      <c r="U452">
        <v>4</v>
      </c>
      <c r="V452" s="1">
        <v>45123</v>
      </c>
      <c r="W452" t="s">
        <v>50</v>
      </c>
      <c r="X452" t="s">
        <v>42</v>
      </c>
      <c r="Y452" t="s">
        <v>73</v>
      </c>
      <c r="Z452">
        <v>5</v>
      </c>
      <c r="AA452">
        <v>223.6</v>
      </c>
      <c r="AB452">
        <v>27</v>
      </c>
    </row>
    <row r="453" spans="1:28" x14ac:dyDescent="0.2">
      <c r="A453">
        <v>3936</v>
      </c>
      <c r="B453" s="1">
        <v>44763</v>
      </c>
      <c r="C453" t="s">
        <v>117</v>
      </c>
      <c r="D453" t="s">
        <v>87</v>
      </c>
      <c r="E453" t="s">
        <v>108</v>
      </c>
      <c r="F453" t="s">
        <v>55</v>
      </c>
      <c r="G453" t="s">
        <v>56</v>
      </c>
      <c r="H453" t="s">
        <v>33</v>
      </c>
      <c r="I453" t="s">
        <v>95</v>
      </c>
      <c r="J453" t="s">
        <v>58</v>
      </c>
      <c r="K453" s="2">
        <v>35973</v>
      </c>
      <c r="L453" t="s">
        <v>71</v>
      </c>
      <c r="M453" t="s">
        <v>48</v>
      </c>
      <c r="N453" t="s">
        <v>60</v>
      </c>
      <c r="O453" t="s">
        <v>39</v>
      </c>
      <c r="P453" t="s">
        <v>40</v>
      </c>
      <c r="Q453">
        <v>3</v>
      </c>
      <c r="R453" s="2">
        <v>45010</v>
      </c>
      <c r="S453">
        <v>5</v>
      </c>
      <c r="T453">
        <v>3</v>
      </c>
      <c r="U453">
        <v>4</v>
      </c>
      <c r="V453" s="1">
        <v>45060</v>
      </c>
      <c r="W453" t="s">
        <v>92</v>
      </c>
      <c r="X453" t="s">
        <v>42</v>
      </c>
      <c r="Y453" t="s">
        <v>63</v>
      </c>
      <c r="Z453">
        <v>4</v>
      </c>
      <c r="AA453">
        <v>283.29000000000002</v>
      </c>
      <c r="AB453">
        <v>24</v>
      </c>
    </row>
    <row r="454" spans="1:28" x14ac:dyDescent="0.2">
      <c r="A454">
        <v>3937</v>
      </c>
      <c r="B454" s="1">
        <v>44869</v>
      </c>
      <c r="C454" t="s">
        <v>119</v>
      </c>
      <c r="D454" t="s">
        <v>44</v>
      </c>
      <c r="E454" t="s">
        <v>30</v>
      </c>
      <c r="F454" t="s">
        <v>31</v>
      </c>
      <c r="G454" t="s">
        <v>32</v>
      </c>
      <c r="H454" t="s">
        <v>46</v>
      </c>
      <c r="I454" t="s">
        <v>95</v>
      </c>
      <c r="J454" t="s">
        <v>70</v>
      </c>
      <c r="K454" s="2">
        <v>16328</v>
      </c>
      <c r="L454" t="s">
        <v>36</v>
      </c>
      <c r="M454" t="s">
        <v>48</v>
      </c>
      <c r="N454" t="s">
        <v>38</v>
      </c>
      <c r="O454" t="s">
        <v>39</v>
      </c>
      <c r="P454" t="s">
        <v>40</v>
      </c>
      <c r="Q454">
        <v>3</v>
      </c>
      <c r="R454" s="2">
        <v>44886</v>
      </c>
      <c r="S454">
        <v>1</v>
      </c>
      <c r="T454">
        <v>3</v>
      </c>
      <c r="U454">
        <v>1</v>
      </c>
      <c r="V454" s="1">
        <v>45018</v>
      </c>
      <c r="W454" t="s">
        <v>92</v>
      </c>
      <c r="X454" t="s">
        <v>42</v>
      </c>
      <c r="Y454" t="s">
        <v>63</v>
      </c>
      <c r="Z454">
        <v>2</v>
      </c>
      <c r="AA454">
        <v>935.28</v>
      </c>
      <c r="AB454">
        <v>78</v>
      </c>
    </row>
    <row r="455" spans="1:28" x14ac:dyDescent="0.2">
      <c r="A455">
        <v>3938</v>
      </c>
      <c r="B455" s="1">
        <v>43941</v>
      </c>
      <c r="C455" t="s">
        <v>120</v>
      </c>
      <c r="D455" t="s">
        <v>69</v>
      </c>
      <c r="E455" t="s">
        <v>30</v>
      </c>
      <c r="F455" t="s">
        <v>46</v>
      </c>
      <c r="G455" t="s">
        <v>56</v>
      </c>
      <c r="H455" t="s">
        <v>33</v>
      </c>
      <c r="I455" t="s">
        <v>95</v>
      </c>
      <c r="J455" t="s">
        <v>70</v>
      </c>
      <c r="K455" s="2">
        <v>20237</v>
      </c>
      <c r="L455" t="s">
        <v>36</v>
      </c>
      <c r="M455" t="s">
        <v>37</v>
      </c>
      <c r="N455" t="s">
        <v>49</v>
      </c>
      <c r="O455" t="s">
        <v>67</v>
      </c>
      <c r="P455" t="s">
        <v>40</v>
      </c>
      <c r="Q455">
        <v>3</v>
      </c>
      <c r="R455" s="2">
        <v>44911</v>
      </c>
      <c r="S455">
        <v>1</v>
      </c>
      <c r="T455">
        <v>1</v>
      </c>
      <c r="U455">
        <v>1</v>
      </c>
      <c r="V455" s="1">
        <v>45137</v>
      </c>
      <c r="W455" t="s">
        <v>68</v>
      </c>
      <c r="X455" t="s">
        <v>51</v>
      </c>
      <c r="Y455" t="s">
        <v>63</v>
      </c>
      <c r="Z455">
        <v>2</v>
      </c>
      <c r="AA455">
        <v>892.83</v>
      </c>
      <c r="AB455">
        <v>65</v>
      </c>
    </row>
    <row r="456" spans="1:28" x14ac:dyDescent="0.2">
      <c r="A456">
        <v>3939</v>
      </c>
      <c r="B456" s="1">
        <v>43713</v>
      </c>
      <c r="C456" t="s">
        <v>120</v>
      </c>
      <c r="D456" t="s">
        <v>29</v>
      </c>
      <c r="E456" t="s">
        <v>30</v>
      </c>
      <c r="F456" t="s">
        <v>46</v>
      </c>
      <c r="G456" t="s">
        <v>45</v>
      </c>
      <c r="H456" t="s">
        <v>46</v>
      </c>
      <c r="I456" t="s">
        <v>95</v>
      </c>
      <c r="J456" t="s">
        <v>65</v>
      </c>
      <c r="K456" s="2">
        <v>33851</v>
      </c>
      <c r="L456" t="s">
        <v>83</v>
      </c>
      <c r="M456" t="s">
        <v>48</v>
      </c>
      <c r="N456" t="s">
        <v>72</v>
      </c>
      <c r="O456" t="s">
        <v>67</v>
      </c>
      <c r="P456" t="s">
        <v>40</v>
      </c>
      <c r="Q456">
        <v>3</v>
      </c>
      <c r="R456" s="2">
        <v>44935</v>
      </c>
      <c r="S456">
        <v>5</v>
      </c>
      <c r="T456">
        <v>2</v>
      </c>
      <c r="U456">
        <v>4</v>
      </c>
      <c r="V456" s="1">
        <v>45064</v>
      </c>
      <c r="W456" t="s">
        <v>68</v>
      </c>
      <c r="X456" t="s">
        <v>42</v>
      </c>
      <c r="Y456" t="s">
        <v>73</v>
      </c>
      <c r="Z456">
        <v>4</v>
      </c>
      <c r="AA456">
        <v>318.19</v>
      </c>
      <c r="AB456">
        <v>27</v>
      </c>
    </row>
    <row r="457" spans="1:28" x14ac:dyDescent="0.2">
      <c r="A457">
        <v>3940</v>
      </c>
      <c r="B457" s="1">
        <v>43688</v>
      </c>
      <c r="C457" t="s">
        <v>121</v>
      </c>
      <c r="D457" t="s">
        <v>44</v>
      </c>
      <c r="E457" t="s">
        <v>30</v>
      </c>
      <c r="F457" t="s">
        <v>31</v>
      </c>
      <c r="G457" t="s">
        <v>56</v>
      </c>
      <c r="H457" t="s">
        <v>55</v>
      </c>
      <c r="I457" t="s">
        <v>95</v>
      </c>
      <c r="J457" t="s">
        <v>65</v>
      </c>
      <c r="K457" s="2">
        <v>21406</v>
      </c>
      <c r="L457" t="s">
        <v>36</v>
      </c>
      <c r="M457" t="s">
        <v>48</v>
      </c>
      <c r="N457" t="s">
        <v>60</v>
      </c>
      <c r="O457" t="s">
        <v>77</v>
      </c>
      <c r="P457" t="s">
        <v>40</v>
      </c>
      <c r="Q457">
        <v>3</v>
      </c>
      <c r="R457" s="2">
        <v>44920</v>
      </c>
      <c r="S457">
        <v>5</v>
      </c>
      <c r="T457">
        <v>4</v>
      </c>
      <c r="U457">
        <v>3</v>
      </c>
      <c r="V457" s="1">
        <v>44784</v>
      </c>
      <c r="W457" t="s">
        <v>62</v>
      </c>
      <c r="X457" t="s">
        <v>51</v>
      </c>
      <c r="Y457" t="s">
        <v>43</v>
      </c>
      <c r="Z457">
        <v>5</v>
      </c>
      <c r="AA457">
        <v>305.31</v>
      </c>
      <c r="AB457">
        <v>61</v>
      </c>
    </row>
    <row r="458" spans="1:28" x14ac:dyDescent="0.2">
      <c r="A458">
        <v>3941</v>
      </c>
      <c r="B458" s="1">
        <v>43408</v>
      </c>
      <c r="C458" t="s">
        <v>120</v>
      </c>
      <c r="D458" t="s">
        <v>69</v>
      </c>
      <c r="E458" t="s">
        <v>30</v>
      </c>
      <c r="F458" t="s">
        <v>55</v>
      </c>
      <c r="G458" t="s">
        <v>56</v>
      </c>
      <c r="H458" t="s">
        <v>33</v>
      </c>
      <c r="I458" t="s">
        <v>95</v>
      </c>
      <c r="J458" t="s">
        <v>70</v>
      </c>
      <c r="K458" s="2">
        <v>31289</v>
      </c>
      <c r="L458" t="s">
        <v>36</v>
      </c>
      <c r="M458" t="s">
        <v>48</v>
      </c>
      <c r="N458" t="s">
        <v>38</v>
      </c>
      <c r="O458" t="s">
        <v>67</v>
      </c>
      <c r="P458" t="s">
        <v>40</v>
      </c>
      <c r="Q458">
        <v>3</v>
      </c>
      <c r="R458" s="2">
        <v>44952</v>
      </c>
      <c r="S458">
        <v>2</v>
      </c>
      <c r="T458">
        <v>3</v>
      </c>
      <c r="U458">
        <v>3</v>
      </c>
      <c r="V458" s="1">
        <v>44817</v>
      </c>
      <c r="W458" t="s">
        <v>62</v>
      </c>
      <c r="X458" t="s">
        <v>51</v>
      </c>
      <c r="Y458" t="s">
        <v>52</v>
      </c>
      <c r="Z458">
        <v>5</v>
      </c>
      <c r="AA458">
        <v>756.43</v>
      </c>
      <c r="AB458">
        <v>33</v>
      </c>
    </row>
    <row r="459" spans="1:28" x14ac:dyDescent="0.2">
      <c r="A459">
        <v>3942</v>
      </c>
      <c r="B459" s="1">
        <v>43408</v>
      </c>
      <c r="C459" t="s">
        <v>116</v>
      </c>
      <c r="D459" t="s">
        <v>94</v>
      </c>
      <c r="E459" t="s">
        <v>108</v>
      </c>
      <c r="F459" t="s">
        <v>31</v>
      </c>
      <c r="G459" t="s">
        <v>56</v>
      </c>
      <c r="H459" t="s">
        <v>33</v>
      </c>
      <c r="I459" t="s">
        <v>95</v>
      </c>
      <c r="J459" t="s">
        <v>102</v>
      </c>
      <c r="K459" s="2">
        <v>18875</v>
      </c>
      <c r="L459" t="s">
        <v>36</v>
      </c>
      <c r="M459" t="s">
        <v>37</v>
      </c>
      <c r="N459" t="s">
        <v>84</v>
      </c>
      <c r="O459" t="s">
        <v>67</v>
      </c>
      <c r="P459" t="s">
        <v>107</v>
      </c>
      <c r="Q459">
        <v>3</v>
      </c>
      <c r="R459" s="2">
        <v>44959</v>
      </c>
      <c r="S459">
        <v>3</v>
      </c>
      <c r="T459">
        <v>4</v>
      </c>
      <c r="U459">
        <v>1</v>
      </c>
      <c r="V459" s="1">
        <v>44954</v>
      </c>
      <c r="W459" t="s">
        <v>50</v>
      </c>
      <c r="X459" t="s">
        <v>51</v>
      </c>
      <c r="Y459" t="s">
        <v>63</v>
      </c>
      <c r="Z459">
        <v>5</v>
      </c>
      <c r="AA459">
        <v>940.22</v>
      </c>
      <c r="AB459">
        <v>67</v>
      </c>
    </row>
    <row r="460" spans="1:28" x14ac:dyDescent="0.2">
      <c r="A460">
        <v>3943</v>
      </c>
      <c r="B460" s="1">
        <v>43673</v>
      </c>
      <c r="C460" t="s">
        <v>122</v>
      </c>
      <c r="D460" t="s">
        <v>81</v>
      </c>
      <c r="E460" t="s">
        <v>108</v>
      </c>
      <c r="F460" t="s">
        <v>46</v>
      </c>
      <c r="G460" t="s">
        <v>45</v>
      </c>
      <c r="H460" t="s">
        <v>46</v>
      </c>
      <c r="I460" t="s">
        <v>95</v>
      </c>
      <c r="J460" t="s">
        <v>75</v>
      </c>
      <c r="K460" s="2">
        <v>26149</v>
      </c>
      <c r="L460" t="s">
        <v>36</v>
      </c>
      <c r="M460" t="s">
        <v>48</v>
      </c>
      <c r="N460" t="s">
        <v>72</v>
      </c>
      <c r="O460" t="s">
        <v>61</v>
      </c>
      <c r="P460" t="s">
        <v>40</v>
      </c>
      <c r="Q460">
        <v>3</v>
      </c>
      <c r="R460" s="2">
        <v>44779</v>
      </c>
      <c r="S460">
        <v>5</v>
      </c>
      <c r="T460">
        <v>2</v>
      </c>
      <c r="U460">
        <v>2</v>
      </c>
      <c r="V460" s="1">
        <v>45061</v>
      </c>
      <c r="W460" t="s">
        <v>92</v>
      </c>
      <c r="X460" t="s">
        <v>51</v>
      </c>
      <c r="Y460" t="s">
        <v>43</v>
      </c>
      <c r="Z460">
        <v>3</v>
      </c>
      <c r="AA460">
        <v>282.37</v>
      </c>
      <c r="AB460">
        <v>48</v>
      </c>
    </row>
    <row r="461" spans="1:28" x14ac:dyDescent="0.2">
      <c r="A461">
        <v>3944</v>
      </c>
      <c r="B461" s="1">
        <v>44186</v>
      </c>
      <c r="C461" t="s">
        <v>120</v>
      </c>
      <c r="D461" t="s">
        <v>85</v>
      </c>
      <c r="E461" t="s">
        <v>30</v>
      </c>
      <c r="F461" t="s">
        <v>55</v>
      </c>
      <c r="G461" t="s">
        <v>45</v>
      </c>
      <c r="H461" t="s">
        <v>55</v>
      </c>
      <c r="I461" t="s">
        <v>95</v>
      </c>
      <c r="J461" t="s">
        <v>58</v>
      </c>
      <c r="K461" s="2">
        <v>35616</v>
      </c>
      <c r="L461" t="s">
        <v>36</v>
      </c>
      <c r="M461" t="s">
        <v>37</v>
      </c>
      <c r="N461" t="s">
        <v>38</v>
      </c>
      <c r="O461" t="s">
        <v>61</v>
      </c>
      <c r="P461" t="s">
        <v>40</v>
      </c>
      <c r="Q461">
        <v>3</v>
      </c>
      <c r="R461" s="2">
        <v>44983</v>
      </c>
      <c r="S461">
        <v>5</v>
      </c>
      <c r="T461">
        <v>3</v>
      </c>
      <c r="U461">
        <v>4</v>
      </c>
      <c r="V461" s="1">
        <v>44792</v>
      </c>
      <c r="W461" t="s">
        <v>68</v>
      </c>
      <c r="X461" t="s">
        <v>51</v>
      </c>
      <c r="Y461" t="s">
        <v>63</v>
      </c>
      <c r="Z461">
        <v>1</v>
      </c>
      <c r="AA461">
        <v>627.14</v>
      </c>
      <c r="AB461">
        <v>23</v>
      </c>
    </row>
    <row r="462" spans="1:28" x14ac:dyDescent="0.2">
      <c r="A462">
        <v>3945</v>
      </c>
      <c r="B462" s="1">
        <v>44767</v>
      </c>
      <c r="C462" t="s">
        <v>120</v>
      </c>
      <c r="D462" t="s">
        <v>87</v>
      </c>
      <c r="E462" t="s">
        <v>30</v>
      </c>
      <c r="F462" t="s">
        <v>55</v>
      </c>
      <c r="G462" t="s">
        <v>32</v>
      </c>
      <c r="H462" t="s">
        <v>33</v>
      </c>
      <c r="I462" t="s">
        <v>95</v>
      </c>
      <c r="J462" t="s">
        <v>79</v>
      </c>
      <c r="K462" s="2">
        <v>35877</v>
      </c>
      <c r="L462" t="s">
        <v>36</v>
      </c>
      <c r="M462" t="s">
        <v>37</v>
      </c>
      <c r="N462" t="s">
        <v>72</v>
      </c>
      <c r="O462" t="s">
        <v>61</v>
      </c>
      <c r="P462" t="s">
        <v>107</v>
      </c>
      <c r="Q462">
        <v>3</v>
      </c>
      <c r="R462" s="2">
        <v>44929</v>
      </c>
      <c r="S462">
        <v>4</v>
      </c>
      <c r="T462">
        <v>4</v>
      </c>
      <c r="U462">
        <v>2</v>
      </c>
      <c r="V462" s="1">
        <v>44802</v>
      </c>
      <c r="W462" t="s">
        <v>92</v>
      </c>
      <c r="X462" t="s">
        <v>51</v>
      </c>
      <c r="Y462" t="s">
        <v>52</v>
      </c>
      <c r="Z462">
        <v>2</v>
      </c>
      <c r="AA462">
        <v>864.5</v>
      </c>
      <c r="AB462">
        <v>24</v>
      </c>
    </row>
    <row r="463" spans="1:28" x14ac:dyDescent="0.2">
      <c r="A463">
        <v>3946</v>
      </c>
      <c r="B463" s="1">
        <v>43631</v>
      </c>
      <c r="C463" t="s">
        <v>119</v>
      </c>
      <c r="D463" t="s">
        <v>81</v>
      </c>
      <c r="E463" t="s">
        <v>30</v>
      </c>
      <c r="F463" t="s">
        <v>31</v>
      </c>
      <c r="G463" t="s">
        <v>45</v>
      </c>
      <c r="H463" t="s">
        <v>33</v>
      </c>
      <c r="I463" t="s">
        <v>95</v>
      </c>
      <c r="J463" t="s">
        <v>100</v>
      </c>
      <c r="K463" s="2">
        <v>21021</v>
      </c>
      <c r="L463" t="s">
        <v>36</v>
      </c>
      <c r="M463" t="s">
        <v>37</v>
      </c>
      <c r="N463" t="s">
        <v>38</v>
      </c>
      <c r="O463" t="s">
        <v>67</v>
      </c>
      <c r="P463" t="s">
        <v>40</v>
      </c>
      <c r="Q463">
        <v>3</v>
      </c>
      <c r="R463" s="2">
        <v>45130</v>
      </c>
      <c r="S463">
        <v>1</v>
      </c>
      <c r="T463">
        <v>3</v>
      </c>
      <c r="U463">
        <v>4</v>
      </c>
      <c r="V463" s="1">
        <v>45122</v>
      </c>
      <c r="W463" t="s">
        <v>41</v>
      </c>
      <c r="X463" t="s">
        <v>51</v>
      </c>
      <c r="Y463" t="s">
        <v>73</v>
      </c>
      <c r="Z463">
        <v>4</v>
      </c>
      <c r="AA463">
        <v>981.64</v>
      </c>
      <c r="AB463">
        <v>62</v>
      </c>
    </row>
    <row r="464" spans="1:28" x14ac:dyDescent="0.2">
      <c r="A464">
        <v>3947</v>
      </c>
      <c r="B464" s="1">
        <v>43925</v>
      </c>
      <c r="C464" t="s">
        <v>119</v>
      </c>
      <c r="D464" t="s">
        <v>44</v>
      </c>
      <c r="E464" t="s">
        <v>108</v>
      </c>
      <c r="F464" t="s">
        <v>55</v>
      </c>
      <c r="G464" t="s">
        <v>56</v>
      </c>
      <c r="H464" t="s">
        <v>55</v>
      </c>
      <c r="I464" t="s">
        <v>95</v>
      </c>
      <c r="J464" t="s">
        <v>70</v>
      </c>
      <c r="K464" s="2">
        <v>35402</v>
      </c>
      <c r="L464" t="s">
        <v>36</v>
      </c>
      <c r="M464" t="s">
        <v>37</v>
      </c>
      <c r="N464" t="s">
        <v>49</v>
      </c>
      <c r="O464" t="s">
        <v>67</v>
      </c>
      <c r="P464" t="s">
        <v>40</v>
      </c>
      <c r="Q464">
        <v>3</v>
      </c>
      <c r="R464" s="2">
        <v>45135</v>
      </c>
      <c r="S464">
        <v>4</v>
      </c>
      <c r="T464">
        <v>3</v>
      </c>
      <c r="U464">
        <v>1</v>
      </c>
      <c r="V464" s="1">
        <v>44940</v>
      </c>
      <c r="W464" t="s">
        <v>62</v>
      </c>
      <c r="X464" t="s">
        <v>42</v>
      </c>
      <c r="Y464" t="s">
        <v>43</v>
      </c>
      <c r="Z464">
        <v>3</v>
      </c>
      <c r="AA464">
        <v>456.02</v>
      </c>
      <c r="AB464">
        <v>24</v>
      </c>
    </row>
    <row r="465" spans="1:28" x14ac:dyDescent="0.2">
      <c r="A465">
        <v>3948</v>
      </c>
      <c r="B465" s="1">
        <v>44960</v>
      </c>
      <c r="C465" t="s">
        <v>120</v>
      </c>
      <c r="D465" t="s">
        <v>87</v>
      </c>
      <c r="E465" t="s">
        <v>108</v>
      </c>
      <c r="F465" t="s">
        <v>31</v>
      </c>
      <c r="G465" t="s">
        <v>32</v>
      </c>
      <c r="H465" t="s">
        <v>55</v>
      </c>
      <c r="I465" t="s">
        <v>95</v>
      </c>
      <c r="J465" t="s">
        <v>47</v>
      </c>
      <c r="K465" s="2">
        <v>16008</v>
      </c>
      <c r="L465" t="s">
        <v>36</v>
      </c>
      <c r="M465" t="s">
        <v>48</v>
      </c>
      <c r="N465" t="s">
        <v>49</v>
      </c>
      <c r="O465" t="s">
        <v>67</v>
      </c>
      <c r="P465" t="s">
        <v>40</v>
      </c>
      <c r="Q465">
        <v>3</v>
      </c>
      <c r="R465" s="2">
        <v>44995</v>
      </c>
      <c r="S465">
        <v>4</v>
      </c>
      <c r="T465">
        <v>4</v>
      </c>
      <c r="U465">
        <v>2</v>
      </c>
      <c r="V465" s="1">
        <v>45018</v>
      </c>
      <c r="W465" t="s">
        <v>41</v>
      </c>
      <c r="X465" t="s">
        <v>51</v>
      </c>
      <c r="Y465" t="s">
        <v>73</v>
      </c>
      <c r="Z465">
        <v>5</v>
      </c>
      <c r="AA465">
        <v>350.68</v>
      </c>
      <c r="AB465">
        <v>80</v>
      </c>
    </row>
    <row r="466" spans="1:28" x14ac:dyDescent="0.2">
      <c r="A466">
        <v>3950</v>
      </c>
      <c r="B466" s="1">
        <v>45119</v>
      </c>
      <c r="C466" t="s">
        <v>119</v>
      </c>
      <c r="D466" t="s">
        <v>29</v>
      </c>
      <c r="E466" t="s">
        <v>30</v>
      </c>
      <c r="F466" t="s">
        <v>55</v>
      </c>
      <c r="G466" t="s">
        <v>45</v>
      </c>
      <c r="H466" t="s">
        <v>46</v>
      </c>
      <c r="I466" t="s">
        <v>95</v>
      </c>
      <c r="J466" t="s">
        <v>97</v>
      </c>
      <c r="K466" s="2">
        <v>32537</v>
      </c>
      <c r="L466" t="s">
        <v>36</v>
      </c>
      <c r="M466" t="s">
        <v>37</v>
      </c>
      <c r="N466" t="s">
        <v>49</v>
      </c>
      <c r="O466" t="s">
        <v>39</v>
      </c>
      <c r="P466" t="s">
        <v>40</v>
      </c>
      <c r="Q466">
        <v>3</v>
      </c>
      <c r="R466" s="2">
        <v>44852</v>
      </c>
      <c r="S466">
        <v>2</v>
      </c>
      <c r="T466">
        <v>3</v>
      </c>
      <c r="U466">
        <v>5</v>
      </c>
      <c r="V466" s="1">
        <v>45038</v>
      </c>
      <c r="W466" t="s">
        <v>68</v>
      </c>
      <c r="X466" t="s">
        <v>42</v>
      </c>
      <c r="Y466" t="s">
        <v>63</v>
      </c>
      <c r="Z466">
        <v>2</v>
      </c>
      <c r="AA466">
        <v>119.24</v>
      </c>
      <c r="AB466">
        <v>34</v>
      </c>
    </row>
    <row r="467" spans="1:28" x14ac:dyDescent="0.2">
      <c r="A467">
        <v>3951</v>
      </c>
      <c r="B467" s="1">
        <v>44311</v>
      </c>
      <c r="C467" t="s">
        <v>119</v>
      </c>
      <c r="D467" t="s">
        <v>87</v>
      </c>
      <c r="E467" t="s">
        <v>108</v>
      </c>
      <c r="F467" t="s">
        <v>31</v>
      </c>
      <c r="G467" t="s">
        <v>45</v>
      </c>
      <c r="H467" t="s">
        <v>33</v>
      </c>
      <c r="I467" t="s">
        <v>95</v>
      </c>
      <c r="J467" t="s">
        <v>101</v>
      </c>
      <c r="K467" s="2">
        <v>22531</v>
      </c>
      <c r="L467" t="s">
        <v>36</v>
      </c>
      <c r="M467" t="s">
        <v>37</v>
      </c>
      <c r="N467" t="s">
        <v>84</v>
      </c>
      <c r="O467" t="s">
        <v>77</v>
      </c>
      <c r="P467" t="s">
        <v>40</v>
      </c>
      <c r="Q467">
        <v>3</v>
      </c>
      <c r="R467" s="2">
        <v>45017</v>
      </c>
      <c r="S467">
        <v>4</v>
      </c>
      <c r="T467">
        <v>1</v>
      </c>
      <c r="U467">
        <v>3</v>
      </c>
      <c r="V467" s="1">
        <v>45024</v>
      </c>
      <c r="W467" t="s">
        <v>62</v>
      </c>
      <c r="X467" t="s">
        <v>42</v>
      </c>
      <c r="Y467" t="s">
        <v>63</v>
      </c>
      <c r="Z467">
        <v>5</v>
      </c>
      <c r="AA467">
        <v>532.41</v>
      </c>
      <c r="AB467">
        <v>60</v>
      </c>
    </row>
    <row r="468" spans="1:28" x14ac:dyDescent="0.2">
      <c r="A468">
        <v>3952</v>
      </c>
      <c r="B468" s="1">
        <v>44268</v>
      </c>
      <c r="C468" t="s">
        <v>120</v>
      </c>
      <c r="D468" t="s">
        <v>44</v>
      </c>
      <c r="E468" t="s">
        <v>30</v>
      </c>
      <c r="F468" t="s">
        <v>55</v>
      </c>
      <c r="G468" t="s">
        <v>45</v>
      </c>
      <c r="H468" t="s">
        <v>55</v>
      </c>
      <c r="I468" t="s">
        <v>95</v>
      </c>
      <c r="J468" t="s">
        <v>35</v>
      </c>
      <c r="K468" s="2">
        <v>18568</v>
      </c>
      <c r="L468" t="s">
        <v>36</v>
      </c>
      <c r="M468" t="s">
        <v>48</v>
      </c>
      <c r="N468" t="s">
        <v>72</v>
      </c>
      <c r="O468" t="s">
        <v>61</v>
      </c>
      <c r="P468" t="s">
        <v>40</v>
      </c>
      <c r="Q468">
        <v>3</v>
      </c>
      <c r="R468" s="2">
        <v>44908</v>
      </c>
      <c r="S468">
        <v>1</v>
      </c>
      <c r="T468">
        <v>4</v>
      </c>
      <c r="U468">
        <v>1</v>
      </c>
      <c r="V468" s="1">
        <v>45123</v>
      </c>
      <c r="W468" t="s">
        <v>62</v>
      </c>
      <c r="X468" t="s">
        <v>51</v>
      </c>
      <c r="Y468" t="s">
        <v>52</v>
      </c>
      <c r="Z468">
        <v>5</v>
      </c>
      <c r="AA468">
        <v>625.95000000000005</v>
      </c>
      <c r="AB468">
        <v>71</v>
      </c>
    </row>
    <row r="469" spans="1:28" x14ac:dyDescent="0.2">
      <c r="A469">
        <v>3953</v>
      </c>
      <c r="B469" s="1">
        <v>44424</v>
      </c>
      <c r="C469" t="s">
        <v>120</v>
      </c>
      <c r="D469" t="s">
        <v>69</v>
      </c>
      <c r="E469" t="s">
        <v>30</v>
      </c>
      <c r="F469" t="s">
        <v>55</v>
      </c>
      <c r="G469" t="s">
        <v>56</v>
      </c>
      <c r="H469" t="s">
        <v>55</v>
      </c>
      <c r="I469" t="s">
        <v>95</v>
      </c>
      <c r="J469" t="s">
        <v>75</v>
      </c>
      <c r="K469" s="2">
        <v>23795</v>
      </c>
      <c r="L469" t="s">
        <v>36</v>
      </c>
      <c r="M469" t="s">
        <v>37</v>
      </c>
      <c r="N469" t="s">
        <v>38</v>
      </c>
      <c r="O469" t="s">
        <v>67</v>
      </c>
      <c r="P469" t="s">
        <v>40</v>
      </c>
      <c r="Q469">
        <v>3</v>
      </c>
      <c r="R469" s="2">
        <v>45001</v>
      </c>
      <c r="S469">
        <v>3</v>
      </c>
      <c r="T469">
        <v>4</v>
      </c>
      <c r="U469">
        <v>4</v>
      </c>
      <c r="V469" s="1">
        <v>45077</v>
      </c>
      <c r="W469" t="s">
        <v>50</v>
      </c>
      <c r="X469" t="s">
        <v>42</v>
      </c>
      <c r="Y469" t="s">
        <v>73</v>
      </c>
      <c r="Z469">
        <v>2</v>
      </c>
      <c r="AA469">
        <v>779.08</v>
      </c>
      <c r="AB469">
        <v>56</v>
      </c>
    </row>
    <row r="470" spans="1:28" x14ac:dyDescent="0.2">
      <c r="A470">
        <v>3954</v>
      </c>
      <c r="B470" s="1">
        <v>44487</v>
      </c>
      <c r="C470" t="s">
        <v>119</v>
      </c>
      <c r="D470" t="s">
        <v>29</v>
      </c>
      <c r="E470" t="s">
        <v>30</v>
      </c>
      <c r="F470" t="s">
        <v>55</v>
      </c>
      <c r="G470" t="s">
        <v>56</v>
      </c>
      <c r="H470" t="s">
        <v>33</v>
      </c>
      <c r="I470" t="s">
        <v>95</v>
      </c>
      <c r="J470" t="s">
        <v>65</v>
      </c>
      <c r="K470" s="2">
        <v>17117</v>
      </c>
      <c r="L470" t="s">
        <v>36</v>
      </c>
      <c r="M470" t="s">
        <v>37</v>
      </c>
      <c r="N470" t="s">
        <v>49</v>
      </c>
      <c r="O470" t="s">
        <v>67</v>
      </c>
      <c r="P470" t="s">
        <v>40</v>
      </c>
      <c r="Q470">
        <v>3</v>
      </c>
      <c r="R470" s="2">
        <v>45095</v>
      </c>
      <c r="S470">
        <v>5</v>
      </c>
      <c r="T470">
        <v>1</v>
      </c>
      <c r="U470">
        <v>5</v>
      </c>
      <c r="V470" s="1">
        <v>45057</v>
      </c>
      <c r="W470" t="s">
        <v>41</v>
      </c>
      <c r="X470" t="s">
        <v>51</v>
      </c>
      <c r="Y470" t="s">
        <v>63</v>
      </c>
      <c r="Z470">
        <v>1</v>
      </c>
      <c r="AA470">
        <v>497.09</v>
      </c>
      <c r="AB470">
        <v>75</v>
      </c>
    </row>
    <row r="471" spans="1:28" x14ac:dyDescent="0.2">
      <c r="A471">
        <v>3955</v>
      </c>
      <c r="B471" s="1">
        <v>43877</v>
      </c>
      <c r="C471" t="s">
        <v>119</v>
      </c>
      <c r="D471" t="s">
        <v>85</v>
      </c>
      <c r="E471" t="s">
        <v>30</v>
      </c>
      <c r="F471" t="s">
        <v>31</v>
      </c>
      <c r="G471" t="s">
        <v>32</v>
      </c>
      <c r="H471" t="s">
        <v>55</v>
      </c>
      <c r="I471" t="s">
        <v>95</v>
      </c>
      <c r="J471" t="s">
        <v>96</v>
      </c>
      <c r="K471" s="2">
        <v>36096</v>
      </c>
      <c r="L471" t="s">
        <v>36</v>
      </c>
      <c r="M471" t="s">
        <v>37</v>
      </c>
      <c r="N471" t="s">
        <v>49</v>
      </c>
      <c r="O471" t="s">
        <v>67</v>
      </c>
      <c r="P471" t="s">
        <v>40</v>
      </c>
      <c r="Q471">
        <v>3</v>
      </c>
      <c r="R471" s="2">
        <v>45087</v>
      </c>
      <c r="S471">
        <v>2</v>
      </c>
      <c r="T471">
        <v>1</v>
      </c>
      <c r="U471">
        <v>1</v>
      </c>
      <c r="V471" s="1">
        <v>44999</v>
      </c>
      <c r="W471" t="s">
        <v>68</v>
      </c>
      <c r="X471" t="s">
        <v>51</v>
      </c>
      <c r="Y471" t="s">
        <v>43</v>
      </c>
      <c r="Z471">
        <v>1</v>
      </c>
      <c r="AA471">
        <v>762.36</v>
      </c>
      <c r="AB471">
        <v>22</v>
      </c>
    </row>
    <row r="472" spans="1:28" x14ac:dyDescent="0.2">
      <c r="A472">
        <v>3956</v>
      </c>
      <c r="B472" s="1">
        <v>43684</v>
      </c>
      <c r="C472" t="s">
        <v>119</v>
      </c>
      <c r="D472" t="s">
        <v>44</v>
      </c>
      <c r="E472" t="s">
        <v>30</v>
      </c>
      <c r="F472" t="s">
        <v>31</v>
      </c>
      <c r="G472" t="s">
        <v>45</v>
      </c>
      <c r="H472" t="s">
        <v>33</v>
      </c>
      <c r="I472" t="s">
        <v>95</v>
      </c>
      <c r="J472" t="s">
        <v>58</v>
      </c>
      <c r="K472" s="2">
        <v>35432</v>
      </c>
      <c r="L472" t="s">
        <v>83</v>
      </c>
      <c r="M472" t="s">
        <v>37</v>
      </c>
      <c r="N472" t="s">
        <v>72</v>
      </c>
      <c r="O472" t="s">
        <v>39</v>
      </c>
      <c r="P472" t="s">
        <v>40</v>
      </c>
      <c r="Q472">
        <v>3</v>
      </c>
      <c r="R472" s="2">
        <v>44830</v>
      </c>
      <c r="S472">
        <v>4</v>
      </c>
      <c r="T472">
        <v>5</v>
      </c>
      <c r="U472">
        <v>2</v>
      </c>
      <c r="V472" s="1">
        <v>44855</v>
      </c>
      <c r="W472" t="s">
        <v>50</v>
      </c>
      <c r="X472" t="s">
        <v>51</v>
      </c>
      <c r="Y472" t="s">
        <v>43</v>
      </c>
      <c r="Z472">
        <v>4</v>
      </c>
      <c r="AA472">
        <v>611.15</v>
      </c>
      <c r="AB472">
        <v>22</v>
      </c>
    </row>
    <row r="473" spans="1:28" x14ac:dyDescent="0.2">
      <c r="A473">
        <v>3957</v>
      </c>
      <c r="B473" s="1">
        <v>44564</v>
      </c>
      <c r="C473" t="s">
        <v>119</v>
      </c>
      <c r="D473" t="s">
        <v>87</v>
      </c>
      <c r="E473" t="s">
        <v>30</v>
      </c>
      <c r="F473" t="s">
        <v>31</v>
      </c>
      <c r="G473" t="s">
        <v>32</v>
      </c>
      <c r="H473" t="s">
        <v>33</v>
      </c>
      <c r="I473" t="s">
        <v>95</v>
      </c>
      <c r="J473" t="s">
        <v>70</v>
      </c>
      <c r="K473" s="2">
        <v>33240</v>
      </c>
      <c r="L473" t="s">
        <v>83</v>
      </c>
      <c r="M473" t="s">
        <v>37</v>
      </c>
      <c r="N473" t="s">
        <v>60</v>
      </c>
      <c r="O473" t="s">
        <v>77</v>
      </c>
      <c r="P473" t="s">
        <v>40</v>
      </c>
      <c r="Q473">
        <v>3</v>
      </c>
      <c r="R473" s="2">
        <v>45084</v>
      </c>
      <c r="S473">
        <v>3</v>
      </c>
      <c r="T473">
        <v>2</v>
      </c>
      <c r="U473">
        <v>4</v>
      </c>
      <c r="V473" s="1">
        <v>45099</v>
      </c>
      <c r="W473" t="s">
        <v>92</v>
      </c>
      <c r="X473" t="s">
        <v>42</v>
      </c>
      <c r="Y473" t="s">
        <v>73</v>
      </c>
      <c r="Z473">
        <v>3</v>
      </c>
      <c r="AA473">
        <v>724.95</v>
      </c>
      <c r="AB473">
        <v>31</v>
      </c>
    </row>
    <row r="474" spans="1:28" x14ac:dyDescent="0.2">
      <c r="A474">
        <v>3958</v>
      </c>
      <c r="B474" s="1">
        <v>44096</v>
      </c>
      <c r="C474" t="s">
        <v>119</v>
      </c>
      <c r="D474" t="s">
        <v>64</v>
      </c>
      <c r="E474" t="s">
        <v>30</v>
      </c>
      <c r="F474" t="s">
        <v>46</v>
      </c>
      <c r="G474" t="s">
        <v>32</v>
      </c>
      <c r="H474" t="s">
        <v>55</v>
      </c>
      <c r="I474" t="s">
        <v>95</v>
      </c>
      <c r="J474" t="s">
        <v>70</v>
      </c>
      <c r="K474" s="2">
        <v>27290</v>
      </c>
      <c r="L474" t="s">
        <v>83</v>
      </c>
      <c r="M474" t="s">
        <v>37</v>
      </c>
      <c r="N474" t="s">
        <v>49</v>
      </c>
      <c r="O474" t="s">
        <v>67</v>
      </c>
      <c r="P474" t="s">
        <v>107</v>
      </c>
      <c r="Q474">
        <v>3</v>
      </c>
      <c r="R474" s="2">
        <v>45026</v>
      </c>
      <c r="S474">
        <v>5</v>
      </c>
      <c r="T474">
        <v>3</v>
      </c>
      <c r="U474">
        <v>1</v>
      </c>
      <c r="V474" s="1">
        <v>44916</v>
      </c>
      <c r="W474" t="s">
        <v>68</v>
      </c>
      <c r="X474" t="s">
        <v>42</v>
      </c>
      <c r="Y474" t="s">
        <v>63</v>
      </c>
      <c r="Z474">
        <v>5</v>
      </c>
      <c r="AA474">
        <v>332.9</v>
      </c>
      <c r="AB474">
        <v>46</v>
      </c>
    </row>
    <row r="475" spans="1:28" x14ac:dyDescent="0.2">
      <c r="A475">
        <v>3959</v>
      </c>
      <c r="B475" s="1">
        <v>44876</v>
      </c>
      <c r="C475" t="s">
        <v>123</v>
      </c>
      <c r="D475" t="s">
        <v>94</v>
      </c>
      <c r="E475" t="s">
        <v>108</v>
      </c>
      <c r="F475" t="s">
        <v>46</v>
      </c>
      <c r="G475" t="s">
        <v>45</v>
      </c>
      <c r="H475" t="s">
        <v>55</v>
      </c>
      <c r="I475" t="s">
        <v>95</v>
      </c>
      <c r="J475" t="s">
        <v>65</v>
      </c>
      <c r="K475" s="2">
        <v>32375</v>
      </c>
      <c r="L475" t="s">
        <v>83</v>
      </c>
      <c r="M475" t="s">
        <v>48</v>
      </c>
      <c r="N475" t="s">
        <v>49</v>
      </c>
      <c r="O475" t="s">
        <v>61</v>
      </c>
      <c r="P475" t="s">
        <v>40</v>
      </c>
      <c r="Q475">
        <v>3</v>
      </c>
      <c r="R475" s="2">
        <v>45107</v>
      </c>
      <c r="S475">
        <v>5</v>
      </c>
      <c r="T475">
        <v>4</v>
      </c>
      <c r="U475">
        <v>5</v>
      </c>
      <c r="V475" s="1">
        <v>44956</v>
      </c>
      <c r="W475" t="s">
        <v>92</v>
      </c>
      <c r="X475" t="s">
        <v>42</v>
      </c>
      <c r="Y475" t="s">
        <v>52</v>
      </c>
      <c r="Z475">
        <v>5</v>
      </c>
      <c r="AA475">
        <v>116.9</v>
      </c>
      <c r="AB475">
        <v>34</v>
      </c>
    </row>
    <row r="476" spans="1:28" x14ac:dyDescent="0.2">
      <c r="A476">
        <v>3960</v>
      </c>
      <c r="B476" s="1">
        <v>43323</v>
      </c>
      <c r="C476" t="s">
        <v>124</v>
      </c>
      <c r="D476" t="s">
        <v>74</v>
      </c>
      <c r="E476" t="s">
        <v>30</v>
      </c>
      <c r="F476" t="s">
        <v>46</v>
      </c>
      <c r="G476" t="s">
        <v>45</v>
      </c>
      <c r="H476" t="s">
        <v>55</v>
      </c>
      <c r="I476" t="s">
        <v>95</v>
      </c>
      <c r="J476" t="s">
        <v>70</v>
      </c>
      <c r="K476" s="2">
        <v>17262</v>
      </c>
      <c r="L476" t="s">
        <v>83</v>
      </c>
      <c r="M476" t="s">
        <v>48</v>
      </c>
      <c r="N476" t="s">
        <v>38</v>
      </c>
      <c r="O476" t="s">
        <v>67</v>
      </c>
      <c r="P476" t="s">
        <v>40</v>
      </c>
      <c r="Q476">
        <v>3</v>
      </c>
      <c r="R476" s="2">
        <v>45121</v>
      </c>
      <c r="S476">
        <v>3</v>
      </c>
      <c r="T476">
        <v>4</v>
      </c>
      <c r="U476">
        <v>1</v>
      </c>
      <c r="V476" s="1">
        <v>45004</v>
      </c>
      <c r="W476" t="s">
        <v>92</v>
      </c>
      <c r="X476" t="s">
        <v>51</v>
      </c>
      <c r="Y476" t="s">
        <v>63</v>
      </c>
      <c r="Z476">
        <v>1</v>
      </c>
      <c r="AA476">
        <v>430.46</v>
      </c>
      <c r="AB476">
        <v>71</v>
      </c>
    </row>
    <row r="477" spans="1:28" x14ac:dyDescent="0.2">
      <c r="A477">
        <v>3961</v>
      </c>
      <c r="B477" s="1">
        <v>45016</v>
      </c>
      <c r="C477" t="s">
        <v>125</v>
      </c>
      <c r="D477" t="s">
        <v>81</v>
      </c>
      <c r="E477" t="s">
        <v>30</v>
      </c>
      <c r="F477" t="s">
        <v>55</v>
      </c>
      <c r="G477" t="s">
        <v>45</v>
      </c>
      <c r="H477" t="s">
        <v>55</v>
      </c>
      <c r="I477" t="s">
        <v>95</v>
      </c>
      <c r="J477" t="s">
        <v>47</v>
      </c>
      <c r="K477" s="2">
        <v>28660</v>
      </c>
      <c r="L477" t="s">
        <v>36</v>
      </c>
      <c r="M477" t="s">
        <v>48</v>
      </c>
      <c r="N477" t="s">
        <v>72</v>
      </c>
      <c r="O477" t="s">
        <v>77</v>
      </c>
      <c r="P477" t="s">
        <v>40</v>
      </c>
      <c r="Q477">
        <v>3</v>
      </c>
      <c r="R477" s="2">
        <v>44885</v>
      </c>
      <c r="S477">
        <v>2</v>
      </c>
      <c r="T477">
        <v>5</v>
      </c>
      <c r="U477">
        <v>2</v>
      </c>
      <c r="V477" s="1">
        <v>44962</v>
      </c>
      <c r="W477" t="s">
        <v>41</v>
      </c>
      <c r="X477" t="s">
        <v>42</v>
      </c>
      <c r="Y477" t="s">
        <v>73</v>
      </c>
      <c r="Z477">
        <v>5</v>
      </c>
      <c r="AA477">
        <v>881.61</v>
      </c>
      <c r="AB477">
        <v>45</v>
      </c>
    </row>
    <row r="478" spans="1:28" x14ac:dyDescent="0.2">
      <c r="A478">
        <v>3962</v>
      </c>
      <c r="B478" s="1">
        <v>44265</v>
      </c>
      <c r="C478" t="s">
        <v>121</v>
      </c>
      <c r="D478" t="s">
        <v>87</v>
      </c>
      <c r="E478" t="s">
        <v>30</v>
      </c>
      <c r="F478" t="s">
        <v>31</v>
      </c>
      <c r="G478" t="s">
        <v>56</v>
      </c>
      <c r="H478" t="s">
        <v>46</v>
      </c>
      <c r="I478" t="s">
        <v>95</v>
      </c>
      <c r="J478" t="s">
        <v>47</v>
      </c>
      <c r="K478" s="2">
        <v>33195</v>
      </c>
      <c r="L478" t="s">
        <v>36</v>
      </c>
      <c r="M478" t="s">
        <v>37</v>
      </c>
      <c r="N478" t="s">
        <v>49</v>
      </c>
      <c r="O478" t="s">
        <v>77</v>
      </c>
      <c r="P478" t="s">
        <v>40</v>
      </c>
      <c r="Q478">
        <v>3</v>
      </c>
      <c r="R478" s="2">
        <v>45076</v>
      </c>
      <c r="S478">
        <v>4</v>
      </c>
      <c r="T478">
        <v>3</v>
      </c>
      <c r="U478">
        <v>3</v>
      </c>
      <c r="V478" s="1">
        <v>44869</v>
      </c>
      <c r="W478" t="s">
        <v>50</v>
      </c>
      <c r="X478" t="s">
        <v>42</v>
      </c>
      <c r="Y478" t="s">
        <v>43</v>
      </c>
      <c r="Z478">
        <v>3</v>
      </c>
      <c r="AA478">
        <v>454.92</v>
      </c>
      <c r="AB478">
        <v>31</v>
      </c>
    </row>
    <row r="479" spans="1:28" x14ac:dyDescent="0.2">
      <c r="A479">
        <v>3963</v>
      </c>
      <c r="B479" s="1">
        <v>43707</v>
      </c>
      <c r="C479" t="s">
        <v>126</v>
      </c>
      <c r="D479" t="s">
        <v>64</v>
      </c>
      <c r="E479" t="s">
        <v>30</v>
      </c>
      <c r="F479" t="s">
        <v>46</v>
      </c>
      <c r="G479" t="s">
        <v>56</v>
      </c>
      <c r="H479" t="s">
        <v>33</v>
      </c>
      <c r="I479" t="s">
        <v>95</v>
      </c>
      <c r="J479" t="s">
        <v>70</v>
      </c>
      <c r="K479" s="2">
        <v>35934</v>
      </c>
      <c r="L479" t="s">
        <v>36</v>
      </c>
      <c r="M479" t="s">
        <v>37</v>
      </c>
      <c r="N479" t="s">
        <v>72</v>
      </c>
      <c r="O479" t="s">
        <v>39</v>
      </c>
      <c r="P479" t="s">
        <v>40</v>
      </c>
      <c r="Q479">
        <v>3</v>
      </c>
      <c r="R479" s="2">
        <v>45135</v>
      </c>
      <c r="S479">
        <v>4</v>
      </c>
      <c r="T479">
        <v>1</v>
      </c>
      <c r="U479">
        <v>5</v>
      </c>
      <c r="V479" s="1">
        <v>45031</v>
      </c>
      <c r="W479" t="s">
        <v>50</v>
      </c>
      <c r="X479" t="s">
        <v>51</v>
      </c>
      <c r="Y479" t="s">
        <v>63</v>
      </c>
      <c r="Z479">
        <v>2</v>
      </c>
      <c r="AA479">
        <v>381.88</v>
      </c>
      <c r="AB479">
        <v>21</v>
      </c>
    </row>
    <row r="480" spans="1:28" x14ac:dyDescent="0.2">
      <c r="A480">
        <v>3965</v>
      </c>
      <c r="B480" s="1">
        <v>43943</v>
      </c>
      <c r="C480" t="s">
        <v>127</v>
      </c>
      <c r="D480" t="s">
        <v>74</v>
      </c>
      <c r="E480" t="s">
        <v>30</v>
      </c>
      <c r="F480" t="s">
        <v>31</v>
      </c>
      <c r="G480" t="s">
        <v>56</v>
      </c>
      <c r="H480" t="s">
        <v>46</v>
      </c>
      <c r="I480" t="s">
        <v>95</v>
      </c>
      <c r="J480" t="s">
        <v>65</v>
      </c>
      <c r="K480" s="2">
        <v>36100</v>
      </c>
      <c r="L480" t="s">
        <v>36</v>
      </c>
      <c r="M480" t="s">
        <v>37</v>
      </c>
      <c r="N480" t="s">
        <v>60</v>
      </c>
      <c r="O480" t="s">
        <v>67</v>
      </c>
      <c r="P480" t="s">
        <v>40</v>
      </c>
      <c r="Q480">
        <v>3</v>
      </c>
      <c r="R480" s="2">
        <v>45085</v>
      </c>
      <c r="S480">
        <v>4</v>
      </c>
      <c r="T480">
        <v>1</v>
      </c>
      <c r="U480">
        <v>2</v>
      </c>
      <c r="V480" s="1">
        <v>45097</v>
      </c>
      <c r="W480" t="s">
        <v>68</v>
      </c>
      <c r="X480" t="s">
        <v>42</v>
      </c>
      <c r="Y480" t="s">
        <v>63</v>
      </c>
      <c r="Z480">
        <v>4</v>
      </c>
      <c r="AA480">
        <v>198.58</v>
      </c>
      <c r="AB480">
        <v>22</v>
      </c>
    </row>
    <row r="481" spans="1:28" x14ac:dyDescent="0.2">
      <c r="A481">
        <v>3967</v>
      </c>
      <c r="B481" s="1">
        <v>43437</v>
      </c>
      <c r="C481" t="s">
        <v>120</v>
      </c>
      <c r="D481" t="s">
        <v>87</v>
      </c>
      <c r="E481" t="s">
        <v>30</v>
      </c>
      <c r="F481" t="s">
        <v>55</v>
      </c>
      <c r="G481" t="s">
        <v>45</v>
      </c>
      <c r="H481" t="s">
        <v>33</v>
      </c>
      <c r="I481" t="s">
        <v>95</v>
      </c>
      <c r="J481" t="s">
        <v>35</v>
      </c>
      <c r="K481" s="2">
        <v>20289</v>
      </c>
      <c r="L481" t="s">
        <v>36</v>
      </c>
      <c r="M481" t="s">
        <v>37</v>
      </c>
      <c r="N481" t="s">
        <v>72</v>
      </c>
      <c r="O481" t="s">
        <v>67</v>
      </c>
      <c r="P481" t="s">
        <v>40</v>
      </c>
      <c r="Q481">
        <v>3</v>
      </c>
      <c r="R481" s="2">
        <v>44931</v>
      </c>
      <c r="S481">
        <v>5</v>
      </c>
      <c r="T481">
        <v>3</v>
      </c>
      <c r="U481">
        <v>4</v>
      </c>
      <c r="V481" s="1">
        <v>45062</v>
      </c>
      <c r="W481" t="s">
        <v>50</v>
      </c>
      <c r="X481" t="s">
        <v>51</v>
      </c>
      <c r="Y481" t="s">
        <v>43</v>
      </c>
      <c r="Z481">
        <v>4</v>
      </c>
      <c r="AA481">
        <v>683.96</v>
      </c>
      <c r="AB481">
        <v>63</v>
      </c>
    </row>
    <row r="482" spans="1:28" x14ac:dyDescent="0.2">
      <c r="A482">
        <v>3968</v>
      </c>
      <c r="B482" s="1">
        <v>44247</v>
      </c>
      <c r="C482" t="s">
        <v>120</v>
      </c>
      <c r="D482" t="s">
        <v>81</v>
      </c>
      <c r="E482" t="s">
        <v>30</v>
      </c>
      <c r="F482" t="s">
        <v>31</v>
      </c>
      <c r="G482" t="s">
        <v>56</v>
      </c>
      <c r="H482" t="s">
        <v>33</v>
      </c>
      <c r="I482" t="s">
        <v>95</v>
      </c>
      <c r="J482" t="s">
        <v>79</v>
      </c>
      <c r="K482" s="2">
        <v>24667</v>
      </c>
      <c r="L482" t="s">
        <v>36</v>
      </c>
      <c r="M482" t="s">
        <v>37</v>
      </c>
      <c r="N482" t="s">
        <v>60</v>
      </c>
      <c r="O482" t="s">
        <v>67</v>
      </c>
      <c r="P482" t="s">
        <v>40</v>
      </c>
      <c r="Q482">
        <v>3</v>
      </c>
      <c r="R482" s="2">
        <v>44909</v>
      </c>
      <c r="S482">
        <v>5</v>
      </c>
      <c r="T482">
        <v>5</v>
      </c>
      <c r="U482">
        <v>1</v>
      </c>
      <c r="V482" s="1">
        <v>44897</v>
      </c>
      <c r="W482" t="s">
        <v>68</v>
      </c>
      <c r="X482" t="s">
        <v>51</v>
      </c>
      <c r="Y482" t="s">
        <v>63</v>
      </c>
      <c r="Z482">
        <v>3</v>
      </c>
      <c r="AA482">
        <v>891.63</v>
      </c>
      <c r="AB482">
        <v>54</v>
      </c>
    </row>
    <row r="483" spans="1:28" x14ac:dyDescent="0.2">
      <c r="A483">
        <v>3969</v>
      </c>
      <c r="B483" s="1">
        <v>44213</v>
      </c>
      <c r="C483" t="s">
        <v>119</v>
      </c>
      <c r="D483" t="s">
        <v>54</v>
      </c>
      <c r="E483" t="s">
        <v>30</v>
      </c>
      <c r="F483" t="s">
        <v>31</v>
      </c>
      <c r="G483" t="s">
        <v>45</v>
      </c>
      <c r="H483" t="s">
        <v>55</v>
      </c>
      <c r="I483" t="s">
        <v>95</v>
      </c>
      <c r="J483" t="s">
        <v>47</v>
      </c>
      <c r="K483" s="2">
        <v>24276</v>
      </c>
      <c r="L483" t="s">
        <v>36</v>
      </c>
      <c r="M483" t="s">
        <v>37</v>
      </c>
      <c r="N483" t="s">
        <v>84</v>
      </c>
      <c r="O483" t="s">
        <v>77</v>
      </c>
      <c r="P483" t="s">
        <v>78</v>
      </c>
      <c r="Q483">
        <v>3</v>
      </c>
      <c r="R483" s="2">
        <v>44782</v>
      </c>
      <c r="S483">
        <v>4</v>
      </c>
      <c r="T483">
        <v>5</v>
      </c>
      <c r="U483">
        <v>2</v>
      </c>
      <c r="V483" s="1">
        <v>44986</v>
      </c>
      <c r="W483" t="s">
        <v>68</v>
      </c>
      <c r="X483" t="s">
        <v>42</v>
      </c>
      <c r="Y483" t="s">
        <v>43</v>
      </c>
      <c r="Z483">
        <v>4</v>
      </c>
      <c r="AA483">
        <v>701.87</v>
      </c>
      <c r="AB483">
        <v>55</v>
      </c>
    </row>
    <row r="484" spans="1:28" x14ac:dyDescent="0.2">
      <c r="A484">
        <v>3970</v>
      </c>
      <c r="B484" s="1">
        <v>44108</v>
      </c>
      <c r="C484" t="s">
        <v>119</v>
      </c>
      <c r="D484" t="s">
        <v>94</v>
      </c>
      <c r="E484" t="s">
        <v>30</v>
      </c>
      <c r="F484" t="s">
        <v>46</v>
      </c>
      <c r="G484" t="s">
        <v>56</v>
      </c>
      <c r="H484" t="s">
        <v>55</v>
      </c>
      <c r="I484" t="s">
        <v>95</v>
      </c>
      <c r="J484" t="s">
        <v>70</v>
      </c>
      <c r="K484" s="2">
        <v>18575</v>
      </c>
      <c r="L484" t="s">
        <v>36</v>
      </c>
      <c r="M484" t="s">
        <v>37</v>
      </c>
      <c r="N484" t="s">
        <v>60</v>
      </c>
      <c r="O484" t="s">
        <v>67</v>
      </c>
      <c r="P484" t="s">
        <v>78</v>
      </c>
      <c r="Q484">
        <v>3</v>
      </c>
      <c r="R484" s="2">
        <v>44940</v>
      </c>
      <c r="S484">
        <v>5</v>
      </c>
      <c r="T484">
        <v>1</v>
      </c>
      <c r="U484">
        <v>5</v>
      </c>
      <c r="V484" s="1">
        <v>44982</v>
      </c>
      <c r="W484" t="s">
        <v>68</v>
      </c>
      <c r="X484" t="s">
        <v>42</v>
      </c>
      <c r="Y484" t="s">
        <v>52</v>
      </c>
      <c r="Z484">
        <v>4</v>
      </c>
      <c r="AA484">
        <v>216.73</v>
      </c>
      <c r="AB484">
        <v>70</v>
      </c>
    </row>
    <row r="485" spans="1:28" x14ac:dyDescent="0.2">
      <c r="A485">
        <v>3971</v>
      </c>
      <c r="B485" s="1">
        <v>44225</v>
      </c>
      <c r="C485" t="s">
        <v>119</v>
      </c>
      <c r="D485" t="s">
        <v>85</v>
      </c>
      <c r="E485" t="s">
        <v>30</v>
      </c>
      <c r="F485" t="s">
        <v>46</v>
      </c>
      <c r="G485" t="s">
        <v>45</v>
      </c>
      <c r="H485" t="s">
        <v>33</v>
      </c>
      <c r="I485" t="s">
        <v>95</v>
      </c>
      <c r="J485" t="s">
        <v>65</v>
      </c>
      <c r="K485" s="2">
        <v>21489</v>
      </c>
      <c r="L485" t="s">
        <v>83</v>
      </c>
      <c r="M485" t="s">
        <v>37</v>
      </c>
      <c r="N485" t="s">
        <v>60</v>
      </c>
      <c r="O485" t="s">
        <v>39</v>
      </c>
      <c r="P485" t="s">
        <v>40</v>
      </c>
      <c r="Q485">
        <v>3</v>
      </c>
      <c r="R485" s="2">
        <v>45008</v>
      </c>
      <c r="S485">
        <v>3</v>
      </c>
      <c r="T485">
        <v>3</v>
      </c>
      <c r="U485">
        <v>2</v>
      </c>
      <c r="V485" s="1">
        <v>44789</v>
      </c>
      <c r="W485" t="s">
        <v>62</v>
      </c>
      <c r="X485" t="s">
        <v>51</v>
      </c>
      <c r="Y485" t="s">
        <v>73</v>
      </c>
      <c r="Z485">
        <v>5</v>
      </c>
      <c r="AA485">
        <v>482.47</v>
      </c>
      <c r="AB485">
        <v>63</v>
      </c>
    </row>
    <row r="486" spans="1:28" x14ac:dyDescent="0.2">
      <c r="A486">
        <v>3972</v>
      </c>
      <c r="B486" s="1">
        <v>44768</v>
      </c>
      <c r="C486" t="s">
        <v>119</v>
      </c>
      <c r="D486" t="s">
        <v>64</v>
      </c>
      <c r="E486" t="s">
        <v>30</v>
      </c>
      <c r="F486" t="s">
        <v>46</v>
      </c>
      <c r="G486" t="s">
        <v>56</v>
      </c>
      <c r="H486" t="s">
        <v>46</v>
      </c>
      <c r="I486" t="s">
        <v>95</v>
      </c>
      <c r="J486" t="s">
        <v>65</v>
      </c>
      <c r="K486" s="2">
        <v>20247</v>
      </c>
      <c r="L486" t="s">
        <v>83</v>
      </c>
      <c r="M486" t="s">
        <v>37</v>
      </c>
      <c r="N486" t="s">
        <v>72</v>
      </c>
      <c r="O486" t="s">
        <v>77</v>
      </c>
      <c r="P486" t="s">
        <v>40</v>
      </c>
      <c r="Q486">
        <v>3</v>
      </c>
      <c r="R486" s="2">
        <v>44863</v>
      </c>
      <c r="S486">
        <v>5</v>
      </c>
      <c r="T486">
        <v>4</v>
      </c>
      <c r="U486">
        <v>1</v>
      </c>
      <c r="V486" s="1">
        <v>45041</v>
      </c>
      <c r="W486" t="s">
        <v>41</v>
      </c>
      <c r="X486" t="s">
        <v>51</v>
      </c>
      <c r="Y486" t="s">
        <v>52</v>
      </c>
      <c r="Z486">
        <v>5</v>
      </c>
      <c r="AA486">
        <v>853.57</v>
      </c>
      <c r="AB486">
        <v>67</v>
      </c>
    </row>
    <row r="487" spans="1:28" x14ac:dyDescent="0.2">
      <c r="A487">
        <v>3973</v>
      </c>
      <c r="B487" s="1">
        <v>43364</v>
      </c>
      <c r="C487" t="s">
        <v>119</v>
      </c>
      <c r="D487" t="s">
        <v>74</v>
      </c>
      <c r="E487" t="s">
        <v>108</v>
      </c>
      <c r="F487" t="s">
        <v>46</v>
      </c>
      <c r="G487" t="s">
        <v>32</v>
      </c>
      <c r="H487" t="s">
        <v>33</v>
      </c>
      <c r="I487" t="s">
        <v>95</v>
      </c>
      <c r="J487" t="s">
        <v>70</v>
      </c>
      <c r="K487" s="2">
        <v>26806</v>
      </c>
      <c r="L487" t="s">
        <v>83</v>
      </c>
      <c r="M487" t="s">
        <v>37</v>
      </c>
      <c r="N487" t="s">
        <v>49</v>
      </c>
      <c r="O487" t="s">
        <v>61</v>
      </c>
      <c r="P487" t="s">
        <v>78</v>
      </c>
      <c r="Q487">
        <v>3</v>
      </c>
      <c r="R487" s="2">
        <v>44790</v>
      </c>
      <c r="S487">
        <v>3</v>
      </c>
      <c r="T487">
        <v>2</v>
      </c>
      <c r="U487">
        <v>1</v>
      </c>
      <c r="V487" s="1">
        <v>44879</v>
      </c>
      <c r="W487" t="s">
        <v>41</v>
      </c>
      <c r="X487" t="s">
        <v>42</v>
      </c>
      <c r="Y487" t="s">
        <v>73</v>
      </c>
      <c r="Z487">
        <v>1</v>
      </c>
      <c r="AA487">
        <v>202.97</v>
      </c>
      <c r="AB487">
        <v>45</v>
      </c>
    </row>
    <row r="488" spans="1:28" x14ac:dyDescent="0.2">
      <c r="A488">
        <v>3974</v>
      </c>
      <c r="B488" s="1">
        <v>43459</v>
      </c>
      <c r="C488" t="s">
        <v>123</v>
      </c>
      <c r="D488" t="s">
        <v>69</v>
      </c>
      <c r="E488" t="s">
        <v>108</v>
      </c>
      <c r="F488" t="s">
        <v>46</v>
      </c>
      <c r="G488" t="s">
        <v>32</v>
      </c>
      <c r="H488" t="s">
        <v>55</v>
      </c>
      <c r="I488" t="s">
        <v>95</v>
      </c>
      <c r="J488" t="s">
        <v>75</v>
      </c>
      <c r="K488" s="2">
        <v>31419</v>
      </c>
      <c r="L488" t="s">
        <v>83</v>
      </c>
      <c r="M488" t="s">
        <v>48</v>
      </c>
      <c r="N488" t="s">
        <v>60</v>
      </c>
      <c r="O488" t="s">
        <v>67</v>
      </c>
      <c r="P488" t="s">
        <v>78</v>
      </c>
      <c r="Q488">
        <v>3</v>
      </c>
      <c r="R488" s="2">
        <v>45020</v>
      </c>
      <c r="S488">
        <v>4</v>
      </c>
      <c r="T488">
        <v>5</v>
      </c>
      <c r="U488">
        <v>1</v>
      </c>
      <c r="V488" s="1">
        <v>45043</v>
      </c>
      <c r="W488" t="s">
        <v>92</v>
      </c>
      <c r="X488" t="s">
        <v>42</v>
      </c>
      <c r="Y488" t="s">
        <v>73</v>
      </c>
      <c r="Z488">
        <v>1</v>
      </c>
      <c r="AA488">
        <v>487.4</v>
      </c>
      <c r="AB488">
        <v>32</v>
      </c>
    </row>
    <row r="489" spans="1:28" x14ac:dyDescent="0.2">
      <c r="A489">
        <v>3975</v>
      </c>
      <c r="B489" s="1">
        <v>44138</v>
      </c>
      <c r="C489" t="s">
        <v>124</v>
      </c>
      <c r="D489" t="s">
        <v>29</v>
      </c>
      <c r="E489" t="s">
        <v>108</v>
      </c>
      <c r="F489" t="s">
        <v>46</v>
      </c>
      <c r="G489" t="s">
        <v>56</v>
      </c>
      <c r="H489" t="s">
        <v>33</v>
      </c>
      <c r="I489" t="s">
        <v>95</v>
      </c>
      <c r="J489" t="s">
        <v>70</v>
      </c>
      <c r="K489" s="2">
        <v>36185</v>
      </c>
      <c r="L489" t="s">
        <v>83</v>
      </c>
      <c r="M489" t="s">
        <v>48</v>
      </c>
      <c r="N489" t="s">
        <v>84</v>
      </c>
      <c r="O489" t="s">
        <v>61</v>
      </c>
      <c r="P489" t="s">
        <v>40</v>
      </c>
      <c r="Q489">
        <v>3</v>
      </c>
      <c r="R489" s="2">
        <v>44892</v>
      </c>
      <c r="S489">
        <v>1</v>
      </c>
      <c r="T489">
        <v>4</v>
      </c>
      <c r="U489">
        <v>3</v>
      </c>
      <c r="V489" s="1">
        <v>45054</v>
      </c>
      <c r="W489" t="s">
        <v>41</v>
      </c>
      <c r="X489" t="s">
        <v>51</v>
      </c>
      <c r="Y489" t="s">
        <v>63</v>
      </c>
      <c r="Z489">
        <v>2</v>
      </c>
      <c r="AA489">
        <v>669.81</v>
      </c>
      <c r="AB489">
        <v>21</v>
      </c>
    </row>
    <row r="490" spans="1:28" x14ac:dyDescent="0.2">
      <c r="A490">
        <v>3976</v>
      </c>
      <c r="B490" s="1">
        <v>44491</v>
      </c>
      <c r="C490" t="s">
        <v>121</v>
      </c>
      <c r="D490" t="s">
        <v>87</v>
      </c>
      <c r="E490" t="s">
        <v>30</v>
      </c>
      <c r="F490" t="s">
        <v>55</v>
      </c>
      <c r="G490" t="s">
        <v>32</v>
      </c>
      <c r="H490" t="s">
        <v>33</v>
      </c>
      <c r="I490" t="s">
        <v>95</v>
      </c>
      <c r="J490" t="s">
        <v>70</v>
      </c>
      <c r="K490" s="2">
        <v>33559</v>
      </c>
      <c r="L490" t="s">
        <v>36</v>
      </c>
      <c r="M490" t="s">
        <v>37</v>
      </c>
      <c r="N490" t="s">
        <v>38</v>
      </c>
      <c r="O490" t="s">
        <v>77</v>
      </c>
      <c r="P490" t="s">
        <v>40</v>
      </c>
      <c r="Q490">
        <v>3</v>
      </c>
      <c r="R490" s="2">
        <v>45041</v>
      </c>
      <c r="S490">
        <v>4</v>
      </c>
      <c r="T490">
        <v>5</v>
      </c>
      <c r="U490">
        <v>1</v>
      </c>
      <c r="V490" s="1">
        <v>45038</v>
      </c>
      <c r="W490" t="s">
        <v>41</v>
      </c>
      <c r="X490" t="s">
        <v>42</v>
      </c>
      <c r="Y490" t="s">
        <v>63</v>
      </c>
      <c r="Z490">
        <v>1</v>
      </c>
      <c r="AA490">
        <v>645.02</v>
      </c>
      <c r="AB490">
        <v>30</v>
      </c>
    </row>
    <row r="491" spans="1:28" x14ac:dyDescent="0.2">
      <c r="A491">
        <v>3977</v>
      </c>
      <c r="B491" s="1">
        <v>43339</v>
      </c>
      <c r="C491" t="s">
        <v>126</v>
      </c>
      <c r="D491" t="s">
        <v>64</v>
      </c>
      <c r="E491" t="s">
        <v>30</v>
      </c>
      <c r="F491" t="s">
        <v>55</v>
      </c>
      <c r="G491" t="s">
        <v>45</v>
      </c>
      <c r="H491" t="s">
        <v>55</v>
      </c>
      <c r="I491" t="s">
        <v>95</v>
      </c>
      <c r="J491" t="s">
        <v>101</v>
      </c>
      <c r="K491" s="2">
        <v>15937</v>
      </c>
      <c r="L491" t="s">
        <v>36</v>
      </c>
      <c r="M491" t="s">
        <v>37</v>
      </c>
      <c r="N491" t="s">
        <v>72</v>
      </c>
      <c r="O491" t="s">
        <v>77</v>
      </c>
      <c r="P491" t="s">
        <v>40</v>
      </c>
      <c r="Q491">
        <v>3</v>
      </c>
      <c r="R491" s="2">
        <v>44932</v>
      </c>
      <c r="S491">
        <v>1</v>
      </c>
      <c r="T491">
        <v>5</v>
      </c>
      <c r="U491">
        <v>4</v>
      </c>
      <c r="V491" s="1">
        <v>44847</v>
      </c>
      <c r="W491" t="s">
        <v>68</v>
      </c>
      <c r="X491" t="s">
        <v>51</v>
      </c>
      <c r="Y491" t="s">
        <v>63</v>
      </c>
      <c r="Z491">
        <v>2</v>
      </c>
      <c r="AA491">
        <v>157.4</v>
      </c>
      <c r="AB491">
        <v>75</v>
      </c>
    </row>
    <row r="492" spans="1:28" x14ac:dyDescent="0.2">
      <c r="A492">
        <v>3978</v>
      </c>
      <c r="B492" s="1">
        <v>44024</v>
      </c>
      <c r="C492" t="s">
        <v>126</v>
      </c>
      <c r="D492" t="s">
        <v>94</v>
      </c>
      <c r="E492" t="s">
        <v>30</v>
      </c>
      <c r="F492" t="s">
        <v>46</v>
      </c>
      <c r="G492" t="s">
        <v>56</v>
      </c>
      <c r="H492" t="s">
        <v>46</v>
      </c>
      <c r="I492" t="s">
        <v>95</v>
      </c>
      <c r="J492" t="s">
        <v>65</v>
      </c>
      <c r="K492" s="2">
        <v>29337</v>
      </c>
      <c r="L492" t="s">
        <v>36</v>
      </c>
      <c r="M492" t="s">
        <v>48</v>
      </c>
      <c r="N492" t="s">
        <v>84</v>
      </c>
      <c r="O492" t="s">
        <v>39</v>
      </c>
      <c r="P492" t="s">
        <v>40</v>
      </c>
      <c r="Q492">
        <v>3</v>
      </c>
      <c r="R492" s="2">
        <v>44808</v>
      </c>
      <c r="S492">
        <v>4</v>
      </c>
      <c r="T492">
        <v>3</v>
      </c>
      <c r="U492">
        <v>5</v>
      </c>
      <c r="V492" s="1">
        <v>45061</v>
      </c>
      <c r="W492" t="s">
        <v>62</v>
      </c>
      <c r="X492" t="s">
        <v>51</v>
      </c>
      <c r="Y492" t="s">
        <v>43</v>
      </c>
      <c r="Z492">
        <v>1</v>
      </c>
      <c r="AA492">
        <v>131.97999999999999</v>
      </c>
      <c r="AB492">
        <v>40</v>
      </c>
    </row>
    <row r="493" spans="1:28" x14ac:dyDescent="0.2">
      <c r="A493">
        <v>3980</v>
      </c>
      <c r="B493" s="1">
        <v>43962</v>
      </c>
      <c r="C493" t="s">
        <v>120</v>
      </c>
      <c r="D493" t="s">
        <v>54</v>
      </c>
      <c r="E493" t="s">
        <v>30</v>
      </c>
      <c r="F493" t="s">
        <v>55</v>
      </c>
      <c r="G493" t="s">
        <v>32</v>
      </c>
      <c r="H493" t="s">
        <v>55</v>
      </c>
      <c r="I493" t="s">
        <v>95</v>
      </c>
      <c r="J493" t="s">
        <v>96</v>
      </c>
      <c r="K493" s="2">
        <v>27730</v>
      </c>
      <c r="L493" t="s">
        <v>36</v>
      </c>
      <c r="M493" t="s">
        <v>37</v>
      </c>
      <c r="N493" t="s">
        <v>38</v>
      </c>
      <c r="O493" t="s">
        <v>67</v>
      </c>
      <c r="P493" t="s">
        <v>78</v>
      </c>
      <c r="Q493">
        <v>3</v>
      </c>
      <c r="R493" s="2">
        <v>44837</v>
      </c>
      <c r="S493">
        <v>4</v>
      </c>
      <c r="T493">
        <v>2</v>
      </c>
      <c r="U493">
        <v>5</v>
      </c>
      <c r="V493" s="1">
        <v>45134</v>
      </c>
      <c r="W493" t="s">
        <v>92</v>
      </c>
      <c r="X493" t="s">
        <v>51</v>
      </c>
      <c r="Y493" t="s">
        <v>52</v>
      </c>
      <c r="Z493">
        <v>1</v>
      </c>
      <c r="AA493">
        <v>695.56</v>
      </c>
      <c r="AB493">
        <v>45</v>
      </c>
    </row>
    <row r="494" spans="1:28" x14ac:dyDescent="0.2">
      <c r="A494">
        <v>3981</v>
      </c>
      <c r="B494" s="1">
        <v>44036</v>
      </c>
      <c r="C494" t="s">
        <v>120</v>
      </c>
      <c r="D494" t="s">
        <v>69</v>
      </c>
      <c r="E494" t="s">
        <v>30</v>
      </c>
      <c r="F494" t="s">
        <v>55</v>
      </c>
      <c r="G494" t="s">
        <v>45</v>
      </c>
      <c r="H494" t="s">
        <v>33</v>
      </c>
      <c r="I494" t="s">
        <v>95</v>
      </c>
      <c r="J494" t="s">
        <v>70</v>
      </c>
      <c r="K494" s="2">
        <v>21953</v>
      </c>
      <c r="L494" t="s">
        <v>36</v>
      </c>
      <c r="M494" t="s">
        <v>37</v>
      </c>
      <c r="N494" t="s">
        <v>72</v>
      </c>
      <c r="O494" t="s">
        <v>77</v>
      </c>
      <c r="P494" t="s">
        <v>40</v>
      </c>
      <c r="Q494">
        <v>3</v>
      </c>
      <c r="R494" s="2">
        <v>44865</v>
      </c>
      <c r="S494">
        <v>1</v>
      </c>
      <c r="T494">
        <v>2</v>
      </c>
      <c r="U494">
        <v>4</v>
      </c>
      <c r="V494" s="1">
        <v>44917</v>
      </c>
      <c r="W494" t="s">
        <v>92</v>
      </c>
      <c r="X494" t="s">
        <v>51</v>
      </c>
      <c r="Y494" t="s">
        <v>73</v>
      </c>
      <c r="Z494">
        <v>2</v>
      </c>
      <c r="AA494">
        <v>869.96</v>
      </c>
      <c r="AB494">
        <v>60</v>
      </c>
    </row>
    <row r="495" spans="1:28" x14ac:dyDescent="0.2">
      <c r="A495">
        <v>3982</v>
      </c>
      <c r="B495" s="1">
        <v>44782</v>
      </c>
      <c r="C495" t="s">
        <v>119</v>
      </c>
      <c r="D495" t="s">
        <v>29</v>
      </c>
      <c r="E495" t="s">
        <v>30</v>
      </c>
      <c r="F495" t="s">
        <v>46</v>
      </c>
      <c r="G495" t="s">
        <v>56</v>
      </c>
      <c r="H495" t="s">
        <v>46</v>
      </c>
      <c r="I495" t="s">
        <v>95</v>
      </c>
      <c r="J495" t="s">
        <v>47</v>
      </c>
      <c r="K495" s="2">
        <v>20983</v>
      </c>
      <c r="L495" t="s">
        <v>36</v>
      </c>
      <c r="M495" t="s">
        <v>37</v>
      </c>
      <c r="N495" t="s">
        <v>60</v>
      </c>
      <c r="O495" t="s">
        <v>67</v>
      </c>
      <c r="P495" t="s">
        <v>98</v>
      </c>
      <c r="Q495">
        <v>3</v>
      </c>
      <c r="R495" s="2">
        <v>44843</v>
      </c>
      <c r="S495">
        <v>1</v>
      </c>
      <c r="T495">
        <v>1</v>
      </c>
      <c r="U495">
        <v>1</v>
      </c>
      <c r="V495" s="1">
        <v>44904</v>
      </c>
      <c r="W495" t="s">
        <v>68</v>
      </c>
      <c r="X495" t="s">
        <v>42</v>
      </c>
      <c r="Y495" t="s">
        <v>63</v>
      </c>
      <c r="Z495">
        <v>1</v>
      </c>
      <c r="AA495">
        <v>189.91</v>
      </c>
      <c r="AB495">
        <v>65</v>
      </c>
    </row>
    <row r="496" spans="1:28" x14ac:dyDescent="0.2">
      <c r="A496">
        <v>3983</v>
      </c>
      <c r="B496" s="1">
        <v>44724</v>
      </c>
      <c r="C496" t="s">
        <v>119</v>
      </c>
      <c r="D496" t="s">
        <v>85</v>
      </c>
      <c r="E496" t="s">
        <v>30</v>
      </c>
      <c r="F496" t="s">
        <v>55</v>
      </c>
      <c r="G496" t="s">
        <v>45</v>
      </c>
      <c r="H496" t="s">
        <v>55</v>
      </c>
      <c r="I496" t="s">
        <v>95</v>
      </c>
      <c r="J496" t="s">
        <v>70</v>
      </c>
      <c r="K496" s="2">
        <v>23479</v>
      </c>
      <c r="L496" t="s">
        <v>36</v>
      </c>
      <c r="M496" t="s">
        <v>37</v>
      </c>
      <c r="N496" t="s">
        <v>49</v>
      </c>
      <c r="O496" t="s">
        <v>67</v>
      </c>
      <c r="P496" t="s">
        <v>78</v>
      </c>
      <c r="Q496">
        <v>3</v>
      </c>
      <c r="R496" s="2">
        <v>44898</v>
      </c>
      <c r="S496">
        <v>4</v>
      </c>
      <c r="T496">
        <v>3</v>
      </c>
      <c r="U496">
        <v>1</v>
      </c>
      <c r="V496" s="1">
        <v>45131</v>
      </c>
      <c r="W496" t="s">
        <v>62</v>
      </c>
      <c r="X496" t="s">
        <v>51</v>
      </c>
      <c r="Y496" t="s">
        <v>43</v>
      </c>
      <c r="Z496">
        <v>5</v>
      </c>
      <c r="AA496">
        <v>407.96</v>
      </c>
      <c r="AB496">
        <v>58</v>
      </c>
    </row>
    <row r="497" spans="1:28" x14ac:dyDescent="0.2">
      <c r="A497">
        <v>3984</v>
      </c>
      <c r="B497" s="1">
        <v>44602</v>
      </c>
      <c r="C497" t="s">
        <v>119</v>
      </c>
      <c r="D497" t="s">
        <v>44</v>
      </c>
      <c r="E497" t="s">
        <v>30</v>
      </c>
      <c r="F497" t="s">
        <v>31</v>
      </c>
      <c r="G497" t="s">
        <v>56</v>
      </c>
      <c r="H497" t="s">
        <v>55</v>
      </c>
      <c r="I497" t="s">
        <v>95</v>
      </c>
      <c r="J497" t="s">
        <v>101</v>
      </c>
      <c r="K497" s="2">
        <v>23215</v>
      </c>
      <c r="L497" t="s">
        <v>83</v>
      </c>
      <c r="M497" t="s">
        <v>37</v>
      </c>
      <c r="N497" t="s">
        <v>49</v>
      </c>
      <c r="O497" t="s">
        <v>61</v>
      </c>
      <c r="P497" t="s">
        <v>40</v>
      </c>
      <c r="Q497">
        <v>3</v>
      </c>
      <c r="R497" s="2">
        <v>44981</v>
      </c>
      <c r="S497">
        <v>5</v>
      </c>
      <c r="T497">
        <v>5</v>
      </c>
      <c r="U497">
        <v>4</v>
      </c>
      <c r="V497" s="1">
        <v>44780</v>
      </c>
      <c r="W497" t="s">
        <v>92</v>
      </c>
      <c r="X497" t="s">
        <v>42</v>
      </c>
      <c r="Y497" t="s">
        <v>52</v>
      </c>
      <c r="Z497">
        <v>1</v>
      </c>
      <c r="AA497">
        <v>202.91</v>
      </c>
      <c r="AB497">
        <v>59</v>
      </c>
    </row>
    <row r="498" spans="1:28" x14ac:dyDescent="0.2">
      <c r="A498">
        <v>3985</v>
      </c>
      <c r="B498" s="1">
        <v>44939</v>
      </c>
      <c r="C498" t="s">
        <v>119</v>
      </c>
      <c r="D498" t="s">
        <v>87</v>
      </c>
      <c r="E498" t="s">
        <v>108</v>
      </c>
      <c r="F498" t="s">
        <v>46</v>
      </c>
      <c r="G498" t="s">
        <v>45</v>
      </c>
      <c r="H498" t="s">
        <v>46</v>
      </c>
      <c r="I498" t="s">
        <v>95</v>
      </c>
      <c r="J498" t="s">
        <v>104</v>
      </c>
      <c r="K498" s="2">
        <v>33621</v>
      </c>
      <c r="L498" t="s">
        <v>83</v>
      </c>
      <c r="M498" t="s">
        <v>48</v>
      </c>
      <c r="N498" t="s">
        <v>38</v>
      </c>
      <c r="O498" t="s">
        <v>39</v>
      </c>
      <c r="P498" t="s">
        <v>40</v>
      </c>
      <c r="Q498">
        <v>3</v>
      </c>
      <c r="R498" s="2">
        <v>44832</v>
      </c>
      <c r="S498">
        <v>5</v>
      </c>
      <c r="T498">
        <v>4</v>
      </c>
      <c r="U498">
        <v>2</v>
      </c>
      <c r="V498" s="1">
        <v>44850</v>
      </c>
      <c r="W498" t="s">
        <v>92</v>
      </c>
      <c r="X498" t="s">
        <v>42</v>
      </c>
      <c r="Y498" t="s">
        <v>73</v>
      </c>
      <c r="Z498">
        <v>4</v>
      </c>
      <c r="AA498">
        <v>956.95</v>
      </c>
      <c r="AB498">
        <v>31</v>
      </c>
    </row>
    <row r="499" spans="1:28" x14ac:dyDescent="0.2">
      <c r="A499">
        <v>3986</v>
      </c>
      <c r="B499" s="1">
        <v>43900</v>
      </c>
      <c r="C499" t="s">
        <v>119</v>
      </c>
      <c r="D499" t="s">
        <v>64</v>
      </c>
      <c r="E499" t="s">
        <v>30</v>
      </c>
      <c r="F499" t="s">
        <v>46</v>
      </c>
      <c r="G499" t="s">
        <v>45</v>
      </c>
      <c r="H499" t="s">
        <v>33</v>
      </c>
      <c r="I499" t="s">
        <v>95</v>
      </c>
      <c r="J499" t="s">
        <v>102</v>
      </c>
      <c r="K499" s="2">
        <v>26630</v>
      </c>
      <c r="L499" t="s">
        <v>83</v>
      </c>
      <c r="M499" t="s">
        <v>37</v>
      </c>
      <c r="N499" t="s">
        <v>49</v>
      </c>
      <c r="O499" t="s">
        <v>67</v>
      </c>
      <c r="P499" t="s">
        <v>40</v>
      </c>
      <c r="Q499">
        <v>3</v>
      </c>
      <c r="R499" s="2">
        <v>44842</v>
      </c>
      <c r="S499">
        <v>4</v>
      </c>
      <c r="T499">
        <v>3</v>
      </c>
      <c r="U499">
        <v>2</v>
      </c>
      <c r="V499" s="1">
        <v>44849</v>
      </c>
      <c r="W499" t="s">
        <v>68</v>
      </c>
      <c r="X499" t="s">
        <v>51</v>
      </c>
      <c r="Y499" t="s">
        <v>73</v>
      </c>
      <c r="Z499">
        <v>5</v>
      </c>
      <c r="AA499">
        <v>813.03</v>
      </c>
      <c r="AB499">
        <v>48</v>
      </c>
    </row>
    <row r="500" spans="1:28" x14ac:dyDescent="0.2">
      <c r="A500">
        <v>3987</v>
      </c>
      <c r="B500" s="1">
        <v>44617</v>
      </c>
      <c r="C500" t="s">
        <v>123</v>
      </c>
      <c r="D500" t="s">
        <v>94</v>
      </c>
      <c r="E500" t="s">
        <v>108</v>
      </c>
      <c r="F500" t="s">
        <v>55</v>
      </c>
      <c r="G500" t="s">
        <v>45</v>
      </c>
      <c r="H500" t="s">
        <v>55</v>
      </c>
      <c r="I500" t="s">
        <v>95</v>
      </c>
      <c r="J500" t="s">
        <v>102</v>
      </c>
      <c r="K500" s="2">
        <v>30074</v>
      </c>
      <c r="L500" t="s">
        <v>83</v>
      </c>
      <c r="M500" t="s">
        <v>48</v>
      </c>
      <c r="N500" t="s">
        <v>60</v>
      </c>
      <c r="O500" t="s">
        <v>39</v>
      </c>
      <c r="P500" t="s">
        <v>78</v>
      </c>
      <c r="Q500">
        <v>3</v>
      </c>
      <c r="R500" s="2">
        <v>44917</v>
      </c>
      <c r="S500">
        <v>5</v>
      </c>
      <c r="T500">
        <v>4</v>
      </c>
      <c r="U500">
        <v>1</v>
      </c>
      <c r="V500" s="1">
        <v>44797</v>
      </c>
      <c r="W500" t="s">
        <v>62</v>
      </c>
      <c r="X500" t="s">
        <v>51</v>
      </c>
      <c r="Y500" t="s">
        <v>73</v>
      </c>
      <c r="Z500">
        <v>1</v>
      </c>
      <c r="AA500">
        <v>962.54</v>
      </c>
      <c r="AB500">
        <v>40</v>
      </c>
    </row>
    <row r="501" spans="1:28" x14ac:dyDescent="0.2">
      <c r="A501">
        <v>3989</v>
      </c>
      <c r="B501" s="1">
        <v>44753</v>
      </c>
      <c r="C501" t="s">
        <v>121</v>
      </c>
      <c r="D501" t="s">
        <v>64</v>
      </c>
      <c r="E501" t="s">
        <v>30</v>
      </c>
      <c r="F501" t="s">
        <v>55</v>
      </c>
      <c r="G501" t="s">
        <v>32</v>
      </c>
      <c r="H501" t="s">
        <v>46</v>
      </c>
      <c r="I501" t="s">
        <v>95</v>
      </c>
      <c r="J501" t="s">
        <v>65</v>
      </c>
      <c r="K501" s="2">
        <v>19163</v>
      </c>
      <c r="L501" t="s">
        <v>36</v>
      </c>
      <c r="M501" t="s">
        <v>37</v>
      </c>
      <c r="N501" t="s">
        <v>84</v>
      </c>
      <c r="O501" t="s">
        <v>39</v>
      </c>
      <c r="P501" t="s">
        <v>40</v>
      </c>
      <c r="Q501">
        <v>3</v>
      </c>
      <c r="R501" s="2">
        <v>45042</v>
      </c>
      <c r="S501">
        <v>2</v>
      </c>
      <c r="T501">
        <v>1</v>
      </c>
      <c r="U501">
        <v>1</v>
      </c>
      <c r="V501" s="1">
        <v>44948</v>
      </c>
      <c r="W501" t="s">
        <v>92</v>
      </c>
      <c r="X501" t="s">
        <v>42</v>
      </c>
      <c r="Y501" t="s">
        <v>73</v>
      </c>
      <c r="Z501">
        <v>5</v>
      </c>
      <c r="AA501">
        <v>866.51</v>
      </c>
      <c r="AB501">
        <v>70</v>
      </c>
    </row>
    <row r="502" spans="1:28" x14ac:dyDescent="0.2">
      <c r="A502">
        <v>3991</v>
      </c>
      <c r="B502" s="1">
        <v>45026</v>
      </c>
      <c r="C502" t="s">
        <v>126</v>
      </c>
      <c r="D502" t="s">
        <v>69</v>
      </c>
      <c r="E502" t="s">
        <v>30</v>
      </c>
      <c r="F502" t="s">
        <v>31</v>
      </c>
      <c r="G502" t="s">
        <v>56</v>
      </c>
      <c r="H502" t="s">
        <v>55</v>
      </c>
      <c r="I502" t="s">
        <v>95</v>
      </c>
      <c r="J502" t="s">
        <v>96</v>
      </c>
      <c r="K502" s="2">
        <v>27097</v>
      </c>
      <c r="L502" t="s">
        <v>36</v>
      </c>
      <c r="M502" t="s">
        <v>48</v>
      </c>
      <c r="N502" t="s">
        <v>72</v>
      </c>
      <c r="O502" t="s">
        <v>61</v>
      </c>
      <c r="P502" t="s">
        <v>40</v>
      </c>
      <c r="Q502">
        <v>3</v>
      </c>
      <c r="R502" s="2">
        <v>44845</v>
      </c>
      <c r="S502">
        <v>2</v>
      </c>
      <c r="T502">
        <v>3</v>
      </c>
      <c r="U502">
        <v>2</v>
      </c>
      <c r="V502" s="1">
        <v>44823</v>
      </c>
      <c r="W502" t="s">
        <v>50</v>
      </c>
      <c r="X502" t="s">
        <v>42</v>
      </c>
      <c r="Y502" t="s">
        <v>63</v>
      </c>
      <c r="Z502">
        <v>4</v>
      </c>
      <c r="AA502">
        <v>716.52</v>
      </c>
      <c r="AB502">
        <v>49</v>
      </c>
    </row>
    <row r="503" spans="1:28" x14ac:dyDescent="0.2">
      <c r="A503">
        <v>3992</v>
      </c>
      <c r="B503" s="1">
        <v>44903</v>
      </c>
      <c r="C503" t="s">
        <v>120</v>
      </c>
      <c r="D503" t="s">
        <v>85</v>
      </c>
      <c r="E503" t="s">
        <v>30</v>
      </c>
      <c r="F503" t="s">
        <v>46</v>
      </c>
      <c r="G503" t="s">
        <v>45</v>
      </c>
      <c r="H503" t="s">
        <v>55</v>
      </c>
      <c r="I503" t="s">
        <v>95</v>
      </c>
      <c r="J503" t="s">
        <v>75</v>
      </c>
      <c r="K503" s="2">
        <v>22643</v>
      </c>
      <c r="L503" t="s">
        <v>36</v>
      </c>
      <c r="M503" t="s">
        <v>48</v>
      </c>
      <c r="N503" t="s">
        <v>72</v>
      </c>
      <c r="O503" t="s">
        <v>67</v>
      </c>
      <c r="P503" t="s">
        <v>40</v>
      </c>
      <c r="Q503">
        <v>3</v>
      </c>
      <c r="R503" s="2">
        <v>45121</v>
      </c>
      <c r="S503">
        <v>4</v>
      </c>
      <c r="T503">
        <v>3</v>
      </c>
      <c r="U503">
        <v>1</v>
      </c>
      <c r="V503" s="1">
        <v>44817</v>
      </c>
      <c r="W503" t="s">
        <v>62</v>
      </c>
      <c r="X503" t="s">
        <v>51</v>
      </c>
      <c r="Y503" t="s">
        <v>63</v>
      </c>
      <c r="Z503">
        <v>3</v>
      </c>
      <c r="AA503">
        <v>323.25</v>
      </c>
      <c r="AB503">
        <v>61</v>
      </c>
    </row>
    <row r="504" spans="1:28" x14ac:dyDescent="0.2">
      <c r="A504">
        <v>3993</v>
      </c>
      <c r="B504" s="1">
        <v>44734</v>
      </c>
      <c r="C504" t="s">
        <v>120</v>
      </c>
      <c r="D504" t="s">
        <v>94</v>
      </c>
      <c r="E504" t="s">
        <v>30</v>
      </c>
      <c r="F504" t="s">
        <v>31</v>
      </c>
      <c r="G504" t="s">
        <v>32</v>
      </c>
      <c r="H504" t="s">
        <v>55</v>
      </c>
      <c r="I504" t="s">
        <v>95</v>
      </c>
      <c r="J504" t="s">
        <v>70</v>
      </c>
      <c r="K504" s="2">
        <v>35209</v>
      </c>
      <c r="L504" t="s">
        <v>36</v>
      </c>
      <c r="M504" t="s">
        <v>37</v>
      </c>
      <c r="N504" t="s">
        <v>84</v>
      </c>
      <c r="O504" t="s">
        <v>67</v>
      </c>
      <c r="P504" t="s">
        <v>40</v>
      </c>
      <c r="Q504">
        <v>3</v>
      </c>
      <c r="R504" s="2">
        <v>44850</v>
      </c>
      <c r="S504">
        <v>3</v>
      </c>
      <c r="T504">
        <v>4</v>
      </c>
      <c r="U504">
        <v>4</v>
      </c>
      <c r="V504" s="1">
        <v>44953</v>
      </c>
      <c r="W504" t="s">
        <v>92</v>
      </c>
      <c r="X504" t="s">
        <v>42</v>
      </c>
      <c r="Y504" t="s">
        <v>43</v>
      </c>
      <c r="Z504">
        <v>2</v>
      </c>
      <c r="AA504">
        <v>229</v>
      </c>
      <c r="AB504">
        <v>26</v>
      </c>
    </row>
    <row r="505" spans="1:28" x14ac:dyDescent="0.2">
      <c r="A505">
        <v>3994</v>
      </c>
      <c r="B505" s="1">
        <v>44826</v>
      </c>
      <c r="C505" t="s">
        <v>120</v>
      </c>
      <c r="D505" t="s">
        <v>54</v>
      </c>
      <c r="E505" t="s">
        <v>30</v>
      </c>
      <c r="F505" t="s">
        <v>55</v>
      </c>
      <c r="G505" t="s">
        <v>45</v>
      </c>
      <c r="H505" t="s">
        <v>55</v>
      </c>
      <c r="I505" t="s">
        <v>95</v>
      </c>
      <c r="J505" t="s">
        <v>70</v>
      </c>
      <c r="K505" s="2">
        <v>31816</v>
      </c>
      <c r="L505" t="s">
        <v>36</v>
      </c>
      <c r="M505" t="s">
        <v>37</v>
      </c>
      <c r="N505" t="s">
        <v>84</v>
      </c>
      <c r="O505" t="s">
        <v>61</v>
      </c>
      <c r="P505" t="s">
        <v>40</v>
      </c>
      <c r="Q505">
        <v>3</v>
      </c>
      <c r="R505" s="2">
        <v>44971</v>
      </c>
      <c r="S505">
        <v>3</v>
      </c>
      <c r="T505">
        <v>5</v>
      </c>
      <c r="U505">
        <v>2</v>
      </c>
      <c r="V505" s="1">
        <v>44968</v>
      </c>
      <c r="W505" t="s">
        <v>50</v>
      </c>
      <c r="X505" t="s">
        <v>42</v>
      </c>
      <c r="Y505" t="s">
        <v>43</v>
      </c>
      <c r="Z505">
        <v>1</v>
      </c>
      <c r="AA505">
        <v>861.91</v>
      </c>
      <c r="AB505">
        <v>35</v>
      </c>
    </row>
    <row r="506" spans="1:28" x14ac:dyDescent="0.2">
      <c r="A506">
        <v>3995</v>
      </c>
      <c r="B506" s="1">
        <v>43661</v>
      </c>
      <c r="C506" t="s">
        <v>119</v>
      </c>
      <c r="D506" t="s">
        <v>81</v>
      </c>
      <c r="E506" t="s">
        <v>30</v>
      </c>
      <c r="F506" t="s">
        <v>55</v>
      </c>
      <c r="G506" t="s">
        <v>45</v>
      </c>
      <c r="H506" t="s">
        <v>33</v>
      </c>
      <c r="I506" t="s">
        <v>95</v>
      </c>
      <c r="J506" t="s">
        <v>101</v>
      </c>
      <c r="K506" s="2">
        <v>17144</v>
      </c>
      <c r="L506" t="s">
        <v>36</v>
      </c>
      <c r="M506" t="s">
        <v>37</v>
      </c>
      <c r="N506" t="s">
        <v>72</v>
      </c>
      <c r="O506" t="s">
        <v>39</v>
      </c>
      <c r="P506" t="s">
        <v>78</v>
      </c>
      <c r="Q506">
        <v>3</v>
      </c>
      <c r="R506" s="2">
        <v>44931</v>
      </c>
      <c r="S506">
        <v>4</v>
      </c>
      <c r="T506">
        <v>5</v>
      </c>
      <c r="U506">
        <v>2</v>
      </c>
      <c r="V506" s="1">
        <v>44918</v>
      </c>
      <c r="W506" t="s">
        <v>62</v>
      </c>
      <c r="X506" t="s">
        <v>51</v>
      </c>
      <c r="Y506" t="s">
        <v>52</v>
      </c>
      <c r="Z506">
        <v>3</v>
      </c>
      <c r="AA506">
        <v>803.73</v>
      </c>
      <c r="AB506">
        <v>73</v>
      </c>
    </row>
    <row r="507" spans="1:28" x14ac:dyDescent="0.2">
      <c r="A507">
        <v>3996</v>
      </c>
      <c r="B507" s="1">
        <v>44440</v>
      </c>
      <c r="C507" t="s">
        <v>119</v>
      </c>
      <c r="D507" t="s">
        <v>87</v>
      </c>
      <c r="E507" t="s">
        <v>30</v>
      </c>
      <c r="F507" t="s">
        <v>46</v>
      </c>
      <c r="G507" t="s">
        <v>32</v>
      </c>
      <c r="H507" t="s">
        <v>55</v>
      </c>
      <c r="I507" t="s">
        <v>95</v>
      </c>
      <c r="J507" t="s">
        <v>102</v>
      </c>
      <c r="K507" s="2">
        <v>36493</v>
      </c>
      <c r="L507" t="s">
        <v>36</v>
      </c>
      <c r="M507" t="s">
        <v>37</v>
      </c>
      <c r="N507" t="s">
        <v>38</v>
      </c>
      <c r="O507" t="s">
        <v>39</v>
      </c>
      <c r="P507" t="s">
        <v>40</v>
      </c>
      <c r="Q507">
        <v>3</v>
      </c>
      <c r="R507" s="2">
        <v>45030</v>
      </c>
      <c r="S507">
        <v>3</v>
      </c>
      <c r="T507">
        <v>5</v>
      </c>
      <c r="U507">
        <v>1</v>
      </c>
      <c r="V507" s="1">
        <v>44935</v>
      </c>
      <c r="W507" t="s">
        <v>50</v>
      </c>
      <c r="X507" t="s">
        <v>42</v>
      </c>
      <c r="Y507" t="s">
        <v>43</v>
      </c>
      <c r="Z507">
        <v>2</v>
      </c>
      <c r="AA507">
        <v>808.51</v>
      </c>
      <c r="AB507">
        <v>22</v>
      </c>
    </row>
    <row r="508" spans="1:28" x14ac:dyDescent="0.2">
      <c r="A508">
        <v>3997</v>
      </c>
      <c r="B508" s="1">
        <v>43662</v>
      </c>
      <c r="C508" t="s">
        <v>119</v>
      </c>
      <c r="D508" t="s">
        <v>44</v>
      </c>
      <c r="E508" t="s">
        <v>30</v>
      </c>
      <c r="F508" t="s">
        <v>31</v>
      </c>
      <c r="G508" t="s">
        <v>45</v>
      </c>
      <c r="H508" t="s">
        <v>33</v>
      </c>
      <c r="I508" t="s">
        <v>95</v>
      </c>
      <c r="J508" t="s">
        <v>79</v>
      </c>
      <c r="K508" s="2">
        <v>17138</v>
      </c>
      <c r="L508" t="s">
        <v>83</v>
      </c>
      <c r="M508" t="s">
        <v>48</v>
      </c>
      <c r="N508" t="s">
        <v>72</v>
      </c>
      <c r="O508" t="s">
        <v>61</v>
      </c>
      <c r="P508" t="s">
        <v>98</v>
      </c>
      <c r="Q508">
        <v>3</v>
      </c>
      <c r="R508" s="2">
        <v>44814</v>
      </c>
      <c r="S508">
        <v>2</v>
      </c>
      <c r="T508">
        <v>4</v>
      </c>
      <c r="U508">
        <v>1</v>
      </c>
      <c r="V508" s="1">
        <v>44823</v>
      </c>
      <c r="W508" t="s">
        <v>62</v>
      </c>
      <c r="X508" t="s">
        <v>51</v>
      </c>
      <c r="Y508" t="s">
        <v>43</v>
      </c>
      <c r="Z508">
        <v>4</v>
      </c>
      <c r="AA508">
        <v>629.16</v>
      </c>
      <c r="AB508">
        <v>73</v>
      </c>
    </row>
    <row r="509" spans="1:28" x14ac:dyDescent="0.2">
      <c r="A509">
        <v>3998</v>
      </c>
      <c r="B509" s="1">
        <v>44554</v>
      </c>
      <c r="C509" t="s">
        <v>119</v>
      </c>
      <c r="D509" t="s">
        <v>29</v>
      </c>
      <c r="E509" t="s">
        <v>108</v>
      </c>
      <c r="F509" t="s">
        <v>55</v>
      </c>
      <c r="G509" t="s">
        <v>56</v>
      </c>
      <c r="H509" t="s">
        <v>55</v>
      </c>
      <c r="I509" t="s">
        <v>95</v>
      </c>
      <c r="J509" t="s">
        <v>105</v>
      </c>
      <c r="K509" s="2">
        <v>25955</v>
      </c>
      <c r="L509" t="s">
        <v>83</v>
      </c>
      <c r="M509" t="s">
        <v>37</v>
      </c>
      <c r="N509" t="s">
        <v>60</v>
      </c>
      <c r="O509" t="s">
        <v>67</v>
      </c>
      <c r="P509" t="s">
        <v>40</v>
      </c>
      <c r="Q509">
        <v>3</v>
      </c>
      <c r="R509" s="2">
        <v>44979</v>
      </c>
      <c r="S509">
        <v>5</v>
      </c>
      <c r="T509">
        <v>5</v>
      </c>
      <c r="U509">
        <v>2</v>
      </c>
      <c r="V509" s="1">
        <v>44830</v>
      </c>
      <c r="W509" t="s">
        <v>50</v>
      </c>
      <c r="X509" t="s">
        <v>51</v>
      </c>
      <c r="Y509" t="s">
        <v>63</v>
      </c>
      <c r="Z509">
        <v>1</v>
      </c>
      <c r="AA509">
        <v>994.09</v>
      </c>
      <c r="AB509">
        <v>50</v>
      </c>
    </row>
    <row r="510" spans="1:28" x14ac:dyDescent="0.2">
      <c r="A510">
        <v>3999</v>
      </c>
      <c r="B510" s="1">
        <v>43572</v>
      </c>
      <c r="C510" t="s">
        <v>119</v>
      </c>
      <c r="D510" t="s">
        <v>69</v>
      </c>
      <c r="E510" t="s">
        <v>108</v>
      </c>
      <c r="F510" t="s">
        <v>55</v>
      </c>
      <c r="G510" t="s">
        <v>56</v>
      </c>
      <c r="H510" t="s">
        <v>55</v>
      </c>
      <c r="I510" t="s">
        <v>95</v>
      </c>
      <c r="J510" t="s">
        <v>79</v>
      </c>
      <c r="K510" s="2">
        <v>15738</v>
      </c>
      <c r="L510" t="s">
        <v>83</v>
      </c>
      <c r="M510" t="s">
        <v>48</v>
      </c>
      <c r="N510" t="s">
        <v>84</v>
      </c>
      <c r="O510" t="s">
        <v>61</v>
      </c>
      <c r="P510" t="s">
        <v>78</v>
      </c>
      <c r="Q510">
        <v>3</v>
      </c>
      <c r="R510" s="2">
        <v>44836</v>
      </c>
      <c r="S510">
        <v>5</v>
      </c>
      <c r="T510">
        <v>4</v>
      </c>
      <c r="U510">
        <v>2</v>
      </c>
      <c r="V510" s="1">
        <v>45109</v>
      </c>
      <c r="W510" t="s">
        <v>41</v>
      </c>
      <c r="X510" t="s">
        <v>42</v>
      </c>
      <c r="Y510" t="s">
        <v>52</v>
      </c>
      <c r="Z510">
        <v>5</v>
      </c>
      <c r="AA510">
        <v>477.78</v>
      </c>
      <c r="AB510">
        <v>76</v>
      </c>
    </row>
    <row r="511" spans="1:28" x14ac:dyDescent="0.2">
      <c r="A511">
        <v>4000</v>
      </c>
      <c r="B511" s="1">
        <v>43764</v>
      </c>
      <c r="C511" t="s">
        <v>123</v>
      </c>
      <c r="D511" t="s">
        <v>94</v>
      </c>
      <c r="E511" t="s">
        <v>108</v>
      </c>
      <c r="F511" t="s">
        <v>31</v>
      </c>
      <c r="G511" t="s">
        <v>32</v>
      </c>
      <c r="H511" t="s">
        <v>55</v>
      </c>
      <c r="I511" t="s">
        <v>95</v>
      </c>
      <c r="J511" t="s">
        <v>70</v>
      </c>
      <c r="K511" s="2">
        <v>22006</v>
      </c>
      <c r="L511" t="s">
        <v>83</v>
      </c>
      <c r="M511" t="s">
        <v>48</v>
      </c>
      <c r="N511" t="s">
        <v>72</v>
      </c>
      <c r="O511" t="s">
        <v>77</v>
      </c>
      <c r="P511" t="s">
        <v>40</v>
      </c>
      <c r="Q511">
        <v>3</v>
      </c>
      <c r="R511" s="2">
        <v>45037</v>
      </c>
      <c r="S511">
        <v>3</v>
      </c>
      <c r="T511">
        <v>2</v>
      </c>
      <c r="U511">
        <v>1</v>
      </c>
      <c r="V511" s="1">
        <v>44840</v>
      </c>
      <c r="W511" t="s">
        <v>41</v>
      </c>
      <c r="X511" t="s">
        <v>42</v>
      </c>
      <c r="Y511" t="s">
        <v>63</v>
      </c>
      <c r="Z511">
        <v>4</v>
      </c>
      <c r="AA511">
        <v>951.27</v>
      </c>
      <c r="AB511">
        <v>59</v>
      </c>
    </row>
    <row r="512" spans="1:28" x14ac:dyDescent="0.2">
      <c r="A512">
        <v>1001</v>
      </c>
      <c r="B512" s="1">
        <v>43706</v>
      </c>
      <c r="C512" t="s">
        <v>128</v>
      </c>
      <c r="D512" t="s">
        <v>69</v>
      </c>
      <c r="E512" t="s">
        <v>30</v>
      </c>
      <c r="F512" t="s">
        <v>46</v>
      </c>
      <c r="G512" t="s">
        <v>45</v>
      </c>
      <c r="H512" t="s">
        <v>46</v>
      </c>
      <c r="I512" t="s">
        <v>129</v>
      </c>
      <c r="J512" t="s">
        <v>79</v>
      </c>
      <c r="K512" s="2">
        <v>21084</v>
      </c>
      <c r="L512" t="s">
        <v>36</v>
      </c>
      <c r="M512" t="s">
        <v>37</v>
      </c>
      <c r="N512" t="s">
        <v>72</v>
      </c>
      <c r="O512" t="s">
        <v>67</v>
      </c>
      <c r="P512" t="s">
        <v>40</v>
      </c>
      <c r="Q512">
        <v>3</v>
      </c>
      <c r="R512" s="2">
        <v>44844</v>
      </c>
      <c r="S512">
        <v>2</v>
      </c>
      <c r="T512">
        <v>5</v>
      </c>
      <c r="U512">
        <v>5</v>
      </c>
      <c r="V512" s="1">
        <v>44825</v>
      </c>
      <c r="W512" t="s">
        <v>50</v>
      </c>
      <c r="X512" t="s">
        <v>42</v>
      </c>
      <c r="Y512" t="s">
        <v>43</v>
      </c>
      <c r="Z512">
        <v>4</v>
      </c>
      <c r="AA512">
        <v>510.83</v>
      </c>
      <c r="AB512">
        <v>62</v>
      </c>
    </row>
    <row r="513" spans="1:28" x14ac:dyDescent="0.2">
      <c r="A513">
        <v>1002</v>
      </c>
      <c r="B513" s="1">
        <v>44907</v>
      </c>
      <c r="C513" t="s">
        <v>128</v>
      </c>
      <c r="D513" t="s">
        <v>81</v>
      </c>
      <c r="E513" t="s">
        <v>30</v>
      </c>
      <c r="F513" t="s">
        <v>46</v>
      </c>
      <c r="G513" t="s">
        <v>45</v>
      </c>
      <c r="H513" t="s">
        <v>33</v>
      </c>
      <c r="I513" t="s">
        <v>129</v>
      </c>
      <c r="J513" t="s">
        <v>102</v>
      </c>
      <c r="K513" s="2">
        <v>18452</v>
      </c>
      <c r="L513" t="s">
        <v>36</v>
      </c>
      <c r="M513" t="s">
        <v>37</v>
      </c>
      <c r="N513" t="s">
        <v>84</v>
      </c>
      <c r="O513" t="s">
        <v>39</v>
      </c>
      <c r="P513" t="s">
        <v>40</v>
      </c>
      <c r="Q513">
        <v>3</v>
      </c>
      <c r="R513" s="2">
        <v>45141</v>
      </c>
      <c r="S513">
        <v>4</v>
      </c>
      <c r="T513">
        <v>5</v>
      </c>
      <c r="U513">
        <v>3</v>
      </c>
      <c r="V513" s="1">
        <v>45126</v>
      </c>
      <c r="W513" t="s">
        <v>41</v>
      </c>
      <c r="X513" t="s">
        <v>42</v>
      </c>
      <c r="Y513" t="s">
        <v>43</v>
      </c>
      <c r="Z513">
        <v>2</v>
      </c>
      <c r="AA513">
        <v>582.37</v>
      </c>
      <c r="AB513">
        <v>72</v>
      </c>
    </row>
    <row r="514" spans="1:28" x14ac:dyDescent="0.2">
      <c r="A514">
        <v>1003</v>
      </c>
      <c r="B514" s="1">
        <v>44993</v>
      </c>
      <c r="C514" t="s">
        <v>128</v>
      </c>
      <c r="D514" t="s">
        <v>74</v>
      </c>
      <c r="E514" t="s">
        <v>30</v>
      </c>
      <c r="F514" t="s">
        <v>31</v>
      </c>
      <c r="G514" t="s">
        <v>45</v>
      </c>
      <c r="H514" t="s">
        <v>46</v>
      </c>
      <c r="I514" t="s">
        <v>129</v>
      </c>
      <c r="J514" t="s">
        <v>70</v>
      </c>
      <c r="K514" s="2">
        <v>26991</v>
      </c>
      <c r="L514" t="s">
        <v>36</v>
      </c>
      <c r="M514" t="s">
        <v>37</v>
      </c>
      <c r="N514" t="s">
        <v>38</v>
      </c>
      <c r="O514" t="s">
        <v>67</v>
      </c>
      <c r="P514" t="s">
        <v>40</v>
      </c>
      <c r="Q514">
        <v>3</v>
      </c>
      <c r="R514" s="2">
        <v>44929</v>
      </c>
      <c r="S514">
        <v>2</v>
      </c>
      <c r="T514">
        <v>5</v>
      </c>
      <c r="U514">
        <v>2</v>
      </c>
      <c r="V514" s="1">
        <v>44981</v>
      </c>
      <c r="W514" t="s">
        <v>68</v>
      </c>
      <c r="X514" t="s">
        <v>42</v>
      </c>
      <c r="Y514" t="s">
        <v>52</v>
      </c>
      <c r="Z514">
        <v>4</v>
      </c>
      <c r="AA514">
        <v>777.06</v>
      </c>
      <c r="AB514">
        <v>50</v>
      </c>
    </row>
    <row r="515" spans="1:28" x14ac:dyDescent="0.2">
      <c r="A515">
        <v>1004</v>
      </c>
      <c r="B515" s="1">
        <v>43980</v>
      </c>
      <c r="C515" t="s">
        <v>128</v>
      </c>
      <c r="D515" t="s">
        <v>94</v>
      </c>
      <c r="E515" t="s">
        <v>30</v>
      </c>
      <c r="F515" t="s">
        <v>46</v>
      </c>
      <c r="G515" t="s">
        <v>32</v>
      </c>
      <c r="H515" t="s">
        <v>46</v>
      </c>
      <c r="I515" t="s">
        <v>129</v>
      </c>
      <c r="J515" t="s">
        <v>96</v>
      </c>
      <c r="K515" s="2">
        <v>20847</v>
      </c>
      <c r="L515" t="s">
        <v>36</v>
      </c>
      <c r="M515" t="s">
        <v>48</v>
      </c>
      <c r="N515" t="s">
        <v>72</v>
      </c>
      <c r="O515" t="s">
        <v>61</v>
      </c>
      <c r="P515" t="s">
        <v>40</v>
      </c>
      <c r="Q515">
        <v>3</v>
      </c>
      <c r="R515" s="2">
        <v>45137</v>
      </c>
      <c r="S515">
        <v>3</v>
      </c>
      <c r="T515">
        <v>5</v>
      </c>
      <c r="U515">
        <v>3</v>
      </c>
      <c r="V515" s="1">
        <v>44938</v>
      </c>
      <c r="W515" t="s">
        <v>50</v>
      </c>
      <c r="X515" t="s">
        <v>42</v>
      </c>
      <c r="Y515" t="s">
        <v>63</v>
      </c>
      <c r="Z515">
        <v>2</v>
      </c>
      <c r="AA515">
        <v>824.3</v>
      </c>
      <c r="AB515">
        <v>63</v>
      </c>
    </row>
    <row r="516" spans="1:28" x14ac:dyDescent="0.2">
      <c r="A516">
        <v>1005</v>
      </c>
      <c r="B516" s="1">
        <v>44820</v>
      </c>
      <c r="C516" t="s">
        <v>128</v>
      </c>
      <c r="D516" t="s">
        <v>85</v>
      </c>
      <c r="E516" t="s">
        <v>30</v>
      </c>
      <c r="F516" t="s">
        <v>55</v>
      </c>
      <c r="G516" t="s">
        <v>56</v>
      </c>
      <c r="H516" t="s">
        <v>33</v>
      </c>
      <c r="I516" t="s">
        <v>129</v>
      </c>
      <c r="J516" t="s">
        <v>70</v>
      </c>
      <c r="K516" s="2">
        <v>25777</v>
      </c>
      <c r="L516" t="s">
        <v>36</v>
      </c>
      <c r="M516" t="s">
        <v>48</v>
      </c>
      <c r="N516" t="s">
        <v>72</v>
      </c>
      <c r="O516" t="s">
        <v>77</v>
      </c>
      <c r="P516" t="s">
        <v>40</v>
      </c>
      <c r="Q516">
        <v>3</v>
      </c>
      <c r="R516" s="2">
        <v>45096</v>
      </c>
      <c r="S516">
        <v>2</v>
      </c>
      <c r="T516">
        <v>4</v>
      </c>
      <c r="U516">
        <v>5</v>
      </c>
      <c r="V516" s="1">
        <v>45058</v>
      </c>
      <c r="W516" t="s">
        <v>92</v>
      </c>
      <c r="X516" t="s">
        <v>51</v>
      </c>
      <c r="Y516" t="s">
        <v>73</v>
      </c>
      <c r="Z516">
        <v>4</v>
      </c>
      <c r="AA516">
        <v>145.99</v>
      </c>
      <c r="AB516">
        <v>52</v>
      </c>
    </row>
    <row r="517" spans="1:28" x14ac:dyDescent="0.2">
      <c r="A517">
        <v>1006</v>
      </c>
      <c r="B517" s="1">
        <v>44423</v>
      </c>
      <c r="C517" t="s">
        <v>128</v>
      </c>
      <c r="D517" t="s">
        <v>87</v>
      </c>
      <c r="E517" t="s">
        <v>30</v>
      </c>
      <c r="F517" t="s">
        <v>55</v>
      </c>
      <c r="G517" t="s">
        <v>32</v>
      </c>
      <c r="H517" t="s">
        <v>46</v>
      </c>
      <c r="I517" t="s">
        <v>129</v>
      </c>
      <c r="J517" t="s">
        <v>79</v>
      </c>
      <c r="K517" s="2">
        <v>21600</v>
      </c>
      <c r="L517" t="s">
        <v>36</v>
      </c>
      <c r="M517" t="s">
        <v>37</v>
      </c>
      <c r="N517" t="s">
        <v>38</v>
      </c>
      <c r="O517" t="s">
        <v>39</v>
      </c>
      <c r="P517" t="s">
        <v>40</v>
      </c>
      <c r="Q517">
        <v>3</v>
      </c>
      <c r="R517" s="2">
        <v>45049</v>
      </c>
      <c r="S517">
        <v>5</v>
      </c>
      <c r="T517">
        <v>2</v>
      </c>
      <c r="U517">
        <v>1</v>
      </c>
      <c r="V517" s="1">
        <v>45054</v>
      </c>
      <c r="W517" t="s">
        <v>62</v>
      </c>
      <c r="X517" t="s">
        <v>42</v>
      </c>
      <c r="Y517" t="s">
        <v>43</v>
      </c>
      <c r="Z517">
        <v>2</v>
      </c>
      <c r="AA517">
        <v>838.07</v>
      </c>
      <c r="AB517">
        <v>62</v>
      </c>
    </row>
    <row r="518" spans="1:28" x14ac:dyDescent="0.2">
      <c r="A518">
        <v>1007</v>
      </c>
      <c r="B518" s="1">
        <v>44129</v>
      </c>
      <c r="C518" t="s">
        <v>128</v>
      </c>
      <c r="D518" t="s">
        <v>85</v>
      </c>
      <c r="E518" t="s">
        <v>108</v>
      </c>
      <c r="F518" t="s">
        <v>46</v>
      </c>
      <c r="G518" t="s">
        <v>45</v>
      </c>
      <c r="H518" t="s">
        <v>46</v>
      </c>
      <c r="I518" t="s">
        <v>129</v>
      </c>
      <c r="J518" t="s">
        <v>65</v>
      </c>
      <c r="K518" s="2">
        <v>36603</v>
      </c>
      <c r="L518" t="s">
        <v>36</v>
      </c>
      <c r="M518" t="s">
        <v>48</v>
      </c>
      <c r="N518" t="s">
        <v>72</v>
      </c>
      <c r="O518" t="s">
        <v>39</v>
      </c>
      <c r="P518" t="s">
        <v>40</v>
      </c>
      <c r="Q518">
        <v>3</v>
      </c>
      <c r="R518" s="2">
        <v>45125</v>
      </c>
      <c r="S518">
        <v>2</v>
      </c>
      <c r="T518">
        <v>1</v>
      </c>
      <c r="U518">
        <v>5</v>
      </c>
      <c r="V518" s="1">
        <v>45060</v>
      </c>
      <c r="W518" t="s">
        <v>41</v>
      </c>
      <c r="X518" t="s">
        <v>51</v>
      </c>
      <c r="Y518" t="s">
        <v>43</v>
      </c>
      <c r="Z518">
        <v>2</v>
      </c>
      <c r="AA518">
        <v>667.32</v>
      </c>
      <c r="AB518">
        <v>20</v>
      </c>
    </row>
    <row r="519" spans="1:28" x14ac:dyDescent="0.2">
      <c r="A519">
        <v>1008</v>
      </c>
      <c r="B519" s="1">
        <v>43705</v>
      </c>
      <c r="C519" t="s">
        <v>128</v>
      </c>
      <c r="D519" t="s">
        <v>69</v>
      </c>
      <c r="E519" t="s">
        <v>30</v>
      </c>
      <c r="F519" t="s">
        <v>31</v>
      </c>
      <c r="G519" t="s">
        <v>56</v>
      </c>
      <c r="H519" t="s">
        <v>33</v>
      </c>
      <c r="I519" t="s">
        <v>129</v>
      </c>
      <c r="J519" t="s">
        <v>65</v>
      </c>
      <c r="K519" s="2">
        <v>29941</v>
      </c>
      <c r="L519" t="s">
        <v>36</v>
      </c>
      <c r="M519" t="s">
        <v>37</v>
      </c>
      <c r="N519" t="s">
        <v>49</v>
      </c>
      <c r="O519" t="s">
        <v>67</v>
      </c>
      <c r="P519" t="s">
        <v>40</v>
      </c>
      <c r="Q519">
        <v>3</v>
      </c>
      <c r="R519" s="2">
        <v>45098</v>
      </c>
      <c r="S519">
        <v>5</v>
      </c>
      <c r="T519">
        <v>2</v>
      </c>
      <c r="U519">
        <v>2</v>
      </c>
      <c r="V519" s="1">
        <v>45140</v>
      </c>
      <c r="W519" t="s">
        <v>68</v>
      </c>
      <c r="X519" t="s">
        <v>51</v>
      </c>
      <c r="Y519" t="s">
        <v>52</v>
      </c>
      <c r="Z519">
        <v>2</v>
      </c>
      <c r="AA519">
        <v>758.18</v>
      </c>
      <c r="AB519">
        <v>38</v>
      </c>
    </row>
    <row r="520" spans="1:28" x14ac:dyDescent="0.2">
      <c r="A520">
        <v>1009</v>
      </c>
      <c r="B520" s="1">
        <v>43629</v>
      </c>
      <c r="C520" t="s">
        <v>128</v>
      </c>
      <c r="D520" t="s">
        <v>81</v>
      </c>
      <c r="E520" t="s">
        <v>30</v>
      </c>
      <c r="F520" t="s">
        <v>46</v>
      </c>
      <c r="G520" t="s">
        <v>32</v>
      </c>
      <c r="H520" t="s">
        <v>33</v>
      </c>
      <c r="I520" t="s">
        <v>129</v>
      </c>
      <c r="J520" t="s">
        <v>65</v>
      </c>
      <c r="K520" s="2">
        <v>31837</v>
      </c>
      <c r="L520" t="s">
        <v>36</v>
      </c>
      <c r="M520" t="s">
        <v>37</v>
      </c>
      <c r="N520" t="s">
        <v>60</v>
      </c>
      <c r="O520" t="s">
        <v>61</v>
      </c>
      <c r="P520" t="s">
        <v>40</v>
      </c>
      <c r="Q520">
        <v>3</v>
      </c>
      <c r="R520" s="2">
        <v>45083</v>
      </c>
      <c r="S520">
        <v>2</v>
      </c>
      <c r="T520">
        <v>5</v>
      </c>
      <c r="U520">
        <v>1</v>
      </c>
      <c r="V520" s="1">
        <v>44794</v>
      </c>
      <c r="W520" t="s">
        <v>50</v>
      </c>
      <c r="X520" t="s">
        <v>42</v>
      </c>
      <c r="Y520" t="s">
        <v>52</v>
      </c>
      <c r="Z520">
        <v>2</v>
      </c>
      <c r="AA520">
        <v>101.21</v>
      </c>
      <c r="AB520">
        <v>32</v>
      </c>
    </row>
    <row r="521" spans="1:28" x14ac:dyDescent="0.2">
      <c r="A521">
        <v>1010</v>
      </c>
      <c r="B521" s="1">
        <v>44208</v>
      </c>
      <c r="C521" t="s">
        <v>128</v>
      </c>
      <c r="D521" t="s">
        <v>44</v>
      </c>
      <c r="E521" t="s">
        <v>108</v>
      </c>
      <c r="F521" t="s">
        <v>46</v>
      </c>
      <c r="G521" t="s">
        <v>32</v>
      </c>
      <c r="H521" t="s">
        <v>33</v>
      </c>
      <c r="I521" t="s">
        <v>129</v>
      </c>
      <c r="J521" t="s">
        <v>70</v>
      </c>
      <c r="K521" s="2">
        <v>33898</v>
      </c>
      <c r="L521" t="s">
        <v>36</v>
      </c>
      <c r="M521" t="s">
        <v>48</v>
      </c>
      <c r="N521" t="s">
        <v>49</v>
      </c>
      <c r="O521" t="s">
        <v>77</v>
      </c>
      <c r="P521" t="s">
        <v>40</v>
      </c>
      <c r="Q521">
        <v>3</v>
      </c>
      <c r="R521" s="2">
        <v>44819</v>
      </c>
      <c r="S521">
        <v>2</v>
      </c>
      <c r="T521">
        <v>4</v>
      </c>
      <c r="U521">
        <v>2</v>
      </c>
      <c r="V521" s="1">
        <v>44792</v>
      </c>
      <c r="W521" t="s">
        <v>92</v>
      </c>
      <c r="X521" t="s">
        <v>51</v>
      </c>
      <c r="Y521" t="s">
        <v>52</v>
      </c>
      <c r="Z521">
        <v>5</v>
      </c>
      <c r="AA521">
        <v>332.25</v>
      </c>
      <c r="AB521">
        <v>29</v>
      </c>
    </row>
    <row r="522" spans="1:28" x14ac:dyDescent="0.2">
      <c r="A522">
        <v>1011</v>
      </c>
      <c r="B522" s="1">
        <v>44599</v>
      </c>
      <c r="C522" t="s">
        <v>128</v>
      </c>
      <c r="D522" t="s">
        <v>87</v>
      </c>
      <c r="E522" t="s">
        <v>108</v>
      </c>
      <c r="F522" t="s">
        <v>31</v>
      </c>
      <c r="G522" t="s">
        <v>45</v>
      </c>
      <c r="H522" t="s">
        <v>33</v>
      </c>
      <c r="I522" t="s">
        <v>129</v>
      </c>
      <c r="J522" t="s">
        <v>65</v>
      </c>
      <c r="K522" s="2">
        <v>17585</v>
      </c>
      <c r="L522" t="s">
        <v>36</v>
      </c>
      <c r="M522" t="s">
        <v>48</v>
      </c>
      <c r="N522" t="s">
        <v>49</v>
      </c>
      <c r="O522" t="s">
        <v>67</v>
      </c>
      <c r="P522" t="s">
        <v>40</v>
      </c>
      <c r="Q522">
        <v>3</v>
      </c>
      <c r="R522" s="2">
        <v>44903</v>
      </c>
      <c r="S522">
        <v>1</v>
      </c>
      <c r="T522">
        <v>2</v>
      </c>
      <c r="U522">
        <v>3</v>
      </c>
      <c r="V522" s="1">
        <v>44871</v>
      </c>
      <c r="W522" t="s">
        <v>92</v>
      </c>
      <c r="X522" t="s">
        <v>42</v>
      </c>
      <c r="Y522" t="s">
        <v>63</v>
      </c>
      <c r="Z522">
        <v>1</v>
      </c>
      <c r="AA522">
        <v>803.98</v>
      </c>
      <c r="AB522">
        <v>74</v>
      </c>
    </row>
    <row r="523" spans="1:28" x14ac:dyDescent="0.2">
      <c r="A523">
        <v>1012</v>
      </c>
      <c r="B523" s="1">
        <v>44144</v>
      </c>
      <c r="C523" t="s">
        <v>128</v>
      </c>
      <c r="D523" t="s">
        <v>64</v>
      </c>
      <c r="E523" t="s">
        <v>108</v>
      </c>
      <c r="F523" t="s">
        <v>31</v>
      </c>
      <c r="G523" t="s">
        <v>45</v>
      </c>
      <c r="H523" t="s">
        <v>33</v>
      </c>
      <c r="I523" t="s">
        <v>129</v>
      </c>
      <c r="J523" t="s">
        <v>75</v>
      </c>
      <c r="K523" s="2">
        <v>28766</v>
      </c>
      <c r="L523" t="s">
        <v>36</v>
      </c>
      <c r="M523" t="s">
        <v>48</v>
      </c>
      <c r="N523" t="s">
        <v>38</v>
      </c>
      <c r="O523" t="s">
        <v>61</v>
      </c>
      <c r="P523" t="s">
        <v>40</v>
      </c>
      <c r="Q523">
        <v>3</v>
      </c>
      <c r="R523" s="2">
        <v>44939</v>
      </c>
      <c r="S523">
        <v>3</v>
      </c>
      <c r="T523">
        <v>5</v>
      </c>
      <c r="U523">
        <v>4</v>
      </c>
      <c r="V523" s="1">
        <v>45013</v>
      </c>
      <c r="W523" t="s">
        <v>68</v>
      </c>
      <c r="X523" t="s">
        <v>51</v>
      </c>
      <c r="Y523" t="s">
        <v>43</v>
      </c>
      <c r="Z523">
        <v>3</v>
      </c>
      <c r="AA523">
        <v>887.08</v>
      </c>
      <c r="AB523">
        <v>42</v>
      </c>
    </row>
    <row r="524" spans="1:28" x14ac:dyDescent="0.2">
      <c r="A524">
        <v>1013</v>
      </c>
      <c r="B524" s="1">
        <v>43964</v>
      </c>
      <c r="C524" t="s">
        <v>128</v>
      </c>
      <c r="D524" t="s">
        <v>94</v>
      </c>
      <c r="E524" t="s">
        <v>30</v>
      </c>
      <c r="F524" t="s">
        <v>46</v>
      </c>
      <c r="G524" t="s">
        <v>56</v>
      </c>
      <c r="H524" t="s">
        <v>55</v>
      </c>
      <c r="I524" t="s">
        <v>129</v>
      </c>
      <c r="J524" t="s">
        <v>79</v>
      </c>
      <c r="K524" s="2">
        <v>27352</v>
      </c>
      <c r="L524" t="s">
        <v>36</v>
      </c>
      <c r="M524" t="s">
        <v>48</v>
      </c>
      <c r="N524" t="s">
        <v>84</v>
      </c>
      <c r="O524" t="s">
        <v>61</v>
      </c>
      <c r="P524" t="s">
        <v>40</v>
      </c>
      <c r="Q524">
        <v>3</v>
      </c>
      <c r="R524" s="2">
        <v>44908</v>
      </c>
      <c r="S524">
        <v>5</v>
      </c>
      <c r="T524">
        <v>4</v>
      </c>
      <c r="U524">
        <v>3</v>
      </c>
      <c r="V524" s="1">
        <v>45024</v>
      </c>
      <c r="W524" t="s">
        <v>62</v>
      </c>
      <c r="X524" t="s">
        <v>51</v>
      </c>
      <c r="Y524" t="s">
        <v>52</v>
      </c>
      <c r="Z524">
        <v>2</v>
      </c>
      <c r="AA524">
        <v>657.85</v>
      </c>
      <c r="AB524">
        <v>46</v>
      </c>
    </row>
    <row r="525" spans="1:28" x14ac:dyDescent="0.2">
      <c r="A525">
        <v>1014</v>
      </c>
      <c r="B525" s="1">
        <v>44926</v>
      </c>
      <c r="C525" t="s">
        <v>130</v>
      </c>
      <c r="D525" t="s">
        <v>74</v>
      </c>
      <c r="E525" t="s">
        <v>30</v>
      </c>
      <c r="F525" t="s">
        <v>46</v>
      </c>
      <c r="G525" t="s">
        <v>45</v>
      </c>
      <c r="H525" t="s">
        <v>55</v>
      </c>
      <c r="I525" t="s">
        <v>129</v>
      </c>
      <c r="J525" t="s">
        <v>102</v>
      </c>
      <c r="K525" s="2">
        <v>19553</v>
      </c>
      <c r="L525" t="s">
        <v>36</v>
      </c>
      <c r="M525" t="s">
        <v>48</v>
      </c>
      <c r="N525" t="s">
        <v>60</v>
      </c>
      <c r="O525" t="s">
        <v>61</v>
      </c>
      <c r="P525" t="s">
        <v>40</v>
      </c>
      <c r="Q525">
        <v>3</v>
      </c>
      <c r="R525" s="2">
        <v>45105</v>
      </c>
      <c r="S525">
        <v>4</v>
      </c>
      <c r="T525">
        <v>4</v>
      </c>
      <c r="U525">
        <v>1</v>
      </c>
      <c r="V525" s="1">
        <v>44978</v>
      </c>
      <c r="W525" t="s">
        <v>50</v>
      </c>
      <c r="X525" t="s">
        <v>51</v>
      </c>
      <c r="Y525" t="s">
        <v>52</v>
      </c>
      <c r="Z525">
        <v>2</v>
      </c>
      <c r="AA525">
        <v>895.49</v>
      </c>
      <c r="AB525">
        <v>69</v>
      </c>
    </row>
    <row r="526" spans="1:28" x14ac:dyDescent="0.2">
      <c r="A526">
        <v>1015</v>
      </c>
      <c r="B526" s="1">
        <v>43437</v>
      </c>
      <c r="C526" t="s">
        <v>130</v>
      </c>
      <c r="D526" t="s">
        <v>81</v>
      </c>
      <c r="E526" t="s">
        <v>30</v>
      </c>
      <c r="F526" t="s">
        <v>31</v>
      </c>
      <c r="G526" t="s">
        <v>45</v>
      </c>
      <c r="H526" t="s">
        <v>46</v>
      </c>
      <c r="I526" t="s">
        <v>129</v>
      </c>
      <c r="J526" t="s">
        <v>104</v>
      </c>
      <c r="K526" s="2">
        <v>22619</v>
      </c>
      <c r="L526" t="s">
        <v>36</v>
      </c>
      <c r="M526" t="s">
        <v>37</v>
      </c>
      <c r="N526" t="s">
        <v>38</v>
      </c>
      <c r="O526" t="s">
        <v>67</v>
      </c>
      <c r="P526" t="s">
        <v>40</v>
      </c>
      <c r="Q526">
        <v>3</v>
      </c>
      <c r="R526" s="2">
        <v>45118</v>
      </c>
      <c r="S526">
        <v>1</v>
      </c>
      <c r="T526">
        <v>1</v>
      </c>
      <c r="U526">
        <v>3</v>
      </c>
      <c r="V526" s="1">
        <v>45059</v>
      </c>
      <c r="W526" t="s">
        <v>41</v>
      </c>
      <c r="X526" t="s">
        <v>51</v>
      </c>
      <c r="Y526" t="s">
        <v>73</v>
      </c>
      <c r="Z526">
        <v>1</v>
      </c>
      <c r="AA526">
        <v>539</v>
      </c>
      <c r="AB526">
        <v>57</v>
      </c>
    </row>
    <row r="527" spans="1:28" x14ac:dyDescent="0.2">
      <c r="A527">
        <v>1016</v>
      </c>
      <c r="B527" s="1">
        <v>43882</v>
      </c>
      <c r="C527" t="s">
        <v>131</v>
      </c>
      <c r="D527" t="s">
        <v>54</v>
      </c>
      <c r="E527" t="s">
        <v>30</v>
      </c>
      <c r="F527" t="s">
        <v>46</v>
      </c>
      <c r="G527" t="s">
        <v>56</v>
      </c>
      <c r="H527" t="s">
        <v>46</v>
      </c>
      <c r="I527" t="s">
        <v>132</v>
      </c>
      <c r="J527" t="s">
        <v>100</v>
      </c>
      <c r="K527" s="2">
        <v>20522</v>
      </c>
      <c r="L527" t="s">
        <v>36</v>
      </c>
      <c r="M527" t="s">
        <v>37</v>
      </c>
      <c r="N527" t="s">
        <v>38</v>
      </c>
      <c r="O527" t="s">
        <v>61</v>
      </c>
      <c r="P527" t="s">
        <v>40</v>
      </c>
      <c r="Q527">
        <v>3</v>
      </c>
      <c r="R527" s="2">
        <v>44904</v>
      </c>
      <c r="S527">
        <v>2</v>
      </c>
      <c r="T527">
        <v>3</v>
      </c>
      <c r="U527">
        <v>2</v>
      </c>
      <c r="V527" s="1">
        <v>45046</v>
      </c>
      <c r="W527" t="s">
        <v>92</v>
      </c>
      <c r="X527" t="s">
        <v>51</v>
      </c>
      <c r="Y527" t="s">
        <v>63</v>
      </c>
      <c r="Z527">
        <v>2</v>
      </c>
      <c r="AA527">
        <v>606.67999999999995</v>
      </c>
      <c r="AB527">
        <v>64</v>
      </c>
    </row>
    <row r="528" spans="1:28" x14ac:dyDescent="0.2">
      <c r="A528">
        <v>1017</v>
      </c>
      <c r="B528" s="1">
        <v>44081</v>
      </c>
      <c r="C528" t="s">
        <v>131</v>
      </c>
      <c r="D528" t="s">
        <v>69</v>
      </c>
      <c r="E528" t="s">
        <v>30</v>
      </c>
      <c r="F528" t="s">
        <v>55</v>
      </c>
      <c r="G528" t="s">
        <v>56</v>
      </c>
      <c r="H528" t="s">
        <v>55</v>
      </c>
      <c r="I528" t="s">
        <v>132</v>
      </c>
      <c r="J528" t="s">
        <v>70</v>
      </c>
      <c r="K528" s="2">
        <v>17353</v>
      </c>
      <c r="L528" t="s">
        <v>36</v>
      </c>
      <c r="M528" t="s">
        <v>37</v>
      </c>
      <c r="N528" t="s">
        <v>72</v>
      </c>
      <c r="O528" t="s">
        <v>61</v>
      </c>
      <c r="P528" t="s">
        <v>40</v>
      </c>
      <c r="Q528">
        <v>3</v>
      </c>
      <c r="R528" s="2">
        <v>45123</v>
      </c>
      <c r="S528">
        <v>4</v>
      </c>
      <c r="T528">
        <v>1</v>
      </c>
      <c r="U528">
        <v>3</v>
      </c>
      <c r="V528" s="1">
        <v>44879</v>
      </c>
      <c r="W528" t="s">
        <v>68</v>
      </c>
      <c r="X528" t="s">
        <v>51</v>
      </c>
      <c r="Y528" t="s">
        <v>73</v>
      </c>
      <c r="Z528">
        <v>3</v>
      </c>
      <c r="AA528">
        <v>265.73</v>
      </c>
      <c r="AB528">
        <v>73</v>
      </c>
    </row>
    <row r="529" spans="1:28" x14ac:dyDescent="0.2">
      <c r="A529">
        <v>1018</v>
      </c>
      <c r="B529" s="1">
        <v>44001</v>
      </c>
      <c r="C529" t="s">
        <v>131</v>
      </c>
      <c r="D529" t="s">
        <v>29</v>
      </c>
      <c r="E529" t="s">
        <v>30</v>
      </c>
      <c r="F529" t="s">
        <v>46</v>
      </c>
      <c r="G529" t="s">
        <v>45</v>
      </c>
      <c r="H529" t="s">
        <v>46</v>
      </c>
      <c r="I529" t="s">
        <v>132</v>
      </c>
      <c r="J529" t="s">
        <v>65</v>
      </c>
      <c r="K529" s="2">
        <v>15396</v>
      </c>
      <c r="L529" t="s">
        <v>36</v>
      </c>
      <c r="M529" t="s">
        <v>37</v>
      </c>
      <c r="N529" t="s">
        <v>38</v>
      </c>
      <c r="O529" t="s">
        <v>67</v>
      </c>
      <c r="P529" t="s">
        <v>40</v>
      </c>
      <c r="Q529">
        <v>3</v>
      </c>
      <c r="R529" s="2">
        <v>45098</v>
      </c>
      <c r="S529">
        <v>4</v>
      </c>
      <c r="T529">
        <v>1</v>
      </c>
      <c r="U529">
        <v>4</v>
      </c>
      <c r="V529" s="1">
        <v>45010</v>
      </c>
      <c r="W529" t="s">
        <v>62</v>
      </c>
      <c r="X529" t="s">
        <v>42</v>
      </c>
      <c r="Y529" t="s">
        <v>52</v>
      </c>
      <c r="Z529">
        <v>2</v>
      </c>
      <c r="AA529">
        <v>673.29</v>
      </c>
      <c r="AB529">
        <v>78</v>
      </c>
    </row>
    <row r="530" spans="1:28" x14ac:dyDescent="0.2">
      <c r="A530">
        <v>1019</v>
      </c>
      <c r="B530" s="1">
        <v>44848</v>
      </c>
      <c r="C530" t="s">
        <v>128</v>
      </c>
      <c r="D530" t="s">
        <v>44</v>
      </c>
      <c r="E530" t="s">
        <v>108</v>
      </c>
      <c r="F530" t="s">
        <v>55</v>
      </c>
      <c r="G530" t="s">
        <v>45</v>
      </c>
      <c r="H530" t="s">
        <v>33</v>
      </c>
      <c r="I530" t="s">
        <v>129</v>
      </c>
      <c r="J530" t="s">
        <v>97</v>
      </c>
      <c r="K530" s="2">
        <v>28822</v>
      </c>
      <c r="L530" t="s">
        <v>36</v>
      </c>
      <c r="M530" t="s">
        <v>48</v>
      </c>
      <c r="N530" t="s">
        <v>49</v>
      </c>
      <c r="O530" t="s">
        <v>39</v>
      </c>
      <c r="P530" t="s">
        <v>40</v>
      </c>
      <c r="Q530">
        <v>3</v>
      </c>
      <c r="R530" s="2">
        <v>45098</v>
      </c>
      <c r="S530">
        <v>1</v>
      </c>
      <c r="T530">
        <v>3</v>
      </c>
      <c r="U530">
        <v>5</v>
      </c>
      <c r="V530" s="1">
        <v>44860</v>
      </c>
      <c r="W530" t="s">
        <v>62</v>
      </c>
      <c r="X530" t="s">
        <v>51</v>
      </c>
      <c r="Y530" t="s">
        <v>73</v>
      </c>
      <c r="Z530">
        <v>5</v>
      </c>
      <c r="AA530">
        <v>436.98</v>
      </c>
      <c r="AB530">
        <v>44</v>
      </c>
    </row>
    <row r="531" spans="1:28" x14ac:dyDescent="0.2">
      <c r="A531">
        <v>1020</v>
      </c>
      <c r="B531" s="1">
        <v>45097</v>
      </c>
      <c r="C531" t="s">
        <v>128</v>
      </c>
      <c r="D531" t="s">
        <v>87</v>
      </c>
      <c r="E531" t="s">
        <v>108</v>
      </c>
      <c r="F531" t="s">
        <v>31</v>
      </c>
      <c r="G531" t="s">
        <v>32</v>
      </c>
      <c r="H531" t="s">
        <v>55</v>
      </c>
      <c r="I531" t="s">
        <v>129</v>
      </c>
      <c r="J531" t="s">
        <v>70</v>
      </c>
      <c r="K531" s="2">
        <v>33227</v>
      </c>
      <c r="L531" t="s">
        <v>36</v>
      </c>
      <c r="M531" t="s">
        <v>37</v>
      </c>
      <c r="N531" t="s">
        <v>72</v>
      </c>
      <c r="O531" t="s">
        <v>39</v>
      </c>
      <c r="P531" t="s">
        <v>40</v>
      </c>
      <c r="Q531">
        <v>3</v>
      </c>
      <c r="R531" s="2">
        <v>45139</v>
      </c>
      <c r="S531">
        <v>2</v>
      </c>
      <c r="T531">
        <v>1</v>
      </c>
      <c r="U531">
        <v>2</v>
      </c>
      <c r="V531" s="1">
        <v>44925</v>
      </c>
      <c r="W531" t="s">
        <v>68</v>
      </c>
      <c r="X531" t="s">
        <v>51</v>
      </c>
      <c r="Y531" t="s">
        <v>73</v>
      </c>
      <c r="Z531">
        <v>4</v>
      </c>
      <c r="AA531">
        <v>578.58000000000004</v>
      </c>
      <c r="AB531">
        <v>33</v>
      </c>
    </row>
    <row r="532" spans="1:28" x14ac:dyDescent="0.2">
      <c r="A532">
        <v>1021</v>
      </c>
      <c r="B532" s="1">
        <v>44144</v>
      </c>
      <c r="C532" t="s">
        <v>128</v>
      </c>
      <c r="D532" t="s">
        <v>64</v>
      </c>
      <c r="E532" t="s">
        <v>108</v>
      </c>
      <c r="F532" t="s">
        <v>55</v>
      </c>
      <c r="G532" t="s">
        <v>32</v>
      </c>
      <c r="H532" t="s">
        <v>55</v>
      </c>
      <c r="I532" t="s">
        <v>129</v>
      </c>
      <c r="J532" t="s">
        <v>75</v>
      </c>
      <c r="K532" s="2">
        <v>32533</v>
      </c>
      <c r="L532" t="s">
        <v>36</v>
      </c>
      <c r="M532" t="s">
        <v>48</v>
      </c>
      <c r="N532" t="s">
        <v>49</v>
      </c>
      <c r="O532" t="s">
        <v>61</v>
      </c>
      <c r="P532" t="s">
        <v>40</v>
      </c>
      <c r="Q532">
        <v>3</v>
      </c>
      <c r="R532" s="2">
        <v>44994</v>
      </c>
      <c r="S532">
        <v>5</v>
      </c>
      <c r="T532">
        <v>1</v>
      </c>
      <c r="U532">
        <v>4</v>
      </c>
      <c r="V532" s="1">
        <v>44995</v>
      </c>
      <c r="W532" t="s">
        <v>68</v>
      </c>
      <c r="X532" t="s">
        <v>42</v>
      </c>
      <c r="Y532" t="s">
        <v>43</v>
      </c>
      <c r="Z532">
        <v>1</v>
      </c>
      <c r="AA532">
        <v>647.16</v>
      </c>
      <c r="AB532">
        <v>31</v>
      </c>
    </row>
    <row r="533" spans="1:28" x14ac:dyDescent="0.2">
      <c r="A533">
        <v>1022</v>
      </c>
      <c r="B533" s="1">
        <v>44823</v>
      </c>
      <c r="C533" t="s">
        <v>128</v>
      </c>
      <c r="D533" t="s">
        <v>94</v>
      </c>
      <c r="E533" t="s">
        <v>30</v>
      </c>
      <c r="F533" t="s">
        <v>46</v>
      </c>
      <c r="G533" t="s">
        <v>45</v>
      </c>
      <c r="H533" t="s">
        <v>33</v>
      </c>
      <c r="I533" t="s">
        <v>129</v>
      </c>
      <c r="J533" t="s">
        <v>70</v>
      </c>
      <c r="K533" s="2">
        <v>22808</v>
      </c>
      <c r="L533" t="s">
        <v>36</v>
      </c>
      <c r="M533" t="s">
        <v>48</v>
      </c>
      <c r="N533" t="s">
        <v>72</v>
      </c>
      <c r="O533" t="s">
        <v>77</v>
      </c>
      <c r="P533" t="s">
        <v>40</v>
      </c>
      <c r="Q533">
        <v>3</v>
      </c>
      <c r="R533" s="2">
        <v>44969</v>
      </c>
      <c r="S533">
        <v>1</v>
      </c>
      <c r="T533">
        <v>4</v>
      </c>
      <c r="U533">
        <v>4</v>
      </c>
      <c r="V533" s="1">
        <v>44938</v>
      </c>
      <c r="W533" t="s">
        <v>62</v>
      </c>
      <c r="X533" t="s">
        <v>42</v>
      </c>
      <c r="Y533" t="s">
        <v>43</v>
      </c>
      <c r="Z533">
        <v>1</v>
      </c>
      <c r="AA533">
        <v>664.23</v>
      </c>
      <c r="AB533">
        <v>60</v>
      </c>
    </row>
    <row r="534" spans="1:28" x14ac:dyDescent="0.2">
      <c r="A534">
        <v>1023</v>
      </c>
      <c r="B534" s="1">
        <v>43413</v>
      </c>
      <c r="C534" t="s">
        <v>130</v>
      </c>
      <c r="D534" t="s">
        <v>74</v>
      </c>
      <c r="E534" t="s">
        <v>30</v>
      </c>
      <c r="F534" t="s">
        <v>31</v>
      </c>
      <c r="G534" t="s">
        <v>32</v>
      </c>
      <c r="H534" t="s">
        <v>46</v>
      </c>
      <c r="I534" t="s">
        <v>129</v>
      </c>
      <c r="J534" t="s">
        <v>65</v>
      </c>
      <c r="K534" s="2">
        <v>33699</v>
      </c>
      <c r="L534" t="s">
        <v>36</v>
      </c>
      <c r="M534" t="s">
        <v>48</v>
      </c>
      <c r="N534" t="s">
        <v>49</v>
      </c>
      <c r="O534" t="s">
        <v>77</v>
      </c>
      <c r="P534" t="s">
        <v>40</v>
      </c>
      <c r="Q534">
        <v>3</v>
      </c>
      <c r="R534" s="2">
        <v>44943</v>
      </c>
      <c r="S534">
        <v>4</v>
      </c>
      <c r="T534">
        <v>4</v>
      </c>
      <c r="U534">
        <v>3</v>
      </c>
      <c r="V534" s="1">
        <v>44853</v>
      </c>
      <c r="W534" t="s">
        <v>62</v>
      </c>
      <c r="X534" t="s">
        <v>42</v>
      </c>
      <c r="Y534" t="s">
        <v>43</v>
      </c>
      <c r="Z534">
        <v>4</v>
      </c>
      <c r="AA534">
        <v>893.07</v>
      </c>
      <c r="AB534">
        <v>26</v>
      </c>
    </row>
    <row r="535" spans="1:28" x14ac:dyDescent="0.2">
      <c r="A535">
        <v>1024</v>
      </c>
      <c r="B535" s="1">
        <v>43464</v>
      </c>
      <c r="C535" t="s">
        <v>130</v>
      </c>
      <c r="D535" t="s">
        <v>81</v>
      </c>
      <c r="E535" t="s">
        <v>30</v>
      </c>
      <c r="F535" t="s">
        <v>31</v>
      </c>
      <c r="G535" t="s">
        <v>45</v>
      </c>
      <c r="H535" t="s">
        <v>46</v>
      </c>
      <c r="I535" t="s">
        <v>129</v>
      </c>
      <c r="J535" t="s">
        <v>97</v>
      </c>
      <c r="K535" s="2">
        <v>31866</v>
      </c>
      <c r="L535" t="s">
        <v>36</v>
      </c>
      <c r="M535" t="s">
        <v>37</v>
      </c>
      <c r="N535" t="s">
        <v>60</v>
      </c>
      <c r="O535" t="s">
        <v>77</v>
      </c>
      <c r="P535" t="s">
        <v>40</v>
      </c>
      <c r="Q535">
        <v>3</v>
      </c>
      <c r="R535" s="2">
        <v>44846</v>
      </c>
      <c r="S535">
        <v>5</v>
      </c>
      <c r="T535">
        <v>3</v>
      </c>
      <c r="U535">
        <v>1</v>
      </c>
      <c r="V535" s="1">
        <v>44845</v>
      </c>
      <c r="W535" t="s">
        <v>62</v>
      </c>
      <c r="X535" t="s">
        <v>51</v>
      </c>
      <c r="Y535" t="s">
        <v>63</v>
      </c>
      <c r="Z535">
        <v>5</v>
      </c>
      <c r="AA535">
        <v>868.98</v>
      </c>
      <c r="AB535">
        <v>31</v>
      </c>
    </row>
    <row r="536" spans="1:28" x14ac:dyDescent="0.2">
      <c r="A536">
        <v>1025</v>
      </c>
      <c r="B536" s="1">
        <v>45057</v>
      </c>
      <c r="C536" t="s">
        <v>131</v>
      </c>
      <c r="D536" t="s">
        <v>54</v>
      </c>
      <c r="E536" t="s">
        <v>30</v>
      </c>
      <c r="F536" t="s">
        <v>55</v>
      </c>
      <c r="G536" t="s">
        <v>45</v>
      </c>
      <c r="H536" t="s">
        <v>33</v>
      </c>
      <c r="I536" t="s">
        <v>132</v>
      </c>
      <c r="J536" t="s">
        <v>70</v>
      </c>
      <c r="K536" s="2">
        <v>22233</v>
      </c>
      <c r="L536" t="s">
        <v>36</v>
      </c>
      <c r="M536" t="s">
        <v>37</v>
      </c>
      <c r="N536" t="s">
        <v>60</v>
      </c>
      <c r="O536" t="s">
        <v>77</v>
      </c>
      <c r="P536" t="s">
        <v>40</v>
      </c>
      <c r="Q536">
        <v>3</v>
      </c>
      <c r="R536" s="2">
        <v>44950</v>
      </c>
      <c r="S536">
        <v>4</v>
      </c>
      <c r="T536">
        <v>1</v>
      </c>
      <c r="U536">
        <v>4</v>
      </c>
      <c r="V536" s="1">
        <v>44939</v>
      </c>
      <c r="W536" t="s">
        <v>62</v>
      </c>
      <c r="X536" t="s">
        <v>42</v>
      </c>
      <c r="Y536" t="s">
        <v>52</v>
      </c>
      <c r="Z536">
        <v>5</v>
      </c>
      <c r="AA536">
        <v>761.95</v>
      </c>
      <c r="AB536">
        <v>63</v>
      </c>
    </row>
    <row r="537" spans="1:28" x14ac:dyDescent="0.2">
      <c r="A537">
        <v>1026</v>
      </c>
      <c r="B537" s="1">
        <v>44868</v>
      </c>
      <c r="C537" t="s">
        <v>131</v>
      </c>
      <c r="D537" t="s">
        <v>69</v>
      </c>
      <c r="E537" t="s">
        <v>30</v>
      </c>
      <c r="F537" t="s">
        <v>31</v>
      </c>
      <c r="G537" t="s">
        <v>45</v>
      </c>
      <c r="H537" t="s">
        <v>46</v>
      </c>
      <c r="I537" t="s">
        <v>132</v>
      </c>
      <c r="J537" t="s">
        <v>79</v>
      </c>
      <c r="K537" s="2">
        <v>18574</v>
      </c>
      <c r="L537" t="s">
        <v>36</v>
      </c>
      <c r="M537" t="s">
        <v>37</v>
      </c>
      <c r="N537" t="s">
        <v>60</v>
      </c>
      <c r="O537" t="s">
        <v>39</v>
      </c>
      <c r="P537" t="s">
        <v>40</v>
      </c>
      <c r="Q537">
        <v>3</v>
      </c>
      <c r="R537" s="2">
        <v>44843</v>
      </c>
      <c r="S537">
        <v>5</v>
      </c>
      <c r="T537">
        <v>2</v>
      </c>
      <c r="U537">
        <v>5</v>
      </c>
      <c r="V537" s="1">
        <v>45033</v>
      </c>
      <c r="W537" t="s">
        <v>92</v>
      </c>
      <c r="X537" t="s">
        <v>51</v>
      </c>
      <c r="Y537" t="s">
        <v>52</v>
      </c>
      <c r="Z537">
        <v>4</v>
      </c>
      <c r="AA537">
        <v>431.57</v>
      </c>
      <c r="AB537">
        <v>72</v>
      </c>
    </row>
    <row r="538" spans="1:28" x14ac:dyDescent="0.2">
      <c r="A538">
        <v>1027</v>
      </c>
      <c r="B538" s="1">
        <v>43996</v>
      </c>
      <c r="C538" t="s">
        <v>131</v>
      </c>
      <c r="D538" t="s">
        <v>29</v>
      </c>
      <c r="E538" t="s">
        <v>30</v>
      </c>
      <c r="F538" t="s">
        <v>46</v>
      </c>
      <c r="G538" t="s">
        <v>45</v>
      </c>
      <c r="H538" t="s">
        <v>55</v>
      </c>
      <c r="I538" t="s">
        <v>132</v>
      </c>
      <c r="J538" t="s">
        <v>65</v>
      </c>
      <c r="K538" s="2">
        <v>23001</v>
      </c>
      <c r="L538" t="s">
        <v>36</v>
      </c>
      <c r="M538" t="s">
        <v>48</v>
      </c>
      <c r="N538" t="s">
        <v>60</v>
      </c>
      <c r="O538" t="s">
        <v>61</v>
      </c>
      <c r="P538" t="s">
        <v>40</v>
      </c>
      <c r="Q538">
        <v>3</v>
      </c>
      <c r="R538" s="2">
        <v>45021</v>
      </c>
      <c r="S538">
        <v>2</v>
      </c>
      <c r="T538">
        <v>3</v>
      </c>
      <c r="U538">
        <v>5</v>
      </c>
      <c r="V538" s="1">
        <v>45001</v>
      </c>
      <c r="W538" t="s">
        <v>92</v>
      </c>
      <c r="X538" t="s">
        <v>51</v>
      </c>
      <c r="Y538" t="s">
        <v>52</v>
      </c>
      <c r="Z538">
        <v>4</v>
      </c>
      <c r="AA538">
        <v>357.57</v>
      </c>
      <c r="AB538">
        <v>58</v>
      </c>
    </row>
    <row r="539" spans="1:28" x14ac:dyDescent="0.2">
      <c r="A539">
        <v>1028</v>
      </c>
      <c r="B539" s="1">
        <v>43753</v>
      </c>
      <c r="C539" t="s">
        <v>128</v>
      </c>
      <c r="D539" t="s">
        <v>94</v>
      </c>
      <c r="E539" t="s">
        <v>108</v>
      </c>
      <c r="F539" t="s">
        <v>55</v>
      </c>
      <c r="G539" t="s">
        <v>32</v>
      </c>
      <c r="H539" t="s">
        <v>46</v>
      </c>
      <c r="I539" t="s">
        <v>129</v>
      </c>
      <c r="J539" t="s">
        <v>65</v>
      </c>
      <c r="K539" s="2">
        <v>36821</v>
      </c>
      <c r="L539" t="s">
        <v>36</v>
      </c>
      <c r="M539" t="s">
        <v>48</v>
      </c>
      <c r="N539" t="s">
        <v>84</v>
      </c>
      <c r="O539" t="s">
        <v>61</v>
      </c>
      <c r="P539" t="s">
        <v>40</v>
      </c>
      <c r="Q539">
        <v>3</v>
      </c>
      <c r="R539" s="2">
        <v>45011</v>
      </c>
      <c r="S539">
        <v>5</v>
      </c>
      <c r="T539">
        <v>5</v>
      </c>
      <c r="U539">
        <v>4</v>
      </c>
      <c r="V539" s="1">
        <v>44945</v>
      </c>
      <c r="W539" t="s">
        <v>68</v>
      </c>
      <c r="X539" t="s">
        <v>42</v>
      </c>
      <c r="Y539" t="s">
        <v>52</v>
      </c>
      <c r="Z539">
        <v>3</v>
      </c>
      <c r="AA539">
        <v>804.06</v>
      </c>
      <c r="AB539">
        <v>19</v>
      </c>
    </row>
    <row r="540" spans="1:28" x14ac:dyDescent="0.2">
      <c r="A540">
        <v>1029</v>
      </c>
      <c r="B540" s="1">
        <v>43949</v>
      </c>
      <c r="C540" t="s">
        <v>128</v>
      </c>
      <c r="D540" t="s">
        <v>85</v>
      </c>
      <c r="E540" t="s">
        <v>30</v>
      </c>
      <c r="F540" t="s">
        <v>46</v>
      </c>
      <c r="G540" t="s">
        <v>56</v>
      </c>
      <c r="H540" t="s">
        <v>46</v>
      </c>
      <c r="I540" t="s">
        <v>129</v>
      </c>
      <c r="J540" t="s">
        <v>70</v>
      </c>
      <c r="K540" s="2">
        <v>29007</v>
      </c>
      <c r="L540" t="s">
        <v>36</v>
      </c>
      <c r="M540" t="s">
        <v>37</v>
      </c>
      <c r="N540" t="s">
        <v>84</v>
      </c>
      <c r="O540" t="s">
        <v>77</v>
      </c>
      <c r="P540" t="s">
        <v>40</v>
      </c>
      <c r="Q540">
        <v>3</v>
      </c>
      <c r="R540" s="2">
        <v>44872</v>
      </c>
      <c r="S540">
        <v>3</v>
      </c>
      <c r="T540">
        <v>5</v>
      </c>
      <c r="U540">
        <v>4</v>
      </c>
      <c r="V540" s="1">
        <v>44982</v>
      </c>
      <c r="W540" t="s">
        <v>62</v>
      </c>
      <c r="X540" t="s">
        <v>42</v>
      </c>
      <c r="Y540" t="s">
        <v>43</v>
      </c>
      <c r="Z540">
        <v>5</v>
      </c>
      <c r="AA540">
        <v>729.41</v>
      </c>
      <c r="AB540">
        <v>41</v>
      </c>
    </row>
    <row r="541" spans="1:28" x14ac:dyDescent="0.2">
      <c r="A541">
        <v>1030</v>
      </c>
      <c r="B541" s="1">
        <v>43767</v>
      </c>
      <c r="C541" t="s">
        <v>128</v>
      </c>
      <c r="D541" t="s">
        <v>64</v>
      </c>
      <c r="E541" t="s">
        <v>30</v>
      </c>
      <c r="F541" t="s">
        <v>31</v>
      </c>
      <c r="G541" t="s">
        <v>32</v>
      </c>
      <c r="H541" t="s">
        <v>33</v>
      </c>
      <c r="I541" t="s">
        <v>129</v>
      </c>
      <c r="J541" t="s">
        <v>70</v>
      </c>
      <c r="K541" s="2">
        <v>20276</v>
      </c>
      <c r="L541" t="s">
        <v>36</v>
      </c>
      <c r="M541" t="s">
        <v>48</v>
      </c>
      <c r="N541" t="s">
        <v>72</v>
      </c>
      <c r="O541" t="s">
        <v>61</v>
      </c>
      <c r="P541" t="s">
        <v>40</v>
      </c>
      <c r="Q541">
        <v>3</v>
      </c>
      <c r="R541" s="2">
        <v>44929</v>
      </c>
      <c r="S541">
        <v>4</v>
      </c>
      <c r="T541">
        <v>4</v>
      </c>
      <c r="U541">
        <v>1</v>
      </c>
      <c r="V541" s="1">
        <v>44930</v>
      </c>
      <c r="W541" t="s">
        <v>92</v>
      </c>
      <c r="X541" t="s">
        <v>42</v>
      </c>
      <c r="Y541" t="s">
        <v>63</v>
      </c>
      <c r="Z541">
        <v>1</v>
      </c>
      <c r="AA541">
        <v>169.46</v>
      </c>
      <c r="AB541">
        <v>64</v>
      </c>
    </row>
    <row r="542" spans="1:28" x14ac:dyDescent="0.2">
      <c r="A542">
        <v>1031</v>
      </c>
      <c r="B542" s="1">
        <v>44314</v>
      </c>
      <c r="C542" t="s">
        <v>128</v>
      </c>
      <c r="D542" t="s">
        <v>74</v>
      </c>
      <c r="E542" t="s">
        <v>30</v>
      </c>
      <c r="F542" t="s">
        <v>46</v>
      </c>
      <c r="G542" t="s">
        <v>56</v>
      </c>
      <c r="H542" t="s">
        <v>33</v>
      </c>
      <c r="I542" t="s">
        <v>129</v>
      </c>
      <c r="J542" t="s">
        <v>65</v>
      </c>
      <c r="K542" s="2">
        <v>26601</v>
      </c>
      <c r="L542" t="s">
        <v>36</v>
      </c>
      <c r="M542" t="s">
        <v>48</v>
      </c>
      <c r="N542" t="s">
        <v>38</v>
      </c>
      <c r="O542" t="s">
        <v>39</v>
      </c>
      <c r="P542" t="s">
        <v>40</v>
      </c>
      <c r="Q542">
        <v>3</v>
      </c>
      <c r="R542" s="2">
        <v>44984</v>
      </c>
      <c r="S542">
        <v>5</v>
      </c>
      <c r="T542">
        <v>3</v>
      </c>
      <c r="U542">
        <v>2</v>
      </c>
      <c r="V542" s="1">
        <v>44921</v>
      </c>
      <c r="W542" t="s">
        <v>92</v>
      </c>
      <c r="X542" t="s">
        <v>42</v>
      </c>
      <c r="Y542" t="s">
        <v>43</v>
      </c>
      <c r="Z542">
        <v>1</v>
      </c>
      <c r="AA542">
        <v>833.28</v>
      </c>
      <c r="AB542">
        <v>49</v>
      </c>
    </row>
    <row r="543" spans="1:28" x14ac:dyDescent="0.2">
      <c r="A543">
        <v>1032</v>
      </c>
      <c r="B543" s="1">
        <v>44670</v>
      </c>
      <c r="C543" t="s">
        <v>128</v>
      </c>
      <c r="D543" t="s">
        <v>94</v>
      </c>
      <c r="E543" t="s">
        <v>30</v>
      </c>
      <c r="F543" t="s">
        <v>55</v>
      </c>
      <c r="G543" t="s">
        <v>32</v>
      </c>
      <c r="H543" t="s">
        <v>46</v>
      </c>
      <c r="I543" t="s">
        <v>129</v>
      </c>
      <c r="J543" t="s">
        <v>47</v>
      </c>
      <c r="K543" s="2">
        <v>19906</v>
      </c>
      <c r="L543" t="s">
        <v>36</v>
      </c>
      <c r="M543" t="s">
        <v>48</v>
      </c>
      <c r="N543" t="s">
        <v>84</v>
      </c>
      <c r="O543" t="s">
        <v>39</v>
      </c>
      <c r="P543" t="s">
        <v>40</v>
      </c>
      <c r="Q543">
        <v>3</v>
      </c>
      <c r="R543" s="2">
        <v>45068</v>
      </c>
      <c r="S543">
        <v>5</v>
      </c>
      <c r="T543">
        <v>4</v>
      </c>
      <c r="U543">
        <v>4</v>
      </c>
      <c r="V543" s="1">
        <v>44902</v>
      </c>
      <c r="W543" t="s">
        <v>68</v>
      </c>
      <c r="X543" t="s">
        <v>51</v>
      </c>
      <c r="Y543" t="s">
        <v>63</v>
      </c>
      <c r="Z543">
        <v>3</v>
      </c>
      <c r="AA543">
        <v>482.23</v>
      </c>
      <c r="AB543">
        <v>68</v>
      </c>
    </row>
    <row r="544" spans="1:28" x14ac:dyDescent="0.2">
      <c r="A544">
        <v>1033</v>
      </c>
      <c r="B544" s="1">
        <v>45013</v>
      </c>
      <c r="C544" t="s">
        <v>130</v>
      </c>
      <c r="D544" t="s">
        <v>74</v>
      </c>
      <c r="E544" t="s">
        <v>30</v>
      </c>
      <c r="F544" t="s">
        <v>31</v>
      </c>
      <c r="G544" t="s">
        <v>56</v>
      </c>
      <c r="H544" t="s">
        <v>55</v>
      </c>
      <c r="I544" t="s">
        <v>129</v>
      </c>
      <c r="J544" t="s">
        <v>70</v>
      </c>
      <c r="K544" s="2">
        <v>35517</v>
      </c>
      <c r="L544" t="s">
        <v>36</v>
      </c>
      <c r="M544" t="s">
        <v>48</v>
      </c>
      <c r="N544" t="s">
        <v>60</v>
      </c>
      <c r="O544" t="s">
        <v>61</v>
      </c>
      <c r="P544" t="s">
        <v>40</v>
      </c>
      <c r="Q544">
        <v>3</v>
      </c>
      <c r="R544" s="2">
        <v>45109</v>
      </c>
      <c r="S544">
        <v>3</v>
      </c>
      <c r="T544">
        <v>1</v>
      </c>
      <c r="U544">
        <v>3</v>
      </c>
      <c r="V544" s="1">
        <v>45097</v>
      </c>
      <c r="W544" t="s">
        <v>92</v>
      </c>
      <c r="X544" t="s">
        <v>42</v>
      </c>
      <c r="Y544" t="s">
        <v>52</v>
      </c>
      <c r="Z544">
        <v>4</v>
      </c>
      <c r="AA544">
        <v>169.85</v>
      </c>
      <c r="AB544">
        <v>26</v>
      </c>
    </row>
    <row r="545" spans="1:28" x14ac:dyDescent="0.2">
      <c r="A545">
        <v>1034</v>
      </c>
      <c r="B545" s="1">
        <v>43591</v>
      </c>
      <c r="C545" t="s">
        <v>130</v>
      </c>
      <c r="D545" t="s">
        <v>81</v>
      </c>
      <c r="E545" t="s">
        <v>30</v>
      </c>
      <c r="F545" t="s">
        <v>55</v>
      </c>
      <c r="G545" t="s">
        <v>32</v>
      </c>
      <c r="H545" t="s">
        <v>46</v>
      </c>
      <c r="I545" t="s">
        <v>129</v>
      </c>
      <c r="J545" t="s">
        <v>96</v>
      </c>
      <c r="K545" s="2">
        <v>28467</v>
      </c>
      <c r="L545" t="s">
        <v>36</v>
      </c>
      <c r="M545" t="s">
        <v>37</v>
      </c>
      <c r="N545" t="s">
        <v>72</v>
      </c>
      <c r="O545" t="s">
        <v>61</v>
      </c>
      <c r="P545" t="s">
        <v>40</v>
      </c>
      <c r="Q545">
        <v>3</v>
      </c>
      <c r="R545" s="2">
        <v>45116</v>
      </c>
      <c r="S545">
        <v>2</v>
      </c>
      <c r="T545">
        <v>5</v>
      </c>
      <c r="U545">
        <v>1</v>
      </c>
      <c r="V545" s="1">
        <v>44875</v>
      </c>
      <c r="W545" t="s">
        <v>41</v>
      </c>
      <c r="X545" t="s">
        <v>42</v>
      </c>
      <c r="Y545" t="s">
        <v>43</v>
      </c>
      <c r="Z545">
        <v>1</v>
      </c>
      <c r="AA545">
        <v>570.62</v>
      </c>
      <c r="AB545">
        <v>42</v>
      </c>
    </row>
    <row r="546" spans="1:28" x14ac:dyDescent="0.2">
      <c r="A546">
        <v>1035</v>
      </c>
      <c r="B546" s="1">
        <v>44117</v>
      </c>
      <c r="C546" t="s">
        <v>131</v>
      </c>
      <c r="D546" t="s">
        <v>54</v>
      </c>
      <c r="E546" t="s">
        <v>30</v>
      </c>
      <c r="F546" t="s">
        <v>55</v>
      </c>
      <c r="G546" t="s">
        <v>45</v>
      </c>
      <c r="H546" t="s">
        <v>33</v>
      </c>
      <c r="I546" t="s">
        <v>132</v>
      </c>
      <c r="J546" t="s">
        <v>111</v>
      </c>
      <c r="K546" s="2">
        <v>28902</v>
      </c>
      <c r="L546" t="s">
        <v>36</v>
      </c>
      <c r="M546" t="s">
        <v>37</v>
      </c>
      <c r="N546" t="s">
        <v>84</v>
      </c>
      <c r="O546" t="s">
        <v>77</v>
      </c>
      <c r="P546" t="s">
        <v>40</v>
      </c>
      <c r="Q546">
        <v>3</v>
      </c>
      <c r="R546" s="2">
        <v>45126</v>
      </c>
      <c r="S546">
        <v>1</v>
      </c>
      <c r="T546">
        <v>5</v>
      </c>
      <c r="U546">
        <v>5</v>
      </c>
      <c r="V546" s="1">
        <v>44996</v>
      </c>
      <c r="W546" t="s">
        <v>92</v>
      </c>
      <c r="X546" t="s">
        <v>42</v>
      </c>
      <c r="Y546" t="s">
        <v>63</v>
      </c>
      <c r="Z546">
        <v>2</v>
      </c>
      <c r="AA546">
        <v>724.14</v>
      </c>
      <c r="AB546">
        <v>41</v>
      </c>
    </row>
    <row r="547" spans="1:28" x14ac:dyDescent="0.2">
      <c r="A547">
        <v>1036</v>
      </c>
      <c r="B547" s="1">
        <v>44383</v>
      </c>
      <c r="C547" t="s">
        <v>131</v>
      </c>
      <c r="D547" t="s">
        <v>69</v>
      </c>
      <c r="E547" t="s">
        <v>30</v>
      </c>
      <c r="F547" t="s">
        <v>46</v>
      </c>
      <c r="G547" t="s">
        <v>45</v>
      </c>
      <c r="H547" t="s">
        <v>46</v>
      </c>
      <c r="I547" t="s">
        <v>132</v>
      </c>
      <c r="J547" t="s">
        <v>70</v>
      </c>
      <c r="K547" s="2">
        <v>34189</v>
      </c>
      <c r="L547" t="s">
        <v>36</v>
      </c>
      <c r="M547" t="s">
        <v>48</v>
      </c>
      <c r="N547" t="s">
        <v>84</v>
      </c>
      <c r="O547" t="s">
        <v>61</v>
      </c>
      <c r="P547" t="s">
        <v>40</v>
      </c>
      <c r="Q547">
        <v>3</v>
      </c>
      <c r="R547" s="2">
        <v>44782</v>
      </c>
      <c r="S547">
        <v>5</v>
      </c>
      <c r="T547">
        <v>2</v>
      </c>
      <c r="U547">
        <v>1</v>
      </c>
      <c r="V547" s="1">
        <v>44905</v>
      </c>
      <c r="W547" t="s">
        <v>50</v>
      </c>
      <c r="X547" t="s">
        <v>51</v>
      </c>
      <c r="Y547" t="s">
        <v>43</v>
      </c>
      <c r="Z547">
        <v>3</v>
      </c>
      <c r="AA547">
        <v>305.98</v>
      </c>
      <c r="AB547">
        <v>28</v>
      </c>
    </row>
    <row r="548" spans="1:28" x14ac:dyDescent="0.2">
      <c r="A548">
        <v>1037</v>
      </c>
      <c r="B548" s="1">
        <v>44098</v>
      </c>
      <c r="C548" t="s">
        <v>128</v>
      </c>
      <c r="D548" t="s">
        <v>29</v>
      </c>
      <c r="E548" t="s">
        <v>108</v>
      </c>
      <c r="F548" t="s">
        <v>46</v>
      </c>
      <c r="G548" t="s">
        <v>32</v>
      </c>
      <c r="H548" t="s">
        <v>55</v>
      </c>
      <c r="I548" t="s">
        <v>129</v>
      </c>
      <c r="J548" t="s">
        <v>97</v>
      </c>
      <c r="K548" s="2">
        <v>34177</v>
      </c>
      <c r="L548" t="s">
        <v>36</v>
      </c>
      <c r="M548" t="s">
        <v>48</v>
      </c>
      <c r="N548" t="s">
        <v>60</v>
      </c>
      <c r="O548" t="s">
        <v>39</v>
      </c>
      <c r="P548" t="s">
        <v>40</v>
      </c>
      <c r="Q548">
        <v>3</v>
      </c>
      <c r="R548" s="2">
        <v>44890</v>
      </c>
      <c r="S548">
        <v>5</v>
      </c>
      <c r="T548">
        <v>1</v>
      </c>
      <c r="U548">
        <v>4</v>
      </c>
      <c r="V548" s="1">
        <v>44859</v>
      </c>
      <c r="W548" t="s">
        <v>41</v>
      </c>
      <c r="X548" t="s">
        <v>42</v>
      </c>
      <c r="Y548" t="s">
        <v>43</v>
      </c>
      <c r="Z548">
        <v>2</v>
      </c>
      <c r="AA548">
        <v>646.76</v>
      </c>
      <c r="AB548">
        <v>27</v>
      </c>
    </row>
    <row r="549" spans="1:28" x14ac:dyDescent="0.2">
      <c r="A549">
        <v>1038</v>
      </c>
      <c r="B549" s="1">
        <v>44944</v>
      </c>
      <c r="C549" t="s">
        <v>128</v>
      </c>
      <c r="D549" t="s">
        <v>85</v>
      </c>
      <c r="E549" t="s">
        <v>30</v>
      </c>
      <c r="F549" t="s">
        <v>31</v>
      </c>
      <c r="G549" t="s">
        <v>56</v>
      </c>
      <c r="H549" t="s">
        <v>46</v>
      </c>
      <c r="I549" t="s">
        <v>129</v>
      </c>
      <c r="J549" t="s">
        <v>70</v>
      </c>
      <c r="K549" s="2">
        <v>26057</v>
      </c>
      <c r="L549" t="s">
        <v>36</v>
      </c>
      <c r="M549" t="s">
        <v>48</v>
      </c>
      <c r="N549" t="s">
        <v>49</v>
      </c>
      <c r="O549" t="s">
        <v>67</v>
      </c>
      <c r="P549" t="s">
        <v>40</v>
      </c>
      <c r="Q549">
        <v>3</v>
      </c>
      <c r="R549" s="2">
        <v>44995</v>
      </c>
      <c r="S549">
        <v>5</v>
      </c>
      <c r="T549">
        <v>1</v>
      </c>
      <c r="U549">
        <v>2</v>
      </c>
      <c r="V549" s="1">
        <v>45135</v>
      </c>
      <c r="W549" t="s">
        <v>50</v>
      </c>
      <c r="X549" t="s">
        <v>51</v>
      </c>
      <c r="Y549" t="s">
        <v>43</v>
      </c>
      <c r="Z549">
        <v>2</v>
      </c>
      <c r="AA549">
        <v>516.89</v>
      </c>
      <c r="AB549">
        <v>52</v>
      </c>
    </row>
    <row r="550" spans="1:28" x14ac:dyDescent="0.2">
      <c r="A550">
        <v>1039</v>
      </c>
      <c r="B550" s="1">
        <v>43699</v>
      </c>
      <c r="C550" t="s">
        <v>128</v>
      </c>
      <c r="D550" t="s">
        <v>44</v>
      </c>
      <c r="E550" t="s">
        <v>108</v>
      </c>
      <c r="F550" t="s">
        <v>46</v>
      </c>
      <c r="G550" t="s">
        <v>56</v>
      </c>
      <c r="H550" t="s">
        <v>46</v>
      </c>
      <c r="I550" t="s">
        <v>129</v>
      </c>
      <c r="J550" t="s">
        <v>35</v>
      </c>
      <c r="K550" s="2">
        <v>30272</v>
      </c>
      <c r="L550" t="s">
        <v>36</v>
      </c>
      <c r="M550" t="s">
        <v>37</v>
      </c>
      <c r="N550" t="s">
        <v>60</v>
      </c>
      <c r="O550" t="s">
        <v>39</v>
      </c>
      <c r="P550" t="s">
        <v>40</v>
      </c>
      <c r="Q550">
        <v>3</v>
      </c>
      <c r="R550" s="2">
        <v>44898</v>
      </c>
      <c r="S550">
        <v>2</v>
      </c>
      <c r="T550">
        <v>4</v>
      </c>
      <c r="U550">
        <v>5</v>
      </c>
      <c r="V550" s="1">
        <v>44950</v>
      </c>
      <c r="W550" t="s">
        <v>50</v>
      </c>
      <c r="X550" t="s">
        <v>51</v>
      </c>
      <c r="Y550" t="s">
        <v>73</v>
      </c>
      <c r="Z550">
        <v>5</v>
      </c>
      <c r="AA550">
        <v>520.41</v>
      </c>
      <c r="AB550">
        <v>37</v>
      </c>
    </row>
    <row r="551" spans="1:28" x14ac:dyDescent="0.2">
      <c r="A551">
        <v>1040</v>
      </c>
      <c r="B551" s="1">
        <v>43671</v>
      </c>
      <c r="C551" t="s">
        <v>128</v>
      </c>
      <c r="D551" t="s">
        <v>87</v>
      </c>
      <c r="E551" t="s">
        <v>108</v>
      </c>
      <c r="F551" t="s">
        <v>31</v>
      </c>
      <c r="G551" t="s">
        <v>45</v>
      </c>
      <c r="H551" t="s">
        <v>46</v>
      </c>
      <c r="I551" t="s">
        <v>129</v>
      </c>
      <c r="J551" t="s">
        <v>70</v>
      </c>
      <c r="K551" s="2">
        <v>26414</v>
      </c>
      <c r="L551" t="s">
        <v>36</v>
      </c>
      <c r="M551" t="s">
        <v>48</v>
      </c>
      <c r="N551" t="s">
        <v>38</v>
      </c>
      <c r="O551" t="s">
        <v>77</v>
      </c>
      <c r="P551" t="s">
        <v>40</v>
      </c>
      <c r="Q551">
        <v>3</v>
      </c>
      <c r="R551" s="2">
        <v>44831</v>
      </c>
      <c r="S551">
        <v>5</v>
      </c>
      <c r="T551">
        <v>3</v>
      </c>
      <c r="U551">
        <v>1</v>
      </c>
      <c r="V551" s="1">
        <v>44896</v>
      </c>
      <c r="W551" t="s">
        <v>68</v>
      </c>
      <c r="X551" t="s">
        <v>42</v>
      </c>
      <c r="Y551" t="s">
        <v>63</v>
      </c>
      <c r="Z551">
        <v>5</v>
      </c>
      <c r="AA551">
        <v>712.84</v>
      </c>
      <c r="AB551">
        <v>47</v>
      </c>
    </row>
    <row r="552" spans="1:28" x14ac:dyDescent="0.2">
      <c r="A552">
        <v>1041</v>
      </c>
      <c r="B552" s="1">
        <v>43780</v>
      </c>
      <c r="C552" t="s">
        <v>128</v>
      </c>
      <c r="D552" t="s">
        <v>64</v>
      </c>
      <c r="E552" t="s">
        <v>108</v>
      </c>
      <c r="F552" t="s">
        <v>55</v>
      </c>
      <c r="G552" t="s">
        <v>45</v>
      </c>
      <c r="H552" t="s">
        <v>55</v>
      </c>
      <c r="I552" t="s">
        <v>129</v>
      </c>
      <c r="J552" t="s">
        <v>79</v>
      </c>
      <c r="K552" s="2">
        <v>28068</v>
      </c>
      <c r="L552" t="s">
        <v>36</v>
      </c>
      <c r="M552" t="s">
        <v>48</v>
      </c>
      <c r="N552" t="s">
        <v>38</v>
      </c>
      <c r="O552" t="s">
        <v>61</v>
      </c>
      <c r="P552" t="s">
        <v>40</v>
      </c>
      <c r="Q552">
        <v>3</v>
      </c>
      <c r="R552" s="2">
        <v>44945</v>
      </c>
      <c r="S552">
        <v>3</v>
      </c>
      <c r="T552">
        <v>1</v>
      </c>
      <c r="U552">
        <v>4</v>
      </c>
      <c r="V552" s="1">
        <v>44992</v>
      </c>
      <c r="W552" t="s">
        <v>50</v>
      </c>
      <c r="X552" t="s">
        <v>42</v>
      </c>
      <c r="Y552" t="s">
        <v>63</v>
      </c>
      <c r="Z552">
        <v>3</v>
      </c>
      <c r="AA552">
        <v>871.12</v>
      </c>
      <c r="AB552">
        <v>43</v>
      </c>
    </row>
    <row r="553" spans="1:28" x14ac:dyDescent="0.2">
      <c r="A553">
        <v>1042</v>
      </c>
      <c r="B553" s="1">
        <v>44758</v>
      </c>
      <c r="C553" t="s">
        <v>128</v>
      </c>
      <c r="D553" t="s">
        <v>94</v>
      </c>
      <c r="E553" t="s">
        <v>30</v>
      </c>
      <c r="F553" t="s">
        <v>31</v>
      </c>
      <c r="G553" t="s">
        <v>56</v>
      </c>
      <c r="H553" t="s">
        <v>33</v>
      </c>
      <c r="I553" t="s">
        <v>129</v>
      </c>
      <c r="J553" t="s">
        <v>70</v>
      </c>
      <c r="K553" s="2">
        <v>15571</v>
      </c>
      <c r="L553" t="s">
        <v>36</v>
      </c>
      <c r="M553" t="s">
        <v>48</v>
      </c>
      <c r="N553" t="s">
        <v>72</v>
      </c>
      <c r="O553" t="s">
        <v>39</v>
      </c>
      <c r="P553" t="s">
        <v>40</v>
      </c>
      <c r="Q553">
        <v>3</v>
      </c>
      <c r="R553" s="2">
        <v>44974</v>
      </c>
      <c r="S553">
        <v>1</v>
      </c>
      <c r="T553">
        <v>3</v>
      </c>
      <c r="U553">
        <v>4</v>
      </c>
      <c r="V553" s="1">
        <v>44839</v>
      </c>
      <c r="W553" t="s">
        <v>62</v>
      </c>
      <c r="X553" t="s">
        <v>42</v>
      </c>
      <c r="Y553" t="s">
        <v>73</v>
      </c>
      <c r="Z553">
        <v>1</v>
      </c>
      <c r="AA553">
        <v>228.11</v>
      </c>
      <c r="AB553">
        <v>80</v>
      </c>
    </row>
    <row r="554" spans="1:28" x14ac:dyDescent="0.2">
      <c r="A554">
        <v>1043</v>
      </c>
      <c r="B554" s="1">
        <v>44914</v>
      </c>
      <c r="C554" t="s">
        <v>130</v>
      </c>
      <c r="D554" t="s">
        <v>74</v>
      </c>
      <c r="E554" t="s">
        <v>30</v>
      </c>
      <c r="F554" t="s">
        <v>55</v>
      </c>
      <c r="G554" t="s">
        <v>32</v>
      </c>
      <c r="H554" t="s">
        <v>46</v>
      </c>
      <c r="I554" t="s">
        <v>129</v>
      </c>
      <c r="J554" t="s">
        <v>89</v>
      </c>
      <c r="K554" s="2">
        <v>20439</v>
      </c>
      <c r="L554" t="s">
        <v>36</v>
      </c>
      <c r="M554" t="s">
        <v>37</v>
      </c>
      <c r="N554" t="s">
        <v>38</v>
      </c>
      <c r="O554" t="s">
        <v>67</v>
      </c>
      <c r="P554" t="s">
        <v>40</v>
      </c>
      <c r="Q554">
        <v>3</v>
      </c>
      <c r="R554" s="2">
        <v>44982</v>
      </c>
      <c r="S554">
        <v>1</v>
      </c>
      <c r="T554">
        <v>1</v>
      </c>
      <c r="U554">
        <v>3</v>
      </c>
      <c r="V554" s="1">
        <v>44783</v>
      </c>
      <c r="W554" t="s">
        <v>92</v>
      </c>
      <c r="X554" t="s">
        <v>51</v>
      </c>
      <c r="Y554" t="s">
        <v>63</v>
      </c>
      <c r="Z554">
        <v>2</v>
      </c>
      <c r="AA554">
        <v>289.93</v>
      </c>
      <c r="AB554">
        <v>67</v>
      </c>
    </row>
    <row r="555" spans="1:28" x14ac:dyDescent="0.2">
      <c r="A555">
        <v>1044</v>
      </c>
      <c r="B555" s="1">
        <v>44089</v>
      </c>
      <c r="C555" t="s">
        <v>130</v>
      </c>
      <c r="D555" t="s">
        <v>81</v>
      </c>
      <c r="E555" t="s">
        <v>30</v>
      </c>
      <c r="F555" t="s">
        <v>31</v>
      </c>
      <c r="G555" t="s">
        <v>45</v>
      </c>
      <c r="H555" t="s">
        <v>33</v>
      </c>
      <c r="I555" t="s">
        <v>129</v>
      </c>
      <c r="J555" t="s">
        <v>70</v>
      </c>
      <c r="K555" s="2">
        <v>20714</v>
      </c>
      <c r="L555" t="s">
        <v>36</v>
      </c>
      <c r="M555" t="s">
        <v>37</v>
      </c>
      <c r="N555" t="s">
        <v>49</v>
      </c>
      <c r="O555" t="s">
        <v>77</v>
      </c>
      <c r="P555" t="s">
        <v>40</v>
      </c>
      <c r="Q555">
        <v>3</v>
      </c>
      <c r="R555" s="2">
        <v>44891</v>
      </c>
      <c r="S555">
        <v>2</v>
      </c>
      <c r="T555">
        <v>4</v>
      </c>
      <c r="U555">
        <v>5</v>
      </c>
      <c r="V555" s="1">
        <v>44817</v>
      </c>
      <c r="W555" t="s">
        <v>68</v>
      </c>
      <c r="X555" t="s">
        <v>51</v>
      </c>
      <c r="Y555" t="s">
        <v>52</v>
      </c>
      <c r="Z555">
        <v>4</v>
      </c>
      <c r="AA555">
        <v>920.78</v>
      </c>
      <c r="AB555">
        <v>64</v>
      </c>
    </row>
    <row r="556" spans="1:28" x14ac:dyDescent="0.2">
      <c r="A556">
        <v>1045</v>
      </c>
      <c r="B556" s="1">
        <v>44108</v>
      </c>
      <c r="C556" t="s">
        <v>131</v>
      </c>
      <c r="D556" t="s">
        <v>54</v>
      </c>
      <c r="E556" t="s">
        <v>30</v>
      </c>
      <c r="F556" t="s">
        <v>55</v>
      </c>
      <c r="G556" t="s">
        <v>32</v>
      </c>
      <c r="H556" t="s">
        <v>33</v>
      </c>
      <c r="I556" t="s">
        <v>132</v>
      </c>
      <c r="J556" t="s">
        <v>102</v>
      </c>
      <c r="K556" s="2">
        <v>23172</v>
      </c>
      <c r="L556" t="s">
        <v>36</v>
      </c>
      <c r="M556" t="s">
        <v>37</v>
      </c>
      <c r="N556" t="s">
        <v>72</v>
      </c>
      <c r="O556" t="s">
        <v>61</v>
      </c>
      <c r="P556" t="s">
        <v>40</v>
      </c>
      <c r="Q556">
        <v>3</v>
      </c>
      <c r="R556" s="2">
        <v>44781</v>
      </c>
      <c r="S556">
        <v>1</v>
      </c>
      <c r="T556">
        <v>4</v>
      </c>
      <c r="U556">
        <v>1</v>
      </c>
      <c r="V556" s="1">
        <v>45088</v>
      </c>
      <c r="W556" t="s">
        <v>50</v>
      </c>
      <c r="X556" t="s">
        <v>51</v>
      </c>
      <c r="Y556" t="s">
        <v>63</v>
      </c>
      <c r="Z556">
        <v>2</v>
      </c>
      <c r="AA556">
        <v>690.41</v>
      </c>
      <c r="AB556">
        <v>57</v>
      </c>
    </row>
    <row r="557" spans="1:28" x14ac:dyDescent="0.2">
      <c r="A557">
        <v>1046</v>
      </c>
      <c r="B557" s="1">
        <v>44674</v>
      </c>
      <c r="C557" t="s">
        <v>128</v>
      </c>
      <c r="D557" t="s">
        <v>29</v>
      </c>
      <c r="E557" t="s">
        <v>108</v>
      </c>
      <c r="F557" t="s">
        <v>55</v>
      </c>
      <c r="G557" t="s">
        <v>45</v>
      </c>
      <c r="H557" t="s">
        <v>33</v>
      </c>
      <c r="I557" t="s">
        <v>129</v>
      </c>
      <c r="J557" t="s">
        <v>111</v>
      </c>
      <c r="K557" s="2">
        <v>22967</v>
      </c>
      <c r="L557" t="s">
        <v>36</v>
      </c>
      <c r="M557" t="s">
        <v>48</v>
      </c>
      <c r="N557" t="s">
        <v>38</v>
      </c>
      <c r="O557" t="s">
        <v>61</v>
      </c>
      <c r="P557" t="s">
        <v>40</v>
      </c>
      <c r="Q557">
        <v>3</v>
      </c>
      <c r="R557" s="2">
        <v>44975</v>
      </c>
      <c r="S557">
        <v>3</v>
      </c>
      <c r="T557">
        <v>5</v>
      </c>
      <c r="U557">
        <v>4</v>
      </c>
      <c r="V557" s="1">
        <v>45135</v>
      </c>
      <c r="W557" t="s">
        <v>41</v>
      </c>
      <c r="X557" t="s">
        <v>42</v>
      </c>
      <c r="Y557" t="s">
        <v>43</v>
      </c>
      <c r="Z557">
        <v>2</v>
      </c>
      <c r="AA557">
        <v>211.39</v>
      </c>
      <c r="AB557">
        <v>60</v>
      </c>
    </row>
    <row r="558" spans="1:28" x14ac:dyDescent="0.2">
      <c r="A558">
        <v>1047</v>
      </c>
      <c r="B558" s="1">
        <v>44527</v>
      </c>
      <c r="C558" t="s">
        <v>128</v>
      </c>
      <c r="D558" t="s">
        <v>85</v>
      </c>
      <c r="E558" t="s">
        <v>30</v>
      </c>
      <c r="F558" t="s">
        <v>31</v>
      </c>
      <c r="G558" t="s">
        <v>45</v>
      </c>
      <c r="H558" t="s">
        <v>46</v>
      </c>
      <c r="I558" t="s">
        <v>129</v>
      </c>
      <c r="J558" t="s">
        <v>70</v>
      </c>
      <c r="K558" s="2">
        <v>17495</v>
      </c>
      <c r="L558" t="s">
        <v>36</v>
      </c>
      <c r="M558" t="s">
        <v>37</v>
      </c>
      <c r="N558" t="s">
        <v>49</v>
      </c>
      <c r="O558" t="s">
        <v>61</v>
      </c>
      <c r="P558" t="s">
        <v>40</v>
      </c>
      <c r="Q558">
        <v>3</v>
      </c>
      <c r="R558" s="2">
        <v>45058</v>
      </c>
      <c r="S558">
        <v>4</v>
      </c>
      <c r="T558">
        <v>2</v>
      </c>
      <c r="U558">
        <v>3</v>
      </c>
      <c r="V558" s="1">
        <v>44892</v>
      </c>
      <c r="W558" t="s">
        <v>62</v>
      </c>
      <c r="X558" t="s">
        <v>42</v>
      </c>
      <c r="Y558" t="s">
        <v>73</v>
      </c>
      <c r="Z558">
        <v>2</v>
      </c>
      <c r="AA558">
        <v>606.63</v>
      </c>
      <c r="AB558">
        <v>74</v>
      </c>
    </row>
    <row r="559" spans="1:28" x14ac:dyDescent="0.2">
      <c r="A559">
        <v>1048</v>
      </c>
      <c r="B559" s="1">
        <v>43798</v>
      </c>
      <c r="C559" t="s">
        <v>128</v>
      </c>
      <c r="D559" t="s">
        <v>44</v>
      </c>
      <c r="E559" t="s">
        <v>30</v>
      </c>
      <c r="F559" t="s">
        <v>46</v>
      </c>
      <c r="G559" t="s">
        <v>45</v>
      </c>
      <c r="H559" t="s">
        <v>33</v>
      </c>
      <c r="I559" t="s">
        <v>129</v>
      </c>
      <c r="J559" t="s">
        <v>65</v>
      </c>
      <c r="K559" s="2">
        <v>20655</v>
      </c>
      <c r="L559" t="s">
        <v>36</v>
      </c>
      <c r="M559" t="s">
        <v>48</v>
      </c>
      <c r="N559" t="s">
        <v>84</v>
      </c>
      <c r="O559" t="s">
        <v>39</v>
      </c>
      <c r="P559" t="s">
        <v>40</v>
      </c>
      <c r="Q559">
        <v>3</v>
      </c>
      <c r="R559" s="2">
        <v>44853</v>
      </c>
      <c r="S559">
        <v>3</v>
      </c>
      <c r="T559">
        <v>1</v>
      </c>
      <c r="U559">
        <v>4</v>
      </c>
      <c r="V559" s="1">
        <v>44897</v>
      </c>
      <c r="W559" t="s">
        <v>41</v>
      </c>
      <c r="X559" t="s">
        <v>42</v>
      </c>
      <c r="Y559" t="s">
        <v>63</v>
      </c>
      <c r="Z559">
        <v>5</v>
      </c>
      <c r="AA559">
        <v>503.99</v>
      </c>
      <c r="AB559">
        <v>63</v>
      </c>
    </row>
    <row r="560" spans="1:28" x14ac:dyDescent="0.2">
      <c r="A560">
        <v>1049</v>
      </c>
      <c r="B560" s="1">
        <v>43615</v>
      </c>
      <c r="C560" t="s">
        <v>128</v>
      </c>
      <c r="D560" t="s">
        <v>87</v>
      </c>
      <c r="E560" t="s">
        <v>108</v>
      </c>
      <c r="F560" t="s">
        <v>46</v>
      </c>
      <c r="G560" t="s">
        <v>56</v>
      </c>
      <c r="H560" t="s">
        <v>46</v>
      </c>
      <c r="I560" t="s">
        <v>129</v>
      </c>
      <c r="J560" t="s">
        <v>70</v>
      </c>
      <c r="K560" s="2">
        <v>19993</v>
      </c>
      <c r="L560" t="s">
        <v>36</v>
      </c>
      <c r="M560" t="s">
        <v>48</v>
      </c>
      <c r="N560" t="s">
        <v>38</v>
      </c>
      <c r="O560" t="s">
        <v>67</v>
      </c>
      <c r="P560" t="s">
        <v>40</v>
      </c>
      <c r="Q560">
        <v>3</v>
      </c>
      <c r="R560" s="2">
        <v>45134</v>
      </c>
      <c r="S560">
        <v>3</v>
      </c>
      <c r="T560">
        <v>5</v>
      </c>
      <c r="U560">
        <v>2</v>
      </c>
      <c r="V560" s="1">
        <v>44885</v>
      </c>
      <c r="W560" t="s">
        <v>41</v>
      </c>
      <c r="X560" t="s">
        <v>42</v>
      </c>
      <c r="Y560" t="s">
        <v>63</v>
      </c>
      <c r="Z560">
        <v>2</v>
      </c>
      <c r="AA560">
        <v>518.54</v>
      </c>
      <c r="AB560">
        <v>65</v>
      </c>
    </row>
    <row r="561" spans="1:28" x14ac:dyDescent="0.2">
      <c r="A561">
        <v>1050</v>
      </c>
      <c r="B561" s="1">
        <v>44158</v>
      </c>
      <c r="C561" t="s">
        <v>128</v>
      </c>
      <c r="D561" t="s">
        <v>64</v>
      </c>
      <c r="E561" t="s">
        <v>30</v>
      </c>
      <c r="F561" t="s">
        <v>31</v>
      </c>
      <c r="G561" t="s">
        <v>56</v>
      </c>
      <c r="H561" t="s">
        <v>33</v>
      </c>
      <c r="I561" t="s">
        <v>129</v>
      </c>
      <c r="J561" t="s">
        <v>35</v>
      </c>
      <c r="K561" s="2">
        <v>34154</v>
      </c>
      <c r="L561" t="s">
        <v>36</v>
      </c>
      <c r="M561" t="s">
        <v>48</v>
      </c>
      <c r="N561" t="s">
        <v>72</v>
      </c>
      <c r="O561" t="s">
        <v>39</v>
      </c>
      <c r="P561" t="s">
        <v>40</v>
      </c>
      <c r="Q561">
        <v>3</v>
      </c>
      <c r="R561" s="2">
        <v>45110</v>
      </c>
      <c r="S561">
        <v>4</v>
      </c>
      <c r="T561">
        <v>5</v>
      </c>
      <c r="U561">
        <v>1</v>
      </c>
      <c r="V561" s="1">
        <v>45141</v>
      </c>
      <c r="W561" t="s">
        <v>50</v>
      </c>
      <c r="X561" t="s">
        <v>42</v>
      </c>
      <c r="Y561" t="s">
        <v>63</v>
      </c>
      <c r="Z561">
        <v>1</v>
      </c>
      <c r="AA561">
        <v>846.43</v>
      </c>
      <c r="AB561">
        <v>27</v>
      </c>
    </row>
    <row r="562" spans="1:28" x14ac:dyDescent="0.2">
      <c r="A562">
        <v>1051</v>
      </c>
      <c r="B562" s="1">
        <v>44659</v>
      </c>
      <c r="C562" t="s">
        <v>128</v>
      </c>
      <c r="D562" t="s">
        <v>94</v>
      </c>
      <c r="E562" t="s">
        <v>30</v>
      </c>
      <c r="F562" t="s">
        <v>55</v>
      </c>
      <c r="G562" t="s">
        <v>32</v>
      </c>
      <c r="H562" t="s">
        <v>46</v>
      </c>
      <c r="I562" t="s">
        <v>129</v>
      </c>
      <c r="J562" t="s">
        <v>70</v>
      </c>
      <c r="K562" s="2">
        <v>29705</v>
      </c>
      <c r="L562" t="s">
        <v>36</v>
      </c>
      <c r="M562" t="s">
        <v>48</v>
      </c>
      <c r="N562" t="s">
        <v>38</v>
      </c>
      <c r="O562" t="s">
        <v>77</v>
      </c>
      <c r="P562" t="s">
        <v>40</v>
      </c>
      <c r="Q562">
        <v>3</v>
      </c>
      <c r="R562" s="2">
        <v>44927</v>
      </c>
      <c r="S562">
        <v>2</v>
      </c>
      <c r="T562">
        <v>4</v>
      </c>
      <c r="U562">
        <v>5</v>
      </c>
      <c r="V562" s="1">
        <v>44847</v>
      </c>
      <c r="W562" t="s">
        <v>41</v>
      </c>
      <c r="X562" t="s">
        <v>42</v>
      </c>
      <c r="Y562" t="s">
        <v>73</v>
      </c>
      <c r="Z562">
        <v>3</v>
      </c>
      <c r="AA562">
        <v>572.94000000000005</v>
      </c>
      <c r="AB562">
        <v>41</v>
      </c>
    </row>
    <row r="563" spans="1:28" x14ac:dyDescent="0.2">
      <c r="A563">
        <v>1052</v>
      </c>
      <c r="B563" s="1">
        <v>44252</v>
      </c>
      <c r="C563" t="s">
        <v>130</v>
      </c>
      <c r="D563" t="s">
        <v>74</v>
      </c>
      <c r="E563" t="s">
        <v>30</v>
      </c>
      <c r="F563" t="s">
        <v>31</v>
      </c>
      <c r="G563" t="s">
        <v>56</v>
      </c>
      <c r="H563" t="s">
        <v>46</v>
      </c>
      <c r="I563" t="s">
        <v>129</v>
      </c>
      <c r="J563" t="s">
        <v>65</v>
      </c>
      <c r="K563" s="2">
        <v>29393</v>
      </c>
      <c r="L563" t="s">
        <v>36</v>
      </c>
      <c r="M563" t="s">
        <v>37</v>
      </c>
      <c r="N563" t="s">
        <v>49</v>
      </c>
      <c r="O563" t="s">
        <v>61</v>
      </c>
      <c r="P563" t="s">
        <v>40</v>
      </c>
      <c r="Q563">
        <v>3</v>
      </c>
      <c r="R563" s="2">
        <v>44884</v>
      </c>
      <c r="S563">
        <v>1</v>
      </c>
      <c r="T563">
        <v>4</v>
      </c>
      <c r="U563">
        <v>4</v>
      </c>
      <c r="V563" s="1">
        <v>44859</v>
      </c>
      <c r="W563" t="s">
        <v>92</v>
      </c>
      <c r="X563" t="s">
        <v>42</v>
      </c>
      <c r="Y563" t="s">
        <v>52</v>
      </c>
      <c r="Z563">
        <v>4</v>
      </c>
      <c r="AA563">
        <v>234.76</v>
      </c>
      <c r="AB563">
        <v>41</v>
      </c>
    </row>
    <row r="564" spans="1:28" x14ac:dyDescent="0.2">
      <c r="A564">
        <v>1053</v>
      </c>
      <c r="B564" s="1">
        <v>43537</v>
      </c>
      <c r="C564" t="s">
        <v>130</v>
      </c>
      <c r="D564" t="s">
        <v>81</v>
      </c>
      <c r="E564" t="s">
        <v>30</v>
      </c>
      <c r="F564" t="s">
        <v>31</v>
      </c>
      <c r="G564" t="s">
        <v>32</v>
      </c>
      <c r="H564" t="s">
        <v>55</v>
      </c>
      <c r="I564" t="s">
        <v>129</v>
      </c>
      <c r="J564" t="s">
        <v>96</v>
      </c>
      <c r="K564" s="2">
        <v>17373</v>
      </c>
      <c r="L564" t="s">
        <v>36</v>
      </c>
      <c r="M564" t="s">
        <v>37</v>
      </c>
      <c r="N564" t="s">
        <v>49</v>
      </c>
      <c r="O564" t="s">
        <v>77</v>
      </c>
      <c r="P564" t="s">
        <v>40</v>
      </c>
      <c r="Q564">
        <v>3</v>
      </c>
      <c r="R564" s="2">
        <v>44846</v>
      </c>
      <c r="S564">
        <v>2</v>
      </c>
      <c r="T564">
        <v>1</v>
      </c>
      <c r="U564">
        <v>4</v>
      </c>
      <c r="V564" s="1">
        <v>44914</v>
      </c>
      <c r="W564" t="s">
        <v>92</v>
      </c>
      <c r="X564" t="s">
        <v>51</v>
      </c>
      <c r="Y564" t="s">
        <v>73</v>
      </c>
      <c r="Z564">
        <v>4</v>
      </c>
      <c r="AA564">
        <v>704.7</v>
      </c>
      <c r="AB564">
        <v>72</v>
      </c>
    </row>
    <row r="565" spans="1:28" x14ac:dyDescent="0.2">
      <c r="A565">
        <v>1054</v>
      </c>
      <c r="B565" s="1">
        <v>44969</v>
      </c>
      <c r="C565" t="s">
        <v>128</v>
      </c>
      <c r="D565" t="s">
        <v>54</v>
      </c>
      <c r="E565" t="s">
        <v>30</v>
      </c>
      <c r="F565" t="s">
        <v>46</v>
      </c>
      <c r="G565" t="s">
        <v>45</v>
      </c>
      <c r="H565" t="s">
        <v>55</v>
      </c>
      <c r="I565" t="s">
        <v>129</v>
      </c>
      <c r="J565" t="s">
        <v>79</v>
      </c>
      <c r="K565" s="2">
        <v>34099</v>
      </c>
      <c r="L565" t="s">
        <v>36</v>
      </c>
      <c r="M565" t="s">
        <v>48</v>
      </c>
      <c r="N565" t="s">
        <v>38</v>
      </c>
      <c r="O565" t="s">
        <v>61</v>
      </c>
      <c r="P565" t="s">
        <v>40</v>
      </c>
      <c r="Q565">
        <v>3</v>
      </c>
      <c r="R565" s="2">
        <v>45112</v>
      </c>
      <c r="S565">
        <v>1</v>
      </c>
      <c r="T565">
        <v>5</v>
      </c>
      <c r="U565">
        <v>2</v>
      </c>
      <c r="V565" s="1">
        <v>44869</v>
      </c>
      <c r="W565" t="s">
        <v>68</v>
      </c>
      <c r="X565" t="s">
        <v>51</v>
      </c>
      <c r="Y565" t="s">
        <v>43</v>
      </c>
      <c r="Z565">
        <v>3</v>
      </c>
      <c r="AA565">
        <v>533.97</v>
      </c>
      <c r="AB565">
        <v>30</v>
      </c>
    </row>
    <row r="566" spans="1:28" x14ac:dyDescent="0.2">
      <c r="A566">
        <v>1055</v>
      </c>
      <c r="B566" s="1">
        <v>43351</v>
      </c>
      <c r="C566" t="s">
        <v>128</v>
      </c>
      <c r="D566" t="s">
        <v>94</v>
      </c>
      <c r="E566" t="s">
        <v>30</v>
      </c>
      <c r="F566" t="s">
        <v>31</v>
      </c>
      <c r="G566" t="s">
        <v>32</v>
      </c>
      <c r="H566" t="s">
        <v>55</v>
      </c>
      <c r="I566" t="s">
        <v>129</v>
      </c>
      <c r="J566" t="s">
        <v>70</v>
      </c>
      <c r="K566" s="2">
        <v>35027</v>
      </c>
      <c r="L566" t="s">
        <v>36</v>
      </c>
      <c r="M566" t="s">
        <v>37</v>
      </c>
      <c r="N566" t="s">
        <v>38</v>
      </c>
      <c r="O566" t="s">
        <v>39</v>
      </c>
      <c r="P566" t="s">
        <v>40</v>
      </c>
      <c r="Q566">
        <v>3</v>
      </c>
      <c r="R566" s="2">
        <v>44827</v>
      </c>
      <c r="S566">
        <v>3</v>
      </c>
      <c r="T566">
        <v>4</v>
      </c>
      <c r="U566">
        <v>1</v>
      </c>
      <c r="V566" s="1">
        <v>44880</v>
      </c>
      <c r="W566" t="s">
        <v>50</v>
      </c>
      <c r="X566" t="s">
        <v>42</v>
      </c>
      <c r="Y566" t="s">
        <v>73</v>
      </c>
      <c r="Z566">
        <v>2</v>
      </c>
      <c r="AA566">
        <v>125.7</v>
      </c>
      <c r="AB566">
        <v>23</v>
      </c>
    </row>
    <row r="567" spans="1:28" x14ac:dyDescent="0.2">
      <c r="A567">
        <v>1056</v>
      </c>
      <c r="B567" s="1">
        <v>44518</v>
      </c>
      <c r="C567" t="s">
        <v>128</v>
      </c>
      <c r="D567" t="s">
        <v>85</v>
      </c>
      <c r="E567" t="s">
        <v>30</v>
      </c>
      <c r="F567" t="s">
        <v>31</v>
      </c>
      <c r="G567" t="s">
        <v>32</v>
      </c>
      <c r="H567" t="s">
        <v>33</v>
      </c>
      <c r="I567" t="s">
        <v>129</v>
      </c>
      <c r="J567" t="s">
        <v>101</v>
      </c>
      <c r="K567" s="2">
        <v>15950</v>
      </c>
      <c r="L567" t="s">
        <v>36</v>
      </c>
      <c r="M567" t="s">
        <v>48</v>
      </c>
      <c r="N567" t="s">
        <v>49</v>
      </c>
      <c r="O567" t="s">
        <v>39</v>
      </c>
      <c r="P567" t="s">
        <v>40</v>
      </c>
      <c r="Q567">
        <v>3</v>
      </c>
      <c r="R567" s="2">
        <v>44943</v>
      </c>
      <c r="S567">
        <v>4</v>
      </c>
      <c r="T567">
        <v>2</v>
      </c>
      <c r="U567">
        <v>2</v>
      </c>
      <c r="V567" s="1">
        <v>44973</v>
      </c>
      <c r="W567" t="s">
        <v>41</v>
      </c>
      <c r="X567" t="s">
        <v>42</v>
      </c>
      <c r="Y567" t="s">
        <v>63</v>
      </c>
      <c r="Z567">
        <v>2</v>
      </c>
      <c r="AA567">
        <v>442.06</v>
      </c>
      <c r="AB567">
        <v>78</v>
      </c>
    </row>
    <row r="568" spans="1:28" x14ac:dyDescent="0.2">
      <c r="A568">
        <v>1057</v>
      </c>
      <c r="B568" s="1">
        <v>45108</v>
      </c>
      <c r="C568" t="s">
        <v>128</v>
      </c>
      <c r="D568" t="s">
        <v>64</v>
      </c>
      <c r="E568" t="s">
        <v>30</v>
      </c>
      <c r="F568" t="s">
        <v>55</v>
      </c>
      <c r="G568" t="s">
        <v>45</v>
      </c>
      <c r="H568" t="s">
        <v>55</v>
      </c>
      <c r="I568" t="s">
        <v>129</v>
      </c>
      <c r="J568" t="s">
        <v>101</v>
      </c>
      <c r="K568" s="2">
        <v>36095</v>
      </c>
      <c r="L568" t="s">
        <v>36</v>
      </c>
      <c r="M568" t="s">
        <v>48</v>
      </c>
      <c r="N568" t="s">
        <v>84</v>
      </c>
      <c r="O568" t="s">
        <v>39</v>
      </c>
      <c r="P568" t="s">
        <v>40</v>
      </c>
      <c r="Q568">
        <v>3</v>
      </c>
      <c r="R568" s="2">
        <v>44997</v>
      </c>
      <c r="S568">
        <v>3</v>
      </c>
      <c r="T568">
        <v>2</v>
      </c>
      <c r="U568">
        <v>5</v>
      </c>
      <c r="V568" s="1">
        <v>44857</v>
      </c>
      <c r="W568" t="s">
        <v>62</v>
      </c>
      <c r="X568" t="s">
        <v>42</v>
      </c>
      <c r="Y568" t="s">
        <v>43</v>
      </c>
      <c r="Z568">
        <v>4</v>
      </c>
      <c r="AA568">
        <v>649.23</v>
      </c>
      <c r="AB568">
        <v>25</v>
      </c>
    </row>
    <row r="569" spans="1:28" x14ac:dyDescent="0.2">
      <c r="A569">
        <v>1058</v>
      </c>
      <c r="B569" s="1">
        <v>44669</v>
      </c>
      <c r="C569" t="s">
        <v>128</v>
      </c>
      <c r="D569" t="s">
        <v>74</v>
      </c>
      <c r="E569" t="s">
        <v>30</v>
      </c>
      <c r="F569" t="s">
        <v>31</v>
      </c>
      <c r="G569" t="s">
        <v>32</v>
      </c>
      <c r="H569" t="s">
        <v>33</v>
      </c>
      <c r="I569" t="s">
        <v>129</v>
      </c>
      <c r="J569" t="s">
        <v>109</v>
      </c>
      <c r="K569" s="2">
        <v>15413</v>
      </c>
      <c r="L569" t="s">
        <v>36</v>
      </c>
      <c r="M569" t="s">
        <v>48</v>
      </c>
      <c r="N569" t="s">
        <v>49</v>
      </c>
      <c r="O569" t="s">
        <v>67</v>
      </c>
      <c r="P569" t="s">
        <v>40</v>
      </c>
      <c r="Q569">
        <v>3</v>
      </c>
      <c r="R569" s="2">
        <v>44991</v>
      </c>
      <c r="S569">
        <v>4</v>
      </c>
      <c r="T569">
        <v>2</v>
      </c>
      <c r="U569">
        <v>1</v>
      </c>
      <c r="V569" s="1">
        <v>45017</v>
      </c>
      <c r="W569" t="s">
        <v>62</v>
      </c>
      <c r="X569" t="s">
        <v>51</v>
      </c>
      <c r="Y569" t="s">
        <v>52</v>
      </c>
      <c r="Z569">
        <v>1</v>
      </c>
      <c r="AA569">
        <v>855.67</v>
      </c>
      <c r="AB569">
        <v>80</v>
      </c>
    </row>
    <row r="570" spans="1:28" x14ac:dyDescent="0.2">
      <c r="A570">
        <v>1059</v>
      </c>
      <c r="B570" s="1">
        <v>45045</v>
      </c>
      <c r="C570" t="s">
        <v>128</v>
      </c>
      <c r="D570" t="s">
        <v>69</v>
      </c>
      <c r="E570" t="s">
        <v>30</v>
      </c>
      <c r="F570" t="s">
        <v>46</v>
      </c>
      <c r="G570" t="s">
        <v>32</v>
      </c>
      <c r="H570" t="s">
        <v>55</v>
      </c>
      <c r="I570" t="s">
        <v>129</v>
      </c>
      <c r="J570" t="s">
        <v>79</v>
      </c>
      <c r="K570" s="2">
        <v>27172</v>
      </c>
      <c r="L570" t="s">
        <v>36</v>
      </c>
      <c r="M570" t="s">
        <v>37</v>
      </c>
      <c r="N570" t="s">
        <v>84</v>
      </c>
      <c r="O570" t="s">
        <v>39</v>
      </c>
      <c r="P570" t="s">
        <v>40</v>
      </c>
      <c r="Q570">
        <v>3</v>
      </c>
      <c r="R570" s="2">
        <v>45014</v>
      </c>
      <c r="S570">
        <v>4</v>
      </c>
      <c r="T570">
        <v>3</v>
      </c>
      <c r="U570">
        <v>3</v>
      </c>
      <c r="V570" s="1">
        <v>44820</v>
      </c>
      <c r="W570" t="s">
        <v>68</v>
      </c>
      <c r="X570" t="s">
        <v>42</v>
      </c>
      <c r="Y570" t="s">
        <v>52</v>
      </c>
      <c r="Z570">
        <v>3</v>
      </c>
      <c r="AA570">
        <v>256.82</v>
      </c>
      <c r="AB570">
        <v>49</v>
      </c>
    </row>
    <row r="571" spans="1:28" x14ac:dyDescent="0.2">
      <c r="A571">
        <v>1060</v>
      </c>
      <c r="B571" s="1">
        <v>43383</v>
      </c>
      <c r="C571" t="s">
        <v>130</v>
      </c>
      <c r="D571" t="s">
        <v>29</v>
      </c>
      <c r="E571" t="s">
        <v>30</v>
      </c>
      <c r="F571" t="s">
        <v>46</v>
      </c>
      <c r="G571" t="s">
        <v>56</v>
      </c>
      <c r="H571" t="s">
        <v>55</v>
      </c>
      <c r="I571" t="s">
        <v>129</v>
      </c>
      <c r="J571" t="s">
        <v>65</v>
      </c>
      <c r="K571" s="2">
        <v>27795</v>
      </c>
      <c r="L571" t="s">
        <v>36</v>
      </c>
      <c r="M571" t="s">
        <v>37</v>
      </c>
      <c r="N571" t="s">
        <v>72</v>
      </c>
      <c r="O571" t="s">
        <v>61</v>
      </c>
      <c r="P571" t="s">
        <v>40</v>
      </c>
      <c r="Q571">
        <v>3</v>
      </c>
      <c r="R571" s="2">
        <v>45108</v>
      </c>
      <c r="S571">
        <v>5</v>
      </c>
      <c r="T571">
        <v>5</v>
      </c>
      <c r="U571">
        <v>4</v>
      </c>
      <c r="V571" s="1">
        <v>44810</v>
      </c>
      <c r="W571" t="s">
        <v>62</v>
      </c>
      <c r="X571" t="s">
        <v>42</v>
      </c>
      <c r="Y571" t="s">
        <v>63</v>
      </c>
      <c r="Z571">
        <v>1</v>
      </c>
      <c r="AA571">
        <v>770.84</v>
      </c>
      <c r="AB571">
        <v>42</v>
      </c>
    </row>
    <row r="572" spans="1:28" x14ac:dyDescent="0.2">
      <c r="A572">
        <v>1061</v>
      </c>
      <c r="B572" s="1">
        <v>44885</v>
      </c>
      <c r="C572" t="s">
        <v>130</v>
      </c>
      <c r="D572" t="s">
        <v>44</v>
      </c>
      <c r="E572" t="s">
        <v>30</v>
      </c>
      <c r="F572" t="s">
        <v>46</v>
      </c>
      <c r="G572" t="s">
        <v>32</v>
      </c>
      <c r="H572" t="s">
        <v>46</v>
      </c>
      <c r="I572" t="s">
        <v>129</v>
      </c>
      <c r="J572" t="s">
        <v>58</v>
      </c>
      <c r="K572" s="2">
        <v>34110</v>
      </c>
      <c r="L572" t="s">
        <v>36</v>
      </c>
      <c r="M572" t="s">
        <v>37</v>
      </c>
      <c r="N572" t="s">
        <v>60</v>
      </c>
      <c r="O572" t="s">
        <v>61</v>
      </c>
      <c r="P572" t="s">
        <v>40</v>
      </c>
      <c r="Q572">
        <v>3</v>
      </c>
      <c r="R572" s="2">
        <v>44962</v>
      </c>
      <c r="S572">
        <v>3</v>
      </c>
      <c r="T572">
        <v>3</v>
      </c>
      <c r="U572">
        <v>1</v>
      </c>
      <c r="V572" s="1">
        <v>45139</v>
      </c>
      <c r="W572" t="s">
        <v>62</v>
      </c>
      <c r="X572" t="s">
        <v>42</v>
      </c>
      <c r="Y572" t="s">
        <v>52</v>
      </c>
      <c r="Z572">
        <v>2</v>
      </c>
      <c r="AA572">
        <v>862.33</v>
      </c>
      <c r="AB572">
        <v>29</v>
      </c>
    </row>
    <row r="573" spans="1:28" x14ac:dyDescent="0.2">
      <c r="A573">
        <v>1062</v>
      </c>
      <c r="B573" s="1">
        <v>43603</v>
      </c>
      <c r="C573" t="s">
        <v>128</v>
      </c>
      <c r="D573" t="s">
        <v>69</v>
      </c>
      <c r="E573" t="s">
        <v>108</v>
      </c>
      <c r="F573" t="s">
        <v>46</v>
      </c>
      <c r="G573" t="s">
        <v>45</v>
      </c>
      <c r="H573" t="s">
        <v>46</v>
      </c>
      <c r="I573" t="s">
        <v>129</v>
      </c>
      <c r="J573" t="s">
        <v>79</v>
      </c>
      <c r="K573" s="2">
        <v>25510</v>
      </c>
      <c r="L573" t="s">
        <v>36</v>
      </c>
      <c r="M573" t="s">
        <v>48</v>
      </c>
      <c r="N573" t="s">
        <v>49</v>
      </c>
      <c r="O573" t="s">
        <v>67</v>
      </c>
      <c r="P573" t="s">
        <v>40</v>
      </c>
      <c r="Q573">
        <v>3</v>
      </c>
      <c r="R573" s="2">
        <v>44929</v>
      </c>
      <c r="S573">
        <v>3</v>
      </c>
      <c r="T573">
        <v>2</v>
      </c>
      <c r="U573">
        <v>1</v>
      </c>
      <c r="V573" s="1">
        <v>44892</v>
      </c>
      <c r="W573" t="s">
        <v>68</v>
      </c>
      <c r="X573" t="s">
        <v>42</v>
      </c>
      <c r="Y573" t="s">
        <v>43</v>
      </c>
      <c r="Z573">
        <v>5</v>
      </c>
      <c r="AA573">
        <v>702.84</v>
      </c>
      <c r="AB573">
        <v>50</v>
      </c>
    </row>
    <row r="574" spans="1:28" x14ac:dyDescent="0.2">
      <c r="A574">
        <v>1063</v>
      </c>
      <c r="B574" s="1">
        <v>44369</v>
      </c>
      <c r="C574" t="s">
        <v>128</v>
      </c>
      <c r="D574" t="s">
        <v>29</v>
      </c>
      <c r="E574" t="s">
        <v>30</v>
      </c>
      <c r="F574" t="s">
        <v>55</v>
      </c>
      <c r="G574" t="s">
        <v>56</v>
      </c>
      <c r="H574" t="s">
        <v>33</v>
      </c>
      <c r="I574" t="s">
        <v>129</v>
      </c>
      <c r="J574" t="s">
        <v>47</v>
      </c>
      <c r="K574" s="2">
        <v>16546</v>
      </c>
      <c r="L574" t="s">
        <v>36</v>
      </c>
      <c r="M574" t="s">
        <v>37</v>
      </c>
      <c r="N574" t="s">
        <v>72</v>
      </c>
      <c r="O574" t="s">
        <v>61</v>
      </c>
      <c r="P574" t="s">
        <v>40</v>
      </c>
      <c r="Q574">
        <v>3</v>
      </c>
      <c r="R574" s="2">
        <v>45132</v>
      </c>
      <c r="S574">
        <v>5</v>
      </c>
      <c r="T574">
        <v>2</v>
      </c>
      <c r="U574">
        <v>4</v>
      </c>
      <c r="V574" s="1">
        <v>44849</v>
      </c>
      <c r="W574" t="s">
        <v>68</v>
      </c>
      <c r="X574" t="s">
        <v>42</v>
      </c>
      <c r="Y574" t="s">
        <v>63</v>
      </c>
      <c r="Z574">
        <v>1</v>
      </c>
      <c r="AA574">
        <v>523.82000000000005</v>
      </c>
      <c r="AB574">
        <v>76</v>
      </c>
    </row>
    <row r="575" spans="1:28" x14ac:dyDescent="0.2">
      <c r="A575">
        <v>1064</v>
      </c>
      <c r="B575" s="1">
        <v>44650</v>
      </c>
      <c r="C575" t="s">
        <v>128</v>
      </c>
      <c r="D575" t="s">
        <v>85</v>
      </c>
      <c r="E575" t="s">
        <v>108</v>
      </c>
      <c r="F575" t="s">
        <v>46</v>
      </c>
      <c r="G575" t="s">
        <v>45</v>
      </c>
      <c r="H575" t="s">
        <v>46</v>
      </c>
      <c r="I575" t="s">
        <v>129</v>
      </c>
      <c r="J575" t="s">
        <v>70</v>
      </c>
      <c r="K575" s="2">
        <v>31832</v>
      </c>
      <c r="L575" t="s">
        <v>36</v>
      </c>
      <c r="M575" t="s">
        <v>48</v>
      </c>
      <c r="N575" t="s">
        <v>38</v>
      </c>
      <c r="O575" t="s">
        <v>77</v>
      </c>
      <c r="P575" t="s">
        <v>40</v>
      </c>
      <c r="Q575">
        <v>3</v>
      </c>
      <c r="R575" s="2">
        <v>44909</v>
      </c>
      <c r="S575">
        <v>5</v>
      </c>
      <c r="T575">
        <v>4</v>
      </c>
      <c r="U575">
        <v>4</v>
      </c>
      <c r="V575" s="1">
        <v>44840</v>
      </c>
      <c r="W575" t="s">
        <v>41</v>
      </c>
      <c r="X575" t="s">
        <v>51</v>
      </c>
      <c r="Y575" t="s">
        <v>73</v>
      </c>
      <c r="Z575">
        <v>1</v>
      </c>
      <c r="AA575">
        <v>819.86</v>
      </c>
      <c r="AB575">
        <v>35</v>
      </c>
    </row>
    <row r="576" spans="1:28" x14ac:dyDescent="0.2">
      <c r="A576">
        <v>1065</v>
      </c>
      <c r="B576" s="1">
        <v>43340</v>
      </c>
      <c r="C576" t="s">
        <v>128</v>
      </c>
      <c r="D576" t="s">
        <v>44</v>
      </c>
      <c r="E576" t="s">
        <v>30</v>
      </c>
      <c r="F576" t="s">
        <v>31</v>
      </c>
      <c r="G576" t="s">
        <v>32</v>
      </c>
      <c r="H576" t="s">
        <v>33</v>
      </c>
      <c r="I576" t="s">
        <v>129</v>
      </c>
      <c r="J576" t="s">
        <v>79</v>
      </c>
      <c r="K576" s="2">
        <v>34876</v>
      </c>
      <c r="L576" t="s">
        <v>36</v>
      </c>
      <c r="M576" t="s">
        <v>48</v>
      </c>
      <c r="N576" t="s">
        <v>60</v>
      </c>
      <c r="O576" t="s">
        <v>39</v>
      </c>
      <c r="P576" t="s">
        <v>40</v>
      </c>
      <c r="Q576">
        <v>3</v>
      </c>
      <c r="R576" s="2">
        <v>44946</v>
      </c>
      <c r="S576">
        <v>5</v>
      </c>
      <c r="T576">
        <v>3</v>
      </c>
      <c r="U576">
        <v>4</v>
      </c>
      <c r="V576" s="1">
        <v>44904</v>
      </c>
      <c r="W576" t="s">
        <v>68</v>
      </c>
      <c r="X576" t="s">
        <v>51</v>
      </c>
      <c r="Y576" t="s">
        <v>73</v>
      </c>
      <c r="Z576">
        <v>4</v>
      </c>
      <c r="AA576">
        <v>486.01</v>
      </c>
      <c r="AB576">
        <v>23</v>
      </c>
    </row>
    <row r="577" spans="1:28" x14ac:dyDescent="0.2">
      <c r="A577">
        <v>1066</v>
      </c>
      <c r="B577" s="1">
        <v>44557</v>
      </c>
      <c r="C577" t="s">
        <v>128</v>
      </c>
      <c r="D577" t="s">
        <v>87</v>
      </c>
      <c r="E577" t="s">
        <v>30</v>
      </c>
      <c r="F577" t="s">
        <v>55</v>
      </c>
      <c r="G577" t="s">
        <v>32</v>
      </c>
      <c r="H577" t="s">
        <v>33</v>
      </c>
      <c r="I577" t="s">
        <v>129</v>
      </c>
      <c r="J577" t="s">
        <v>102</v>
      </c>
      <c r="K577" s="2">
        <v>29699</v>
      </c>
      <c r="L577" t="s">
        <v>36</v>
      </c>
      <c r="M577" t="s">
        <v>48</v>
      </c>
      <c r="N577" t="s">
        <v>49</v>
      </c>
      <c r="O577" t="s">
        <v>61</v>
      </c>
      <c r="P577" t="s">
        <v>40</v>
      </c>
      <c r="Q577">
        <v>3</v>
      </c>
      <c r="R577" s="2">
        <v>45122</v>
      </c>
      <c r="S577">
        <v>4</v>
      </c>
      <c r="T577">
        <v>3</v>
      </c>
      <c r="U577">
        <v>5</v>
      </c>
      <c r="V577" s="1">
        <v>45091</v>
      </c>
      <c r="W577" t="s">
        <v>92</v>
      </c>
      <c r="X577" t="s">
        <v>42</v>
      </c>
      <c r="Y577" t="s">
        <v>63</v>
      </c>
      <c r="Z577">
        <v>5</v>
      </c>
      <c r="AA577">
        <v>769.42</v>
      </c>
      <c r="AB577">
        <v>40</v>
      </c>
    </row>
    <row r="578" spans="1:28" x14ac:dyDescent="0.2">
      <c r="A578">
        <v>1067</v>
      </c>
      <c r="B578" s="1">
        <v>44149</v>
      </c>
      <c r="C578" t="s">
        <v>128</v>
      </c>
      <c r="D578" t="s">
        <v>64</v>
      </c>
      <c r="E578" t="s">
        <v>30</v>
      </c>
      <c r="F578" t="s">
        <v>46</v>
      </c>
      <c r="G578" t="s">
        <v>45</v>
      </c>
      <c r="H578" t="s">
        <v>33</v>
      </c>
      <c r="I578" t="s">
        <v>129</v>
      </c>
      <c r="J578" t="s">
        <v>70</v>
      </c>
      <c r="K578" s="2">
        <v>17874</v>
      </c>
      <c r="L578" t="s">
        <v>36</v>
      </c>
      <c r="M578" t="s">
        <v>37</v>
      </c>
      <c r="N578" t="s">
        <v>38</v>
      </c>
      <c r="O578" t="s">
        <v>67</v>
      </c>
      <c r="P578" t="s">
        <v>40</v>
      </c>
      <c r="Q578">
        <v>3</v>
      </c>
      <c r="R578" s="2">
        <v>45087</v>
      </c>
      <c r="S578">
        <v>3</v>
      </c>
      <c r="T578">
        <v>2</v>
      </c>
      <c r="U578">
        <v>5</v>
      </c>
      <c r="V578" s="1">
        <v>45101</v>
      </c>
      <c r="W578" t="s">
        <v>62</v>
      </c>
      <c r="X578" t="s">
        <v>51</v>
      </c>
      <c r="Y578" t="s">
        <v>63</v>
      </c>
      <c r="Z578">
        <v>5</v>
      </c>
      <c r="AA578">
        <v>857.65</v>
      </c>
      <c r="AB578">
        <v>72</v>
      </c>
    </row>
    <row r="579" spans="1:28" x14ac:dyDescent="0.2">
      <c r="A579">
        <v>1068</v>
      </c>
      <c r="B579" s="1">
        <v>44470</v>
      </c>
      <c r="C579" t="s">
        <v>128</v>
      </c>
      <c r="D579" t="s">
        <v>94</v>
      </c>
      <c r="E579" t="s">
        <v>30</v>
      </c>
      <c r="F579" t="s">
        <v>55</v>
      </c>
      <c r="G579" t="s">
        <v>56</v>
      </c>
      <c r="H579" t="s">
        <v>46</v>
      </c>
      <c r="I579" t="s">
        <v>129</v>
      </c>
      <c r="J579" t="s">
        <v>101</v>
      </c>
      <c r="K579" s="2">
        <v>36153</v>
      </c>
      <c r="L579" t="s">
        <v>36</v>
      </c>
      <c r="M579" t="s">
        <v>37</v>
      </c>
      <c r="N579" t="s">
        <v>72</v>
      </c>
      <c r="O579" t="s">
        <v>39</v>
      </c>
      <c r="P579" t="s">
        <v>40</v>
      </c>
      <c r="Q579">
        <v>3</v>
      </c>
      <c r="R579" s="2">
        <v>44843</v>
      </c>
      <c r="S579">
        <v>3</v>
      </c>
      <c r="T579">
        <v>2</v>
      </c>
      <c r="U579">
        <v>2</v>
      </c>
      <c r="V579" s="1">
        <v>44871</v>
      </c>
      <c r="W579" t="s">
        <v>92</v>
      </c>
      <c r="X579" t="s">
        <v>51</v>
      </c>
      <c r="Y579" t="s">
        <v>63</v>
      </c>
      <c r="Z579">
        <v>1</v>
      </c>
      <c r="AA579">
        <v>238.27</v>
      </c>
      <c r="AB579">
        <v>23</v>
      </c>
    </row>
    <row r="580" spans="1:28" x14ac:dyDescent="0.2">
      <c r="A580">
        <v>1069</v>
      </c>
      <c r="B580" s="1">
        <v>43386</v>
      </c>
      <c r="C580" t="s">
        <v>130</v>
      </c>
      <c r="D580" t="s">
        <v>74</v>
      </c>
      <c r="E580" t="s">
        <v>30</v>
      </c>
      <c r="F580" t="s">
        <v>55</v>
      </c>
      <c r="G580" t="s">
        <v>56</v>
      </c>
      <c r="H580" t="s">
        <v>46</v>
      </c>
      <c r="I580" t="s">
        <v>129</v>
      </c>
      <c r="J580" t="s">
        <v>65</v>
      </c>
      <c r="K580" s="2">
        <v>27650</v>
      </c>
      <c r="L580" t="s">
        <v>36</v>
      </c>
      <c r="M580" t="s">
        <v>37</v>
      </c>
      <c r="N580" t="s">
        <v>60</v>
      </c>
      <c r="O580" t="s">
        <v>39</v>
      </c>
      <c r="P580" t="s">
        <v>40</v>
      </c>
      <c r="Q580">
        <v>3</v>
      </c>
      <c r="R580" s="2">
        <v>44961</v>
      </c>
      <c r="S580">
        <v>3</v>
      </c>
      <c r="T580">
        <v>1</v>
      </c>
      <c r="U580">
        <v>2</v>
      </c>
      <c r="V580" s="1">
        <v>44795</v>
      </c>
      <c r="W580" t="s">
        <v>92</v>
      </c>
      <c r="X580" t="s">
        <v>42</v>
      </c>
      <c r="Y580" t="s">
        <v>43</v>
      </c>
      <c r="Z580">
        <v>5</v>
      </c>
      <c r="AA580">
        <v>886.06</v>
      </c>
      <c r="AB580">
        <v>43</v>
      </c>
    </row>
    <row r="581" spans="1:28" x14ac:dyDescent="0.2">
      <c r="A581">
        <v>1070</v>
      </c>
      <c r="B581" s="1">
        <v>43449</v>
      </c>
      <c r="C581" t="s">
        <v>130</v>
      </c>
      <c r="D581" t="s">
        <v>81</v>
      </c>
      <c r="E581" t="s">
        <v>30</v>
      </c>
      <c r="F581" t="s">
        <v>55</v>
      </c>
      <c r="G581" t="s">
        <v>32</v>
      </c>
      <c r="H581" t="s">
        <v>33</v>
      </c>
      <c r="I581" t="s">
        <v>129</v>
      </c>
      <c r="J581" t="s">
        <v>58</v>
      </c>
      <c r="K581" s="2">
        <v>36103</v>
      </c>
      <c r="L581" t="s">
        <v>36</v>
      </c>
      <c r="M581" t="s">
        <v>48</v>
      </c>
      <c r="N581" t="s">
        <v>72</v>
      </c>
      <c r="O581" t="s">
        <v>67</v>
      </c>
      <c r="P581" t="s">
        <v>40</v>
      </c>
      <c r="Q581">
        <v>3</v>
      </c>
      <c r="R581" s="2">
        <v>44990</v>
      </c>
      <c r="S581">
        <v>3</v>
      </c>
      <c r="T581">
        <v>1</v>
      </c>
      <c r="U581">
        <v>2</v>
      </c>
      <c r="V581" s="1">
        <v>44940</v>
      </c>
      <c r="W581" t="s">
        <v>68</v>
      </c>
      <c r="X581" t="s">
        <v>42</v>
      </c>
      <c r="Y581" t="s">
        <v>43</v>
      </c>
      <c r="Z581">
        <v>1</v>
      </c>
      <c r="AA581">
        <v>943.8</v>
      </c>
      <c r="AB581">
        <v>20</v>
      </c>
    </row>
    <row r="582" spans="1:28" x14ac:dyDescent="0.2">
      <c r="A582">
        <v>1071</v>
      </c>
      <c r="B582" s="1">
        <v>43552</v>
      </c>
      <c r="C582" t="s">
        <v>128</v>
      </c>
      <c r="D582" t="s">
        <v>54</v>
      </c>
      <c r="E582" t="s">
        <v>108</v>
      </c>
      <c r="F582" t="s">
        <v>31</v>
      </c>
      <c r="G582" t="s">
        <v>45</v>
      </c>
      <c r="H582" t="s">
        <v>46</v>
      </c>
      <c r="I582" t="s">
        <v>129</v>
      </c>
      <c r="J582" t="s">
        <v>70</v>
      </c>
      <c r="K582" s="2">
        <v>25012</v>
      </c>
      <c r="L582" t="s">
        <v>36</v>
      </c>
      <c r="M582" t="s">
        <v>48</v>
      </c>
      <c r="N582" t="s">
        <v>72</v>
      </c>
      <c r="O582" t="s">
        <v>67</v>
      </c>
      <c r="P582" t="s">
        <v>40</v>
      </c>
      <c r="Q582">
        <v>3</v>
      </c>
      <c r="R582" s="2">
        <v>45061</v>
      </c>
      <c r="S582">
        <v>1</v>
      </c>
      <c r="T582">
        <v>2</v>
      </c>
      <c r="U582">
        <v>2</v>
      </c>
      <c r="V582" s="1">
        <v>45001</v>
      </c>
      <c r="W582" t="s">
        <v>92</v>
      </c>
      <c r="X582" t="s">
        <v>42</v>
      </c>
      <c r="Y582" t="s">
        <v>63</v>
      </c>
      <c r="Z582">
        <v>5</v>
      </c>
      <c r="AA582">
        <v>234.26</v>
      </c>
      <c r="AB582">
        <v>51</v>
      </c>
    </row>
    <row r="583" spans="1:28" x14ac:dyDescent="0.2">
      <c r="A583">
        <v>1072</v>
      </c>
      <c r="B583" s="1">
        <v>43461</v>
      </c>
      <c r="C583" t="s">
        <v>128</v>
      </c>
      <c r="D583" t="s">
        <v>69</v>
      </c>
      <c r="E583" t="s">
        <v>30</v>
      </c>
      <c r="F583" t="s">
        <v>46</v>
      </c>
      <c r="G583" t="s">
        <v>32</v>
      </c>
      <c r="H583" t="s">
        <v>46</v>
      </c>
      <c r="I583" t="s">
        <v>129</v>
      </c>
      <c r="J583" t="s">
        <v>70</v>
      </c>
      <c r="K583" s="2">
        <v>28145</v>
      </c>
      <c r="L583" t="s">
        <v>36</v>
      </c>
      <c r="M583" t="s">
        <v>37</v>
      </c>
      <c r="N583" t="s">
        <v>84</v>
      </c>
      <c r="O583" t="s">
        <v>39</v>
      </c>
      <c r="P583" t="s">
        <v>40</v>
      </c>
      <c r="Q583">
        <v>3</v>
      </c>
      <c r="R583" s="2">
        <v>44975</v>
      </c>
      <c r="S583">
        <v>2</v>
      </c>
      <c r="T583">
        <v>2</v>
      </c>
      <c r="U583">
        <v>3</v>
      </c>
      <c r="V583" s="1">
        <v>45065</v>
      </c>
      <c r="W583" t="s">
        <v>68</v>
      </c>
      <c r="X583" t="s">
        <v>42</v>
      </c>
      <c r="Y583" t="s">
        <v>73</v>
      </c>
      <c r="Z583">
        <v>5</v>
      </c>
      <c r="AA583">
        <v>179.91</v>
      </c>
      <c r="AB583">
        <v>41</v>
      </c>
    </row>
    <row r="584" spans="1:28" x14ac:dyDescent="0.2">
      <c r="A584">
        <v>1073</v>
      </c>
      <c r="B584" s="1">
        <v>43596</v>
      </c>
      <c r="C584" t="s">
        <v>128</v>
      </c>
      <c r="D584" t="s">
        <v>29</v>
      </c>
      <c r="E584" t="s">
        <v>30</v>
      </c>
      <c r="F584" t="s">
        <v>55</v>
      </c>
      <c r="G584" t="s">
        <v>45</v>
      </c>
      <c r="H584" t="s">
        <v>55</v>
      </c>
      <c r="I584" t="s">
        <v>129</v>
      </c>
      <c r="J584" t="s">
        <v>70</v>
      </c>
      <c r="K584" s="2">
        <v>36062</v>
      </c>
      <c r="L584" t="s">
        <v>36</v>
      </c>
      <c r="M584" t="s">
        <v>48</v>
      </c>
      <c r="N584" t="s">
        <v>38</v>
      </c>
      <c r="O584" t="s">
        <v>61</v>
      </c>
      <c r="P584" t="s">
        <v>40</v>
      </c>
      <c r="Q584">
        <v>3</v>
      </c>
      <c r="R584" s="2">
        <v>44973</v>
      </c>
      <c r="S584">
        <v>4</v>
      </c>
      <c r="T584">
        <v>4</v>
      </c>
      <c r="U584">
        <v>2</v>
      </c>
      <c r="V584" s="1">
        <v>44837</v>
      </c>
      <c r="W584" t="s">
        <v>62</v>
      </c>
      <c r="X584" t="s">
        <v>42</v>
      </c>
      <c r="Y584" t="s">
        <v>43</v>
      </c>
      <c r="Z584">
        <v>4</v>
      </c>
      <c r="AA584">
        <v>306.3</v>
      </c>
      <c r="AB584">
        <v>21</v>
      </c>
    </row>
    <row r="585" spans="1:28" x14ac:dyDescent="0.2">
      <c r="A585">
        <v>1074</v>
      </c>
      <c r="B585" s="1">
        <v>44246</v>
      </c>
      <c r="C585" t="s">
        <v>128</v>
      </c>
      <c r="D585" t="s">
        <v>85</v>
      </c>
      <c r="E585" t="s">
        <v>108</v>
      </c>
      <c r="F585" t="s">
        <v>55</v>
      </c>
      <c r="G585" t="s">
        <v>45</v>
      </c>
      <c r="H585" t="s">
        <v>33</v>
      </c>
      <c r="I585" t="s">
        <v>129</v>
      </c>
      <c r="J585" t="s">
        <v>65</v>
      </c>
      <c r="K585" s="2">
        <v>30505</v>
      </c>
      <c r="L585" t="s">
        <v>36</v>
      </c>
      <c r="M585" t="s">
        <v>48</v>
      </c>
      <c r="N585" t="s">
        <v>84</v>
      </c>
      <c r="O585" t="s">
        <v>77</v>
      </c>
      <c r="P585" t="s">
        <v>40</v>
      </c>
      <c r="Q585">
        <v>3</v>
      </c>
      <c r="R585" s="2">
        <v>44967</v>
      </c>
      <c r="S585">
        <v>3</v>
      </c>
      <c r="T585">
        <v>4</v>
      </c>
      <c r="U585">
        <v>1</v>
      </c>
      <c r="V585" s="1">
        <v>45114</v>
      </c>
      <c r="W585" t="s">
        <v>62</v>
      </c>
      <c r="X585" t="s">
        <v>42</v>
      </c>
      <c r="Y585" t="s">
        <v>73</v>
      </c>
      <c r="Z585">
        <v>5</v>
      </c>
      <c r="AA585">
        <v>103.42</v>
      </c>
      <c r="AB585">
        <v>38</v>
      </c>
    </row>
    <row r="586" spans="1:28" x14ac:dyDescent="0.2">
      <c r="A586">
        <v>1075</v>
      </c>
      <c r="B586" s="1">
        <v>44870</v>
      </c>
      <c r="C586" t="s">
        <v>128</v>
      </c>
      <c r="D586" t="s">
        <v>44</v>
      </c>
      <c r="E586" t="s">
        <v>30</v>
      </c>
      <c r="F586" t="s">
        <v>46</v>
      </c>
      <c r="G586" t="s">
        <v>56</v>
      </c>
      <c r="H586" t="s">
        <v>55</v>
      </c>
      <c r="I586" t="s">
        <v>129</v>
      </c>
      <c r="J586" t="s">
        <v>79</v>
      </c>
      <c r="K586" s="2">
        <v>24951</v>
      </c>
      <c r="L586" t="s">
        <v>36</v>
      </c>
      <c r="M586" t="s">
        <v>48</v>
      </c>
      <c r="N586" t="s">
        <v>84</v>
      </c>
      <c r="O586" t="s">
        <v>67</v>
      </c>
      <c r="P586" t="s">
        <v>40</v>
      </c>
      <c r="Q586">
        <v>3</v>
      </c>
      <c r="R586" s="2">
        <v>45026</v>
      </c>
      <c r="S586">
        <v>1</v>
      </c>
      <c r="T586">
        <v>2</v>
      </c>
      <c r="U586">
        <v>3</v>
      </c>
      <c r="V586" s="1">
        <v>45062</v>
      </c>
      <c r="W586" t="s">
        <v>62</v>
      </c>
      <c r="X586" t="s">
        <v>42</v>
      </c>
      <c r="Y586" t="s">
        <v>73</v>
      </c>
      <c r="Z586">
        <v>4</v>
      </c>
      <c r="AA586">
        <v>573.29</v>
      </c>
      <c r="AB586">
        <v>54</v>
      </c>
    </row>
    <row r="587" spans="1:28" x14ac:dyDescent="0.2">
      <c r="A587">
        <v>1076</v>
      </c>
      <c r="B587" s="1">
        <v>43912</v>
      </c>
      <c r="C587" t="s">
        <v>128</v>
      </c>
      <c r="D587" t="s">
        <v>87</v>
      </c>
      <c r="E587" t="s">
        <v>30</v>
      </c>
      <c r="F587" t="s">
        <v>31</v>
      </c>
      <c r="G587" t="s">
        <v>32</v>
      </c>
      <c r="H587" t="s">
        <v>46</v>
      </c>
      <c r="I587" t="s">
        <v>129</v>
      </c>
      <c r="J587" t="s">
        <v>75</v>
      </c>
      <c r="K587" s="2">
        <v>15734</v>
      </c>
      <c r="L587" t="s">
        <v>36</v>
      </c>
      <c r="M587" t="s">
        <v>37</v>
      </c>
      <c r="N587" t="s">
        <v>38</v>
      </c>
      <c r="O587" t="s">
        <v>39</v>
      </c>
      <c r="P587" t="s">
        <v>40</v>
      </c>
      <c r="Q587">
        <v>3</v>
      </c>
      <c r="R587" s="2">
        <v>45027</v>
      </c>
      <c r="S587">
        <v>1</v>
      </c>
      <c r="T587">
        <v>3</v>
      </c>
      <c r="U587">
        <v>1</v>
      </c>
      <c r="V587" s="1">
        <v>44872</v>
      </c>
      <c r="W587" t="s">
        <v>68</v>
      </c>
      <c r="X587" t="s">
        <v>51</v>
      </c>
      <c r="Y587" t="s">
        <v>52</v>
      </c>
      <c r="Z587">
        <v>4</v>
      </c>
      <c r="AA587">
        <v>619.61</v>
      </c>
      <c r="AB587">
        <v>77</v>
      </c>
    </row>
    <row r="588" spans="1:28" x14ac:dyDescent="0.2">
      <c r="A588">
        <v>1077</v>
      </c>
      <c r="B588" s="1">
        <v>43498</v>
      </c>
      <c r="C588" t="s">
        <v>128</v>
      </c>
      <c r="D588" t="s">
        <v>64</v>
      </c>
      <c r="E588" t="s">
        <v>30</v>
      </c>
      <c r="F588" t="s">
        <v>31</v>
      </c>
      <c r="G588" t="s">
        <v>56</v>
      </c>
      <c r="H588" t="s">
        <v>33</v>
      </c>
      <c r="I588" t="s">
        <v>129</v>
      </c>
      <c r="J588" t="s">
        <v>103</v>
      </c>
      <c r="K588" s="2">
        <v>33734</v>
      </c>
      <c r="L588" t="s">
        <v>36</v>
      </c>
      <c r="M588" t="s">
        <v>37</v>
      </c>
      <c r="N588" t="s">
        <v>72</v>
      </c>
      <c r="O588" t="s">
        <v>61</v>
      </c>
      <c r="P588" t="s">
        <v>40</v>
      </c>
      <c r="Q588">
        <v>3</v>
      </c>
      <c r="R588" s="2">
        <v>44846</v>
      </c>
      <c r="S588">
        <v>5</v>
      </c>
      <c r="T588">
        <v>2</v>
      </c>
      <c r="U588">
        <v>4</v>
      </c>
      <c r="V588" s="1">
        <v>44916</v>
      </c>
      <c r="W588" t="s">
        <v>62</v>
      </c>
      <c r="X588" t="s">
        <v>42</v>
      </c>
      <c r="Y588" t="s">
        <v>52</v>
      </c>
      <c r="Z588">
        <v>1</v>
      </c>
      <c r="AA588">
        <v>947.17</v>
      </c>
      <c r="AB588">
        <v>27</v>
      </c>
    </row>
    <row r="589" spans="1:28" x14ac:dyDescent="0.2">
      <c r="A589">
        <v>1078</v>
      </c>
      <c r="B589" s="1">
        <v>43885</v>
      </c>
      <c r="C589" t="s">
        <v>128</v>
      </c>
      <c r="D589" t="s">
        <v>94</v>
      </c>
      <c r="E589" t="s">
        <v>30</v>
      </c>
      <c r="F589" t="s">
        <v>31</v>
      </c>
      <c r="G589" t="s">
        <v>32</v>
      </c>
      <c r="H589" t="s">
        <v>33</v>
      </c>
      <c r="I589" t="s">
        <v>129</v>
      </c>
      <c r="J589" t="s">
        <v>47</v>
      </c>
      <c r="K589" s="2">
        <v>35508</v>
      </c>
      <c r="L589" t="s">
        <v>36</v>
      </c>
      <c r="M589" t="s">
        <v>37</v>
      </c>
      <c r="N589" t="s">
        <v>84</v>
      </c>
      <c r="O589" t="s">
        <v>77</v>
      </c>
      <c r="P589" t="s">
        <v>40</v>
      </c>
      <c r="Q589">
        <v>3</v>
      </c>
      <c r="R589" s="2">
        <v>45135</v>
      </c>
      <c r="S589">
        <v>3</v>
      </c>
      <c r="T589">
        <v>3</v>
      </c>
      <c r="U589">
        <v>4</v>
      </c>
      <c r="V589" s="1">
        <v>45009</v>
      </c>
      <c r="W589" t="s">
        <v>62</v>
      </c>
      <c r="X589" t="s">
        <v>51</v>
      </c>
      <c r="Y589" t="s">
        <v>73</v>
      </c>
      <c r="Z589">
        <v>1</v>
      </c>
      <c r="AA589">
        <v>597.64</v>
      </c>
      <c r="AB589">
        <v>23</v>
      </c>
    </row>
    <row r="590" spans="1:28" x14ac:dyDescent="0.2">
      <c r="A590">
        <v>1079</v>
      </c>
      <c r="B590" s="1">
        <v>44293</v>
      </c>
      <c r="C590" t="s">
        <v>130</v>
      </c>
      <c r="D590" t="s">
        <v>74</v>
      </c>
      <c r="E590" t="s">
        <v>30</v>
      </c>
      <c r="F590" t="s">
        <v>46</v>
      </c>
      <c r="G590" t="s">
        <v>56</v>
      </c>
      <c r="H590" t="s">
        <v>55</v>
      </c>
      <c r="I590" t="s">
        <v>129</v>
      </c>
      <c r="J590" t="s">
        <v>99</v>
      </c>
      <c r="K590" s="2">
        <v>36627</v>
      </c>
      <c r="L590" t="s">
        <v>36</v>
      </c>
      <c r="M590" t="s">
        <v>37</v>
      </c>
      <c r="N590" t="s">
        <v>49</v>
      </c>
      <c r="O590" t="s">
        <v>77</v>
      </c>
      <c r="P590" t="s">
        <v>40</v>
      </c>
      <c r="Q590">
        <v>3</v>
      </c>
      <c r="R590" s="2">
        <v>44842</v>
      </c>
      <c r="S590">
        <v>2</v>
      </c>
      <c r="T590">
        <v>2</v>
      </c>
      <c r="U590">
        <v>1</v>
      </c>
      <c r="V590" s="1">
        <v>45031</v>
      </c>
      <c r="W590" t="s">
        <v>92</v>
      </c>
      <c r="X590" t="s">
        <v>51</v>
      </c>
      <c r="Y590" t="s">
        <v>52</v>
      </c>
      <c r="Z590">
        <v>5</v>
      </c>
      <c r="AA590">
        <v>861.1</v>
      </c>
      <c r="AB590">
        <v>21</v>
      </c>
    </row>
    <row r="591" spans="1:28" x14ac:dyDescent="0.2">
      <c r="A591">
        <v>1080</v>
      </c>
      <c r="B591" s="1">
        <v>44149</v>
      </c>
      <c r="C591" t="s">
        <v>130</v>
      </c>
      <c r="D591" t="s">
        <v>81</v>
      </c>
      <c r="E591" t="s">
        <v>30</v>
      </c>
      <c r="F591" t="s">
        <v>46</v>
      </c>
      <c r="G591" t="s">
        <v>32</v>
      </c>
      <c r="H591" t="s">
        <v>55</v>
      </c>
      <c r="I591" t="s">
        <v>129</v>
      </c>
      <c r="J591" t="s">
        <v>97</v>
      </c>
      <c r="K591" s="2">
        <v>32359</v>
      </c>
      <c r="L591" t="s">
        <v>36</v>
      </c>
      <c r="M591" t="s">
        <v>48</v>
      </c>
      <c r="N591" t="s">
        <v>72</v>
      </c>
      <c r="O591" t="s">
        <v>39</v>
      </c>
      <c r="P591" t="s">
        <v>40</v>
      </c>
      <c r="Q591">
        <v>3</v>
      </c>
      <c r="R591" s="2">
        <v>44989</v>
      </c>
      <c r="S591">
        <v>3</v>
      </c>
      <c r="T591">
        <v>1</v>
      </c>
      <c r="U591">
        <v>3</v>
      </c>
      <c r="V591" s="1">
        <v>45038</v>
      </c>
      <c r="W591" t="s">
        <v>50</v>
      </c>
      <c r="X591" t="s">
        <v>51</v>
      </c>
      <c r="Y591" t="s">
        <v>73</v>
      </c>
      <c r="Z591">
        <v>4</v>
      </c>
      <c r="AA591">
        <v>199.14</v>
      </c>
      <c r="AB591">
        <v>32</v>
      </c>
    </row>
    <row r="592" spans="1:28" x14ac:dyDescent="0.2">
      <c r="A592">
        <v>1081</v>
      </c>
      <c r="B592" s="1">
        <v>44578</v>
      </c>
      <c r="C592" t="s">
        <v>128</v>
      </c>
      <c r="D592" t="s">
        <v>44</v>
      </c>
      <c r="E592" t="s">
        <v>108</v>
      </c>
      <c r="F592" t="s">
        <v>31</v>
      </c>
      <c r="G592" t="s">
        <v>56</v>
      </c>
      <c r="H592" t="s">
        <v>46</v>
      </c>
      <c r="I592" t="s">
        <v>129</v>
      </c>
      <c r="J592" t="s">
        <v>65</v>
      </c>
      <c r="K592" s="2">
        <v>23978</v>
      </c>
      <c r="L592" t="s">
        <v>36</v>
      </c>
      <c r="M592" t="s">
        <v>48</v>
      </c>
      <c r="N592" t="s">
        <v>84</v>
      </c>
      <c r="O592" t="s">
        <v>77</v>
      </c>
      <c r="P592" t="s">
        <v>40</v>
      </c>
      <c r="Q592">
        <v>3</v>
      </c>
      <c r="R592" s="2">
        <v>44988</v>
      </c>
      <c r="S592">
        <v>1</v>
      </c>
      <c r="T592">
        <v>3</v>
      </c>
      <c r="U592">
        <v>3</v>
      </c>
      <c r="V592" s="1">
        <v>45082</v>
      </c>
      <c r="W592" t="s">
        <v>92</v>
      </c>
      <c r="X592" t="s">
        <v>51</v>
      </c>
      <c r="Y592" t="s">
        <v>43</v>
      </c>
      <c r="Z592">
        <v>3</v>
      </c>
      <c r="AA592">
        <v>526.08000000000004</v>
      </c>
      <c r="AB592">
        <v>57</v>
      </c>
    </row>
    <row r="593" spans="1:28" x14ac:dyDescent="0.2">
      <c r="A593">
        <v>1082</v>
      </c>
      <c r="B593" s="1">
        <v>44441</v>
      </c>
      <c r="C593" t="s">
        <v>128</v>
      </c>
      <c r="D593" t="s">
        <v>87</v>
      </c>
      <c r="E593" t="s">
        <v>30</v>
      </c>
      <c r="F593" t="s">
        <v>46</v>
      </c>
      <c r="G593" t="s">
        <v>56</v>
      </c>
      <c r="H593" t="s">
        <v>46</v>
      </c>
      <c r="I593" t="s">
        <v>129</v>
      </c>
      <c r="J593" t="s">
        <v>65</v>
      </c>
      <c r="K593" s="2">
        <v>27822</v>
      </c>
      <c r="L593" t="s">
        <v>36</v>
      </c>
      <c r="M593" t="s">
        <v>48</v>
      </c>
      <c r="N593" t="s">
        <v>60</v>
      </c>
      <c r="O593" t="s">
        <v>67</v>
      </c>
      <c r="P593" t="s">
        <v>40</v>
      </c>
      <c r="Q593">
        <v>3</v>
      </c>
      <c r="R593" s="2">
        <v>44984</v>
      </c>
      <c r="S593">
        <v>1</v>
      </c>
      <c r="T593">
        <v>4</v>
      </c>
      <c r="U593">
        <v>1</v>
      </c>
      <c r="V593" s="1">
        <v>45038</v>
      </c>
      <c r="W593" t="s">
        <v>50</v>
      </c>
      <c r="X593" t="s">
        <v>51</v>
      </c>
      <c r="Y593" t="s">
        <v>52</v>
      </c>
      <c r="Z593">
        <v>5</v>
      </c>
      <c r="AA593">
        <v>662.15</v>
      </c>
      <c r="AB593">
        <v>45</v>
      </c>
    </row>
    <row r="594" spans="1:28" x14ac:dyDescent="0.2">
      <c r="A594">
        <v>1083</v>
      </c>
      <c r="B594" s="1">
        <v>45137</v>
      </c>
      <c r="C594" t="s">
        <v>128</v>
      </c>
      <c r="D594" t="s">
        <v>81</v>
      </c>
      <c r="E594" t="s">
        <v>30</v>
      </c>
      <c r="F594" t="s">
        <v>46</v>
      </c>
      <c r="G594" t="s">
        <v>45</v>
      </c>
      <c r="H594" t="s">
        <v>55</v>
      </c>
      <c r="I594" t="s">
        <v>129</v>
      </c>
      <c r="J594" t="s">
        <v>47</v>
      </c>
      <c r="K594" s="2">
        <v>23020</v>
      </c>
      <c r="L594" t="s">
        <v>36</v>
      </c>
      <c r="M594" t="s">
        <v>37</v>
      </c>
      <c r="N594" t="s">
        <v>84</v>
      </c>
      <c r="O594" t="s">
        <v>77</v>
      </c>
      <c r="P594" t="s">
        <v>40</v>
      </c>
      <c r="Q594">
        <v>3</v>
      </c>
      <c r="R594" s="2">
        <v>44935</v>
      </c>
      <c r="S594">
        <v>5</v>
      </c>
      <c r="T594">
        <v>5</v>
      </c>
      <c r="U594">
        <v>3</v>
      </c>
      <c r="V594" s="1">
        <v>44883</v>
      </c>
      <c r="W594" t="s">
        <v>62</v>
      </c>
      <c r="X594" t="s">
        <v>51</v>
      </c>
      <c r="Y594" t="s">
        <v>63</v>
      </c>
      <c r="Z594">
        <v>4</v>
      </c>
      <c r="AA594">
        <v>869.89</v>
      </c>
      <c r="AB594">
        <v>60</v>
      </c>
    </row>
    <row r="595" spans="1:28" x14ac:dyDescent="0.2">
      <c r="A595">
        <v>1084</v>
      </c>
      <c r="B595" s="1">
        <v>45104</v>
      </c>
      <c r="C595" t="s">
        <v>128</v>
      </c>
      <c r="D595" t="s">
        <v>54</v>
      </c>
      <c r="E595" t="s">
        <v>30</v>
      </c>
      <c r="F595" t="s">
        <v>31</v>
      </c>
      <c r="G595" t="s">
        <v>32</v>
      </c>
      <c r="H595" t="s">
        <v>46</v>
      </c>
      <c r="I595" t="s">
        <v>129</v>
      </c>
      <c r="J595" t="s">
        <v>82</v>
      </c>
      <c r="K595" s="2">
        <v>32732</v>
      </c>
      <c r="L595" t="s">
        <v>36</v>
      </c>
      <c r="M595" t="s">
        <v>48</v>
      </c>
      <c r="N595" t="s">
        <v>38</v>
      </c>
      <c r="O595" t="s">
        <v>61</v>
      </c>
      <c r="P595" t="s">
        <v>40</v>
      </c>
      <c r="Q595">
        <v>3</v>
      </c>
      <c r="R595" s="2">
        <v>44976</v>
      </c>
      <c r="S595">
        <v>1</v>
      </c>
      <c r="T595">
        <v>2</v>
      </c>
      <c r="U595">
        <v>4</v>
      </c>
      <c r="V595" s="1">
        <v>44912</v>
      </c>
      <c r="W595" t="s">
        <v>41</v>
      </c>
      <c r="X595" t="s">
        <v>51</v>
      </c>
      <c r="Y595" t="s">
        <v>63</v>
      </c>
      <c r="Z595">
        <v>3</v>
      </c>
      <c r="AA595">
        <v>295.39999999999998</v>
      </c>
      <c r="AB595">
        <v>34</v>
      </c>
    </row>
    <row r="596" spans="1:28" x14ac:dyDescent="0.2">
      <c r="A596">
        <v>1085</v>
      </c>
      <c r="B596" s="1">
        <v>44647</v>
      </c>
      <c r="C596" t="s">
        <v>128</v>
      </c>
      <c r="D596" t="s">
        <v>94</v>
      </c>
      <c r="E596" t="s">
        <v>30</v>
      </c>
      <c r="F596" t="s">
        <v>31</v>
      </c>
      <c r="G596" t="s">
        <v>56</v>
      </c>
      <c r="H596" t="s">
        <v>55</v>
      </c>
      <c r="I596" t="s">
        <v>129</v>
      </c>
      <c r="J596" t="s">
        <v>65</v>
      </c>
      <c r="K596" s="2">
        <v>19063</v>
      </c>
      <c r="L596" t="s">
        <v>36</v>
      </c>
      <c r="M596" t="s">
        <v>48</v>
      </c>
      <c r="N596" t="s">
        <v>60</v>
      </c>
      <c r="O596" t="s">
        <v>77</v>
      </c>
      <c r="P596" t="s">
        <v>40</v>
      </c>
      <c r="Q596">
        <v>3</v>
      </c>
      <c r="R596" s="2">
        <v>44935</v>
      </c>
      <c r="S596">
        <v>5</v>
      </c>
      <c r="T596">
        <v>5</v>
      </c>
      <c r="U596">
        <v>3</v>
      </c>
      <c r="V596" s="1">
        <v>44866</v>
      </c>
      <c r="W596" t="s">
        <v>50</v>
      </c>
      <c r="X596" t="s">
        <v>51</v>
      </c>
      <c r="Y596" t="s">
        <v>73</v>
      </c>
      <c r="Z596">
        <v>5</v>
      </c>
      <c r="AA596">
        <v>993.13</v>
      </c>
      <c r="AB596">
        <v>70</v>
      </c>
    </row>
    <row r="597" spans="1:28" x14ac:dyDescent="0.2">
      <c r="A597">
        <v>1086</v>
      </c>
      <c r="B597" s="1">
        <v>44785</v>
      </c>
      <c r="C597" t="s">
        <v>128</v>
      </c>
      <c r="D597" t="s">
        <v>85</v>
      </c>
      <c r="E597" t="s">
        <v>30</v>
      </c>
      <c r="F597" t="s">
        <v>31</v>
      </c>
      <c r="G597" t="s">
        <v>45</v>
      </c>
      <c r="H597" t="s">
        <v>33</v>
      </c>
      <c r="I597" t="s">
        <v>129</v>
      </c>
      <c r="J597" t="s">
        <v>70</v>
      </c>
      <c r="K597" s="2">
        <v>26875</v>
      </c>
      <c r="L597" t="s">
        <v>36</v>
      </c>
      <c r="M597" t="s">
        <v>37</v>
      </c>
      <c r="N597" t="s">
        <v>72</v>
      </c>
      <c r="O597" t="s">
        <v>61</v>
      </c>
      <c r="P597" t="s">
        <v>40</v>
      </c>
      <c r="Q597">
        <v>3</v>
      </c>
      <c r="R597" s="2">
        <v>44999</v>
      </c>
      <c r="S597">
        <v>1</v>
      </c>
      <c r="T597">
        <v>1</v>
      </c>
      <c r="U597">
        <v>5</v>
      </c>
      <c r="V597" s="1">
        <v>45122</v>
      </c>
      <c r="W597" t="s">
        <v>41</v>
      </c>
      <c r="X597" t="s">
        <v>51</v>
      </c>
      <c r="Y597" t="s">
        <v>63</v>
      </c>
      <c r="Z597">
        <v>2</v>
      </c>
      <c r="AA597">
        <v>641.69000000000005</v>
      </c>
      <c r="AB597">
        <v>49</v>
      </c>
    </row>
    <row r="598" spans="1:28" x14ac:dyDescent="0.2">
      <c r="A598">
        <v>1087</v>
      </c>
      <c r="B598" s="1">
        <v>44750</v>
      </c>
      <c r="C598" t="s">
        <v>128</v>
      </c>
      <c r="D598" t="s">
        <v>64</v>
      </c>
      <c r="E598" t="s">
        <v>30</v>
      </c>
      <c r="F598" t="s">
        <v>46</v>
      </c>
      <c r="G598" t="s">
        <v>45</v>
      </c>
      <c r="H598" t="s">
        <v>46</v>
      </c>
      <c r="I598" t="s">
        <v>129</v>
      </c>
      <c r="J598" t="s">
        <v>70</v>
      </c>
      <c r="K598" s="2">
        <v>27246</v>
      </c>
      <c r="L598" t="s">
        <v>36</v>
      </c>
      <c r="M598" t="s">
        <v>37</v>
      </c>
      <c r="N598" t="s">
        <v>60</v>
      </c>
      <c r="O598" t="s">
        <v>67</v>
      </c>
      <c r="P598" t="s">
        <v>40</v>
      </c>
      <c r="Q598">
        <v>3</v>
      </c>
      <c r="R598" s="2">
        <v>45049</v>
      </c>
      <c r="S598">
        <v>1</v>
      </c>
      <c r="T598">
        <v>5</v>
      </c>
      <c r="U598">
        <v>2</v>
      </c>
      <c r="V598" s="1">
        <v>45056</v>
      </c>
      <c r="W598" t="s">
        <v>68</v>
      </c>
      <c r="X598" t="s">
        <v>42</v>
      </c>
      <c r="Y598" t="s">
        <v>52</v>
      </c>
      <c r="Z598">
        <v>5</v>
      </c>
      <c r="AA598">
        <v>197.34</v>
      </c>
      <c r="AB598">
        <v>48</v>
      </c>
    </row>
    <row r="599" spans="1:28" x14ac:dyDescent="0.2">
      <c r="A599">
        <v>1088</v>
      </c>
      <c r="B599" s="1">
        <v>44058</v>
      </c>
      <c r="C599" t="s">
        <v>128</v>
      </c>
      <c r="D599" t="s">
        <v>74</v>
      </c>
      <c r="E599" t="s">
        <v>30</v>
      </c>
      <c r="F599" t="s">
        <v>31</v>
      </c>
      <c r="G599" t="s">
        <v>56</v>
      </c>
      <c r="H599" t="s">
        <v>46</v>
      </c>
      <c r="I599" t="s">
        <v>129</v>
      </c>
      <c r="J599" t="s">
        <v>65</v>
      </c>
      <c r="K599" s="2">
        <v>33336</v>
      </c>
      <c r="L599" t="s">
        <v>36</v>
      </c>
      <c r="M599" t="s">
        <v>37</v>
      </c>
      <c r="N599" t="s">
        <v>38</v>
      </c>
      <c r="O599" t="s">
        <v>39</v>
      </c>
      <c r="P599" t="s">
        <v>40</v>
      </c>
      <c r="Q599">
        <v>3</v>
      </c>
      <c r="R599" s="2">
        <v>45036</v>
      </c>
      <c r="S599">
        <v>4</v>
      </c>
      <c r="T599">
        <v>3</v>
      </c>
      <c r="U599">
        <v>1</v>
      </c>
      <c r="V599" s="1">
        <v>45063</v>
      </c>
      <c r="W599" t="s">
        <v>41</v>
      </c>
      <c r="X599" t="s">
        <v>51</v>
      </c>
      <c r="Y599" t="s">
        <v>43</v>
      </c>
      <c r="Z599">
        <v>2</v>
      </c>
      <c r="AA599">
        <v>235.15</v>
      </c>
      <c r="AB599">
        <v>29</v>
      </c>
    </row>
    <row r="600" spans="1:28" x14ac:dyDescent="0.2">
      <c r="A600">
        <v>1089</v>
      </c>
      <c r="B600" s="1">
        <v>45073</v>
      </c>
      <c r="C600" t="s">
        <v>128</v>
      </c>
      <c r="D600" t="s">
        <v>69</v>
      </c>
      <c r="E600" t="s">
        <v>30</v>
      </c>
      <c r="F600" t="s">
        <v>55</v>
      </c>
      <c r="G600" t="s">
        <v>45</v>
      </c>
      <c r="H600" t="s">
        <v>33</v>
      </c>
      <c r="I600" t="s">
        <v>129</v>
      </c>
      <c r="J600" t="s">
        <v>101</v>
      </c>
      <c r="K600" s="2">
        <v>19478</v>
      </c>
      <c r="L600" t="s">
        <v>36</v>
      </c>
      <c r="M600" t="s">
        <v>37</v>
      </c>
      <c r="N600" t="s">
        <v>72</v>
      </c>
      <c r="O600" t="s">
        <v>67</v>
      </c>
      <c r="P600" t="s">
        <v>40</v>
      </c>
      <c r="Q600">
        <v>3</v>
      </c>
      <c r="R600" s="2">
        <v>45035</v>
      </c>
      <c r="S600">
        <v>3</v>
      </c>
      <c r="T600">
        <v>1</v>
      </c>
      <c r="U600">
        <v>5</v>
      </c>
      <c r="V600" s="1">
        <v>45073</v>
      </c>
      <c r="W600" t="s">
        <v>68</v>
      </c>
      <c r="X600" t="s">
        <v>42</v>
      </c>
      <c r="Y600" t="s">
        <v>73</v>
      </c>
      <c r="Z600">
        <v>2</v>
      </c>
      <c r="AA600">
        <v>697.28</v>
      </c>
      <c r="AB600">
        <v>70</v>
      </c>
    </row>
    <row r="601" spans="1:28" x14ac:dyDescent="0.2">
      <c r="A601">
        <v>1090</v>
      </c>
      <c r="B601" s="1">
        <v>44928</v>
      </c>
      <c r="C601" t="s">
        <v>130</v>
      </c>
      <c r="D601" t="s">
        <v>29</v>
      </c>
      <c r="E601" t="s">
        <v>30</v>
      </c>
      <c r="F601" t="s">
        <v>46</v>
      </c>
      <c r="G601" t="s">
        <v>32</v>
      </c>
      <c r="H601" t="s">
        <v>55</v>
      </c>
      <c r="I601" t="s">
        <v>129</v>
      </c>
      <c r="J601" t="s">
        <v>70</v>
      </c>
      <c r="K601" s="2">
        <v>23982</v>
      </c>
      <c r="L601" t="s">
        <v>36</v>
      </c>
      <c r="M601" t="s">
        <v>37</v>
      </c>
      <c r="N601" t="s">
        <v>72</v>
      </c>
      <c r="O601" t="s">
        <v>77</v>
      </c>
      <c r="P601" t="s">
        <v>40</v>
      </c>
      <c r="Q601">
        <v>3</v>
      </c>
      <c r="R601" s="2">
        <v>45062</v>
      </c>
      <c r="S601">
        <v>4</v>
      </c>
      <c r="T601">
        <v>3</v>
      </c>
      <c r="U601">
        <v>4</v>
      </c>
      <c r="V601" s="1">
        <v>45006</v>
      </c>
      <c r="W601" t="s">
        <v>92</v>
      </c>
      <c r="X601" t="s">
        <v>51</v>
      </c>
      <c r="Y601" t="s">
        <v>63</v>
      </c>
      <c r="Z601">
        <v>1</v>
      </c>
      <c r="AA601">
        <v>910.33</v>
      </c>
      <c r="AB601">
        <v>58</v>
      </c>
    </row>
    <row r="602" spans="1:28" x14ac:dyDescent="0.2">
      <c r="A602">
        <v>1091</v>
      </c>
      <c r="B602" s="1">
        <v>43420</v>
      </c>
      <c r="C602" t="s">
        <v>28</v>
      </c>
      <c r="D602" t="s">
        <v>94</v>
      </c>
      <c r="E602" t="s">
        <v>30</v>
      </c>
      <c r="F602" t="s">
        <v>31</v>
      </c>
      <c r="G602" t="s">
        <v>56</v>
      </c>
      <c r="H602" t="s">
        <v>33</v>
      </c>
      <c r="I602" t="s">
        <v>34</v>
      </c>
      <c r="J602" t="s">
        <v>58</v>
      </c>
      <c r="K602" s="2">
        <v>31650</v>
      </c>
      <c r="L602" t="s">
        <v>36</v>
      </c>
      <c r="M602" t="s">
        <v>48</v>
      </c>
      <c r="N602" t="s">
        <v>84</v>
      </c>
      <c r="O602" t="s">
        <v>61</v>
      </c>
      <c r="P602" t="s">
        <v>40</v>
      </c>
      <c r="Q602">
        <v>3</v>
      </c>
      <c r="R602" s="2">
        <v>45038</v>
      </c>
      <c r="S602">
        <v>2</v>
      </c>
      <c r="T602">
        <v>4</v>
      </c>
      <c r="U602">
        <v>3</v>
      </c>
      <c r="V602" s="1">
        <v>44854</v>
      </c>
      <c r="W602" t="s">
        <v>50</v>
      </c>
      <c r="X602" t="s">
        <v>42</v>
      </c>
      <c r="Y602" t="s">
        <v>52</v>
      </c>
      <c r="Z602">
        <v>2</v>
      </c>
      <c r="AA602">
        <v>213.91</v>
      </c>
      <c r="AB602">
        <v>32</v>
      </c>
    </row>
    <row r="603" spans="1:28" x14ac:dyDescent="0.2">
      <c r="A603">
        <v>1092</v>
      </c>
      <c r="B603" s="1">
        <v>44754</v>
      </c>
      <c r="C603" t="s">
        <v>28</v>
      </c>
      <c r="D603" t="s">
        <v>94</v>
      </c>
      <c r="E603" t="s">
        <v>30</v>
      </c>
      <c r="F603" t="s">
        <v>46</v>
      </c>
      <c r="G603" t="s">
        <v>32</v>
      </c>
      <c r="H603" t="s">
        <v>55</v>
      </c>
      <c r="I603" t="s">
        <v>34</v>
      </c>
      <c r="J603" t="s">
        <v>70</v>
      </c>
      <c r="K603" s="2">
        <v>25595</v>
      </c>
      <c r="L603" t="s">
        <v>36</v>
      </c>
      <c r="M603" t="s">
        <v>37</v>
      </c>
      <c r="N603" t="s">
        <v>49</v>
      </c>
      <c r="O603" t="s">
        <v>77</v>
      </c>
      <c r="P603" t="s">
        <v>40</v>
      </c>
      <c r="Q603">
        <v>3</v>
      </c>
      <c r="R603" s="2">
        <v>44993</v>
      </c>
      <c r="S603">
        <v>1</v>
      </c>
      <c r="T603">
        <v>4</v>
      </c>
      <c r="U603">
        <v>1</v>
      </c>
      <c r="V603" s="1">
        <v>44824</v>
      </c>
      <c r="W603" t="s">
        <v>92</v>
      </c>
      <c r="X603" t="s">
        <v>42</v>
      </c>
      <c r="Y603" t="s">
        <v>63</v>
      </c>
      <c r="Z603">
        <v>5</v>
      </c>
      <c r="AA603">
        <v>971.46</v>
      </c>
      <c r="AB603">
        <v>52</v>
      </c>
    </row>
    <row r="604" spans="1:28" x14ac:dyDescent="0.2">
      <c r="A604">
        <v>1093</v>
      </c>
      <c r="B604" s="1">
        <v>44911</v>
      </c>
      <c r="C604" t="s">
        <v>28</v>
      </c>
      <c r="D604" t="s">
        <v>81</v>
      </c>
      <c r="E604" t="s">
        <v>30</v>
      </c>
      <c r="F604" t="s">
        <v>31</v>
      </c>
      <c r="G604" t="s">
        <v>56</v>
      </c>
      <c r="H604" t="s">
        <v>46</v>
      </c>
      <c r="I604" t="s">
        <v>34</v>
      </c>
      <c r="J604" t="s">
        <v>79</v>
      </c>
      <c r="K604" s="2">
        <v>28971</v>
      </c>
      <c r="L604" t="s">
        <v>36</v>
      </c>
      <c r="M604" t="s">
        <v>37</v>
      </c>
      <c r="N604" t="s">
        <v>84</v>
      </c>
      <c r="O604" t="s">
        <v>39</v>
      </c>
      <c r="P604" t="s">
        <v>40</v>
      </c>
      <c r="Q604">
        <v>3</v>
      </c>
      <c r="R604" s="2">
        <v>44990</v>
      </c>
      <c r="S604">
        <v>3</v>
      </c>
      <c r="T604">
        <v>1</v>
      </c>
      <c r="U604">
        <v>4</v>
      </c>
      <c r="V604" s="1">
        <v>45114</v>
      </c>
      <c r="W604" t="s">
        <v>50</v>
      </c>
      <c r="X604" t="s">
        <v>51</v>
      </c>
      <c r="Y604" t="s">
        <v>43</v>
      </c>
      <c r="Z604">
        <v>5</v>
      </c>
      <c r="AA604">
        <v>995.52</v>
      </c>
      <c r="AB604">
        <v>43</v>
      </c>
    </row>
    <row r="605" spans="1:28" x14ac:dyDescent="0.2">
      <c r="A605">
        <v>1094</v>
      </c>
      <c r="B605" s="1">
        <v>45054</v>
      </c>
      <c r="C605" t="s">
        <v>106</v>
      </c>
      <c r="D605" t="s">
        <v>44</v>
      </c>
      <c r="E605" t="s">
        <v>30</v>
      </c>
      <c r="F605" t="s">
        <v>46</v>
      </c>
      <c r="G605" t="s">
        <v>45</v>
      </c>
      <c r="H605" t="s">
        <v>55</v>
      </c>
      <c r="I605" t="s">
        <v>34</v>
      </c>
      <c r="J605" t="s">
        <v>70</v>
      </c>
      <c r="K605" s="2">
        <v>34411</v>
      </c>
      <c r="L605" t="s">
        <v>36</v>
      </c>
      <c r="M605" t="s">
        <v>37</v>
      </c>
      <c r="N605" t="s">
        <v>60</v>
      </c>
      <c r="O605" t="s">
        <v>61</v>
      </c>
      <c r="P605" t="s">
        <v>40</v>
      </c>
      <c r="Q605">
        <v>3</v>
      </c>
      <c r="R605" s="2">
        <v>44948</v>
      </c>
      <c r="S605">
        <v>5</v>
      </c>
      <c r="T605">
        <v>4</v>
      </c>
      <c r="U605">
        <v>5</v>
      </c>
      <c r="V605" s="1">
        <v>44791</v>
      </c>
      <c r="W605" t="s">
        <v>92</v>
      </c>
      <c r="X605" t="s">
        <v>42</v>
      </c>
      <c r="Y605" t="s">
        <v>43</v>
      </c>
      <c r="Z605">
        <v>4</v>
      </c>
      <c r="AA605">
        <v>161.4</v>
      </c>
      <c r="AB605">
        <v>29</v>
      </c>
    </row>
    <row r="606" spans="1:28" x14ac:dyDescent="0.2">
      <c r="A606">
        <v>1095</v>
      </c>
      <c r="B606" s="1">
        <v>45023</v>
      </c>
      <c r="C606" t="s">
        <v>106</v>
      </c>
      <c r="D606" t="s">
        <v>74</v>
      </c>
      <c r="E606" t="s">
        <v>30</v>
      </c>
      <c r="F606" t="s">
        <v>55</v>
      </c>
      <c r="G606" t="s">
        <v>45</v>
      </c>
      <c r="H606" t="s">
        <v>33</v>
      </c>
      <c r="I606" t="s">
        <v>34</v>
      </c>
      <c r="J606" t="s">
        <v>79</v>
      </c>
      <c r="K606" s="2">
        <v>15308</v>
      </c>
      <c r="L606" t="s">
        <v>36</v>
      </c>
      <c r="M606" t="s">
        <v>37</v>
      </c>
      <c r="N606" t="s">
        <v>49</v>
      </c>
      <c r="O606" t="s">
        <v>77</v>
      </c>
      <c r="P606" t="s">
        <v>40</v>
      </c>
      <c r="Q606">
        <v>3</v>
      </c>
      <c r="R606" s="2">
        <v>45002</v>
      </c>
      <c r="S606">
        <v>1</v>
      </c>
      <c r="T606">
        <v>2</v>
      </c>
      <c r="U606">
        <v>1</v>
      </c>
      <c r="V606" s="1">
        <v>44790</v>
      </c>
      <c r="W606" t="s">
        <v>50</v>
      </c>
      <c r="X606" t="s">
        <v>42</v>
      </c>
      <c r="Y606" t="s">
        <v>73</v>
      </c>
      <c r="Z606">
        <v>4</v>
      </c>
      <c r="AA606">
        <v>715.87</v>
      </c>
      <c r="AB606">
        <v>82</v>
      </c>
    </row>
    <row r="607" spans="1:28" x14ac:dyDescent="0.2">
      <c r="A607">
        <v>1096</v>
      </c>
      <c r="B607" s="1">
        <v>44607</v>
      </c>
      <c r="C607" t="s">
        <v>28</v>
      </c>
      <c r="D607" t="s">
        <v>94</v>
      </c>
      <c r="E607" t="s">
        <v>30</v>
      </c>
      <c r="F607" t="s">
        <v>46</v>
      </c>
      <c r="G607" t="s">
        <v>32</v>
      </c>
      <c r="H607" t="s">
        <v>46</v>
      </c>
      <c r="I607" t="s">
        <v>34</v>
      </c>
      <c r="J607" t="s">
        <v>100</v>
      </c>
      <c r="K607" s="2">
        <v>26675</v>
      </c>
      <c r="L607" t="s">
        <v>36</v>
      </c>
      <c r="M607" t="s">
        <v>37</v>
      </c>
      <c r="N607" t="s">
        <v>84</v>
      </c>
      <c r="O607" t="s">
        <v>67</v>
      </c>
      <c r="P607" t="s">
        <v>40</v>
      </c>
      <c r="Q607">
        <v>3</v>
      </c>
      <c r="R607" s="2">
        <v>44912</v>
      </c>
      <c r="S607">
        <v>1</v>
      </c>
      <c r="T607">
        <v>3</v>
      </c>
      <c r="U607">
        <v>2</v>
      </c>
      <c r="V607" s="1">
        <v>44829</v>
      </c>
      <c r="W607" t="s">
        <v>68</v>
      </c>
      <c r="X607" t="s">
        <v>51</v>
      </c>
      <c r="Y607" t="s">
        <v>52</v>
      </c>
      <c r="Z607">
        <v>5</v>
      </c>
      <c r="AA607">
        <v>778.25</v>
      </c>
      <c r="AB607">
        <v>49</v>
      </c>
    </row>
    <row r="608" spans="1:28" x14ac:dyDescent="0.2">
      <c r="A608">
        <v>1097</v>
      </c>
      <c r="B608" s="1">
        <v>45124</v>
      </c>
      <c r="C608" t="s">
        <v>28</v>
      </c>
      <c r="D608" t="s">
        <v>85</v>
      </c>
      <c r="E608" t="s">
        <v>30</v>
      </c>
      <c r="F608" t="s">
        <v>31</v>
      </c>
      <c r="G608" t="s">
        <v>56</v>
      </c>
      <c r="H608" t="s">
        <v>46</v>
      </c>
      <c r="I608" t="s">
        <v>34</v>
      </c>
      <c r="J608" t="s">
        <v>70</v>
      </c>
      <c r="K608" s="2">
        <v>36374</v>
      </c>
      <c r="L608" t="s">
        <v>36</v>
      </c>
      <c r="M608" t="s">
        <v>48</v>
      </c>
      <c r="N608" t="s">
        <v>49</v>
      </c>
      <c r="O608" t="s">
        <v>77</v>
      </c>
      <c r="P608" t="s">
        <v>40</v>
      </c>
      <c r="Q608">
        <v>3</v>
      </c>
      <c r="R608" s="2">
        <v>44865</v>
      </c>
      <c r="S608">
        <v>1</v>
      </c>
      <c r="T608">
        <v>2</v>
      </c>
      <c r="U608">
        <v>5</v>
      </c>
      <c r="V608" s="1">
        <v>44784</v>
      </c>
      <c r="W608" t="s">
        <v>50</v>
      </c>
      <c r="X608" t="s">
        <v>42</v>
      </c>
      <c r="Y608" t="s">
        <v>63</v>
      </c>
      <c r="Z608">
        <v>1</v>
      </c>
      <c r="AA608">
        <v>609.5</v>
      </c>
      <c r="AB608">
        <v>24</v>
      </c>
    </row>
    <row r="609" spans="1:28" x14ac:dyDescent="0.2">
      <c r="A609">
        <v>1098</v>
      </c>
      <c r="B609" s="1">
        <v>43588</v>
      </c>
      <c r="C609" t="s">
        <v>28</v>
      </c>
      <c r="D609" t="s">
        <v>54</v>
      </c>
      <c r="E609" t="s">
        <v>108</v>
      </c>
      <c r="F609" t="s">
        <v>46</v>
      </c>
      <c r="G609" t="s">
        <v>45</v>
      </c>
      <c r="H609" t="s">
        <v>33</v>
      </c>
      <c r="I609" t="s">
        <v>34</v>
      </c>
      <c r="J609" t="s">
        <v>75</v>
      </c>
      <c r="K609" s="2">
        <v>33979</v>
      </c>
      <c r="L609" t="s">
        <v>36</v>
      </c>
      <c r="M609" t="s">
        <v>48</v>
      </c>
      <c r="N609" t="s">
        <v>84</v>
      </c>
      <c r="O609" t="s">
        <v>39</v>
      </c>
      <c r="P609" t="s">
        <v>40</v>
      </c>
      <c r="Q609">
        <v>3</v>
      </c>
      <c r="R609" s="2">
        <v>44923</v>
      </c>
      <c r="S609">
        <v>2</v>
      </c>
      <c r="T609">
        <v>2</v>
      </c>
      <c r="U609">
        <v>2</v>
      </c>
      <c r="V609" s="1">
        <v>45059</v>
      </c>
      <c r="W609" t="s">
        <v>41</v>
      </c>
      <c r="X609" t="s">
        <v>51</v>
      </c>
      <c r="Y609" t="s">
        <v>43</v>
      </c>
      <c r="Z609">
        <v>5</v>
      </c>
      <c r="AA609">
        <v>666.67</v>
      </c>
      <c r="AB609">
        <v>26</v>
      </c>
    </row>
    <row r="610" spans="1:28" x14ac:dyDescent="0.2">
      <c r="A610">
        <v>1099</v>
      </c>
      <c r="B610" s="1">
        <v>44645</v>
      </c>
      <c r="C610" t="s">
        <v>28</v>
      </c>
      <c r="D610" t="s">
        <v>85</v>
      </c>
      <c r="E610" t="s">
        <v>30</v>
      </c>
      <c r="F610" t="s">
        <v>46</v>
      </c>
      <c r="G610" t="s">
        <v>45</v>
      </c>
      <c r="H610" t="s">
        <v>46</v>
      </c>
      <c r="I610" t="s">
        <v>34</v>
      </c>
      <c r="J610" t="s">
        <v>70</v>
      </c>
      <c r="K610" s="2">
        <v>26291</v>
      </c>
      <c r="L610" t="s">
        <v>36</v>
      </c>
      <c r="M610" t="s">
        <v>37</v>
      </c>
      <c r="N610" t="s">
        <v>60</v>
      </c>
      <c r="O610" t="s">
        <v>61</v>
      </c>
      <c r="P610" t="s">
        <v>40</v>
      </c>
      <c r="Q610">
        <v>3</v>
      </c>
      <c r="R610" s="2">
        <v>45142</v>
      </c>
      <c r="S610">
        <v>1</v>
      </c>
      <c r="T610">
        <v>5</v>
      </c>
      <c r="U610">
        <v>5</v>
      </c>
      <c r="V610" s="1">
        <v>44864</v>
      </c>
      <c r="W610" t="s">
        <v>62</v>
      </c>
      <c r="X610" t="s">
        <v>51</v>
      </c>
      <c r="Y610" t="s">
        <v>52</v>
      </c>
      <c r="Z610">
        <v>5</v>
      </c>
      <c r="AA610">
        <v>797.05</v>
      </c>
      <c r="AB610">
        <v>51</v>
      </c>
    </row>
    <row r="611" spans="1:28" x14ac:dyDescent="0.2">
      <c r="A611">
        <v>1100</v>
      </c>
      <c r="B611" s="1">
        <v>43928</v>
      </c>
      <c r="C611" t="s">
        <v>28</v>
      </c>
      <c r="D611" t="s">
        <v>44</v>
      </c>
      <c r="E611" t="s">
        <v>30</v>
      </c>
      <c r="F611" t="s">
        <v>55</v>
      </c>
      <c r="G611" t="s">
        <v>32</v>
      </c>
      <c r="H611" t="s">
        <v>33</v>
      </c>
      <c r="I611" t="s">
        <v>34</v>
      </c>
      <c r="J611" t="s">
        <v>70</v>
      </c>
      <c r="K611" s="2">
        <v>23507</v>
      </c>
      <c r="L611" t="s">
        <v>36</v>
      </c>
      <c r="M611" t="s">
        <v>48</v>
      </c>
      <c r="N611" t="s">
        <v>38</v>
      </c>
      <c r="O611" t="s">
        <v>77</v>
      </c>
      <c r="P611" t="s">
        <v>40</v>
      </c>
      <c r="Q611">
        <v>3</v>
      </c>
      <c r="R611" s="2">
        <v>44814</v>
      </c>
      <c r="S611">
        <v>1</v>
      </c>
      <c r="T611">
        <v>4</v>
      </c>
      <c r="U611">
        <v>5</v>
      </c>
      <c r="V611" s="1">
        <v>44982</v>
      </c>
      <c r="W611" t="s">
        <v>92</v>
      </c>
      <c r="X611" t="s">
        <v>51</v>
      </c>
      <c r="Y611" t="s">
        <v>63</v>
      </c>
      <c r="Z611">
        <v>3</v>
      </c>
      <c r="AA611">
        <v>518.55999999999995</v>
      </c>
      <c r="AB611">
        <v>56</v>
      </c>
    </row>
    <row r="612" spans="1:28" x14ac:dyDescent="0.2">
      <c r="A612">
        <v>1101</v>
      </c>
      <c r="B612" s="1">
        <v>44265</v>
      </c>
      <c r="C612" t="s">
        <v>28</v>
      </c>
      <c r="D612" t="s">
        <v>64</v>
      </c>
      <c r="E612" t="s">
        <v>30</v>
      </c>
      <c r="F612" t="s">
        <v>55</v>
      </c>
      <c r="G612" t="s">
        <v>45</v>
      </c>
      <c r="H612" t="s">
        <v>46</v>
      </c>
      <c r="I612" t="s">
        <v>34</v>
      </c>
      <c r="J612" t="s">
        <v>79</v>
      </c>
      <c r="K612" s="2">
        <v>16150</v>
      </c>
      <c r="L612" t="s">
        <v>36</v>
      </c>
      <c r="M612" t="s">
        <v>37</v>
      </c>
      <c r="N612" t="s">
        <v>38</v>
      </c>
      <c r="O612" t="s">
        <v>39</v>
      </c>
      <c r="P612" t="s">
        <v>40</v>
      </c>
      <c r="Q612">
        <v>3</v>
      </c>
      <c r="R612" s="2">
        <v>45006</v>
      </c>
      <c r="S612">
        <v>1</v>
      </c>
      <c r="T612">
        <v>1</v>
      </c>
      <c r="U612">
        <v>3</v>
      </c>
      <c r="V612" s="1">
        <v>45016</v>
      </c>
      <c r="W612" t="s">
        <v>92</v>
      </c>
      <c r="X612" t="s">
        <v>42</v>
      </c>
      <c r="Y612" t="s">
        <v>73</v>
      </c>
      <c r="Z612">
        <v>5</v>
      </c>
      <c r="AA612">
        <v>426.82</v>
      </c>
      <c r="AB612">
        <v>77</v>
      </c>
    </row>
    <row r="613" spans="1:28" x14ac:dyDescent="0.2">
      <c r="A613">
        <v>1102</v>
      </c>
      <c r="B613" s="1">
        <v>43681</v>
      </c>
      <c r="C613" t="s">
        <v>106</v>
      </c>
      <c r="D613" t="s">
        <v>44</v>
      </c>
      <c r="E613" t="s">
        <v>30</v>
      </c>
      <c r="F613" t="s">
        <v>46</v>
      </c>
      <c r="G613" t="s">
        <v>45</v>
      </c>
      <c r="H613" t="s">
        <v>46</v>
      </c>
      <c r="I613" t="s">
        <v>34</v>
      </c>
      <c r="J613" t="s">
        <v>65</v>
      </c>
      <c r="K613" s="2">
        <v>19621</v>
      </c>
      <c r="L613" t="s">
        <v>36</v>
      </c>
      <c r="M613" t="s">
        <v>37</v>
      </c>
      <c r="N613" t="s">
        <v>72</v>
      </c>
      <c r="O613" t="s">
        <v>61</v>
      </c>
      <c r="P613" t="s">
        <v>40</v>
      </c>
      <c r="Q613">
        <v>3</v>
      </c>
      <c r="R613" s="2">
        <v>44987</v>
      </c>
      <c r="S613">
        <v>5</v>
      </c>
      <c r="T613">
        <v>1</v>
      </c>
      <c r="U613">
        <v>4</v>
      </c>
      <c r="V613" s="1">
        <v>44926</v>
      </c>
      <c r="W613" t="s">
        <v>62</v>
      </c>
      <c r="X613" t="s">
        <v>51</v>
      </c>
      <c r="Y613" t="s">
        <v>43</v>
      </c>
      <c r="Z613">
        <v>2</v>
      </c>
      <c r="AA613">
        <v>150.04</v>
      </c>
      <c r="AB613">
        <v>66</v>
      </c>
    </row>
    <row r="614" spans="1:28" x14ac:dyDescent="0.2">
      <c r="A614">
        <v>1103</v>
      </c>
      <c r="B614" s="1">
        <v>44297</v>
      </c>
      <c r="C614" t="s">
        <v>28</v>
      </c>
      <c r="D614" t="s">
        <v>69</v>
      </c>
      <c r="E614" t="s">
        <v>108</v>
      </c>
      <c r="F614" t="s">
        <v>55</v>
      </c>
      <c r="G614" t="s">
        <v>32</v>
      </c>
      <c r="H614" t="s">
        <v>33</v>
      </c>
      <c r="I614" t="s">
        <v>34</v>
      </c>
      <c r="J614" t="s">
        <v>89</v>
      </c>
      <c r="K614" s="2">
        <v>20912</v>
      </c>
      <c r="L614" t="s">
        <v>36</v>
      </c>
      <c r="M614" t="s">
        <v>48</v>
      </c>
      <c r="N614" t="s">
        <v>84</v>
      </c>
      <c r="O614" t="s">
        <v>39</v>
      </c>
      <c r="P614" t="s">
        <v>40</v>
      </c>
      <c r="Q614">
        <v>3</v>
      </c>
      <c r="R614" s="2">
        <v>44871</v>
      </c>
      <c r="S614">
        <v>5</v>
      </c>
      <c r="T614">
        <v>3</v>
      </c>
      <c r="U614">
        <v>1</v>
      </c>
      <c r="V614" s="1">
        <v>45112</v>
      </c>
      <c r="W614" t="s">
        <v>41</v>
      </c>
      <c r="X614" t="s">
        <v>51</v>
      </c>
      <c r="Y614" t="s">
        <v>73</v>
      </c>
      <c r="Z614">
        <v>3</v>
      </c>
      <c r="AA614">
        <v>308.20999999999998</v>
      </c>
      <c r="AB614">
        <v>64</v>
      </c>
    </row>
    <row r="615" spans="1:28" x14ac:dyDescent="0.2">
      <c r="A615">
        <v>1104</v>
      </c>
      <c r="B615" s="1">
        <v>43632</v>
      </c>
      <c r="C615" t="s">
        <v>28</v>
      </c>
      <c r="D615" t="s">
        <v>94</v>
      </c>
      <c r="E615" t="s">
        <v>30</v>
      </c>
      <c r="F615" t="s">
        <v>46</v>
      </c>
      <c r="G615" t="s">
        <v>32</v>
      </c>
      <c r="H615" t="s">
        <v>33</v>
      </c>
      <c r="I615" t="s">
        <v>34</v>
      </c>
      <c r="J615" t="s">
        <v>75</v>
      </c>
      <c r="K615" s="2">
        <v>34956</v>
      </c>
      <c r="L615" t="s">
        <v>36</v>
      </c>
      <c r="M615" t="s">
        <v>48</v>
      </c>
      <c r="N615" t="s">
        <v>84</v>
      </c>
      <c r="O615" t="s">
        <v>77</v>
      </c>
      <c r="P615" t="s">
        <v>40</v>
      </c>
      <c r="Q615">
        <v>3</v>
      </c>
      <c r="R615" s="2">
        <v>44916</v>
      </c>
      <c r="S615">
        <v>1</v>
      </c>
      <c r="T615">
        <v>4</v>
      </c>
      <c r="U615">
        <v>2</v>
      </c>
      <c r="V615" s="1">
        <v>44784</v>
      </c>
      <c r="W615" t="s">
        <v>92</v>
      </c>
      <c r="X615" t="s">
        <v>42</v>
      </c>
      <c r="Y615" t="s">
        <v>63</v>
      </c>
      <c r="Z615">
        <v>4</v>
      </c>
      <c r="AA615">
        <v>766.77</v>
      </c>
      <c r="AB615">
        <v>24</v>
      </c>
    </row>
    <row r="616" spans="1:28" x14ac:dyDescent="0.2">
      <c r="A616">
        <v>1105</v>
      </c>
      <c r="B616" s="1">
        <v>44112</v>
      </c>
      <c r="C616" t="s">
        <v>28</v>
      </c>
      <c r="D616" t="s">
        <v>54</v>
      </c>
      <c r="E616" t="s">
        <v>108</v>
      </c>
      <c r="F616" t="s">
        <v>31</v>
      </c>
      <c r="G616" t="s">
        <v>45</v>
      </c>
      <c r="H616" t="s">
        <v>55</v>
      </c>
      <c r="I616" t="s">
        <v>34</v>
      </c>
      <c r="J616" t="s">
        <v>65</v>
      </c>
      <c r="K616" s="2">
        <v>17817</v>
      </c>
      <c r="L616" t="s">
        <v>36</v>
      </c>
      <c r="M616" t="s">
        <v>37</v>
      </c>
      <c r="N616" t="s">
        <v>49</v>
      </c>
      <c r="O616" t="s">
        <v>61</v>
      </c>
      <c r="P616" t="s">
        <v>40</v>
      </c>
      <c r="Q616">
        <v>3</v>
      </c>
      <c r="R616" s="2">
        <v>44972</v>
      </c>
      <c r="S616">
        <v>1</v>
      </c>
      <c r="T616">
        <v>4</v>
      </c>
      <c r="U616">
        <v>1</v>
      </c>
      <c r="V616" s="1">
        <v>44943</v>
      </c>
      <c r="W616" t="s">
        <v>68</v>
      </c>
      <c r="X616" t="s">
        <v>42</v>
      </c>
      <c r="Y616" t="s">
        <v>52</v>
      </c>
      <c r="Z616">
        <v>4</v>
      </c>
      <c r="AA616">
        <v>172.19</v>
      </c>
      <c r="AB616">
        <v>72</v>
      </c>
    </row>
    <row r="617" spans="1:28" x14ac:dyDescent="0.2">
      <c r="A617">
        <v>1106</v>
      </c>
      <c r="B617" s="1">
        <v>44426</v>
      </c>
      <c r="C617" t="s">
        <v>106</v>
      </c>
      <c r="D617" t="s">
        <v>69</v>
      </c>
      <c r="E617" t="s">
        <v>30</v>
      </c>
      <c r="F617" t="s">
        <v>55</v>
      </c>
      <c r="G617" t="s">
        <v>56</v>
      </c>
      <c r="H617" t="s">
        <v>33</v>
      </c>
      <c r="I617" t="s">
        <v>34</v>
      </c>
      <c r="J617" t="s">
        <v>47</v>
      </c>
      <c r="K617" s="2">
        <v>34700</v>
      </c>
      <c r="L617" t="s">
        <v>36</v>
      </c>
      <c r="M617" t="s">
        <v>48</v>
      </c>
      <c r="N617" t="s">
        <v>60</v>
      </c>
      <c r="O617" t="s">
        <v>61</v>
      </c>
      <c r="P617" t="s">
        <v>40</v>
      </c>
      <c r="Q617">
        <v>3</v>
      </c>
      <c r="R617" s="2">
        <v>44957</v>
      </c>
      <c r="S617">
        <v>2</v>
      </c>
      <c r="T617">
        <v>3</v>
      </c>
      <c r="U617">
        <v>3</v>
      </c>
      <c r="V617" s="1">
        <v>44865</v>
      </c>
      <c r="W617" t="s">
        <v>62</v>
      </c>
      <c r="X617" t="s">
        <v>42</v>
      </c>
      <c r="Y617" t="s">
        <v>63</v>
      </c>
      <c r="Z617">
        <v>1</v>
      </c>
      <c r="AA617">
        <v>742.55</v>
      </c>
      <c r="AB617">
        <v>26</v>
      </c>
    </row>
    <row r="618" spans="1:28" x14ac:dyDescent="0.2">
      <c r="A618">
        <v>1107</v>
      </c>
      <c r="B618" s="1">
        <v>43906</v>
      </c>
      <c r="C618" t="s">
        <v>106</v>
      </c>
      <c r="D618" t="s">
        <v>69</v>
      </c>
      <c r="E618" t="s">
        <v>30</v>
      </c>
      <c r="F618" t="s">
        <v>31</v>
      </c>
      <c r="G618" t="s">
        <v>45</v>
      </c>
      <c r="H618" t="s">
        <v>46</v>
      </c>
      <c r="I618" t="s">
        <v>34</v>
      </c>
      <c r="J618" t="s">
        <v>101</v>
      </c>
      <c r="K618" s="2">
        <v>33643</v>
      </c>
      <c r="L618" t="s">
        <v>36</v>
      </c>
      <c r="M618" t="s">
        <v>37</v>
      </c>
      <c r="N618" t="s">
        <v>60</v>
      </c>
      <c r="O618" t="s">
        <v>61</v>
      </c>
      <c r="P618" t="s">
        <v>40</v>
      </c>
      <c r="Q618">
        <v>3</v>
      </c>
      <c r="R618" s="2">
        <v>44852</v>
      </c>
      <c r="S618">
        <v>4</v>
      </c>
      <c r="T618">
        <v>5</v>
      </c>
      <c r="U618">
        <v>1</v>
      </c>
      <c r="V618" s="1">
        <v>44952</v>
      </c>
      <c r="W618" t="s">
        <v>68</v>
      </c>
      <c r="X618" t="s">
        <v>42</v>
      </c>
      <c r="Y618" t="s">
        <v>43</v>
      </c>
      <c r="Z618">
        <v>2</v>
      </c>
      <c r="AA618">
        <v>231.28</v>
      </c>
      <c r="AB618">
        <v>28</v>
      </c>
    </row>
    <row r="619" spans="1:28" x14ac:dyDescent="0.2">
      <c r="A619">
        <v>1108</v>
      </c>
      <c r="B619" s="1">
        <v>43489</v>
      </c>
      <c r="C619" t="s">
        <v>28</v>
      </c>
      <c r="D619" t="s">
        <v>64</v>
      </c>
      <c r="E619" t="s">
        <v>30</v>
      </c>
      <c r="F619" t="s">
        <v>55</v>
      </c>
      <c r="G619" t="s">
        <v>45</v>
      </c>
      <c r="H619" t="s">
        <v>55</v>
      </c>
      <c r="I619" t="s">
        <v>34</v>
      </c>
      <c r="J619" t="s">
        <v>65</v>
      </c>
      <c r="K619" s="2">
        <v>25311</v>
      </c>
      <c r="L619" t="s">
        <v>36</v>
      </c>
      <c r="M619" t="s">
        <v>48</v>
      </c>
      <c r="N619" t="s">
        <v>38</v>
      </c>
      <c r="O619" t="s">
        <v>67</v>
      </c>
      <c r="P619" t="s">
        <v>40</v>
      </c>
      <c r="Q619">
        <v>3</v>
      </c>
      <c r="R619" s="2">
        <v>45131</v>
      </c>
      <c r="S619">
        <v>4</v>
      </c>
      <c r="T619">
        <v>5</v>
      </c>
      <c r="U619">
        <v>3</v>
      </c>
      <c r="V619" s="1">
        <v>45069</v>
      </c>
      <c r="W619" t="s">
        <v>50</v>
      </c>
      <c r="X619" t="s">
        <v>42</v>
      </c>
      <c r="Y619" t="s">
        <v>63</v>
      </c>
      <c r="Z619">
        <v>5</v>
      </c>
      <c r="AA619">
        <v>124.54</v>
      </c>
      <c r="AB619">
        <v>50</v>
      </c>
    </row>
    <row r="620" spans="1:28" x14ac:dyDescent="0.2">
      <c r="A620">
        <v>1109</v>
      </c>
      <c r="B620" s="1">
        <v>44723</v>
      </c>
      <c r="C620" t="s">
        <v>28</v>
      </c>
      <c r="D620" t="s">
        <v>44</v>
      </c>
      <c r="E620" t="s">
        <v>108</v>
      </c>
      <c r="F620" t="s">
        <v>55</v>
      </c>
      <c r="G620" t="s">
        <v>32</v>
      </c>
      <c r="H620" t="s">
        <v>46</v>
      </c>
      <c r="I620" t="s">
        <v>34</v>
      </c>
      <c r="J620" t="s">
        <v>70</v>
      </c>
      <c r="K620" s="2">
        <v>29860</v>
      </c>
      <c r="L620" t="s">
        <v>36</v>
      </c>
      <c r="M620" t="s">
        <v>37</v>
      </c>
      <c r="N620" t="s">
        <v>38</v>
      </c>
      <c r="O620" t="s">
        <v>77</v>
      </c>
      <c r="P620" t="s">
        <v>40</v>
      </c>
      <c r="Q620">
        <v>3</v>
      </c>
      <c r="R620" s="2">
        <v>44850</v>
      </c>
      <c r="S620">
        <v>4</v>
      </c>
      <c r="T620">
        <v>5</v>
      </c>
      <c r="U620">
        <v>4</v>
      </c>
      <c r="V620" s="1">
        <v>44947</v>
      </c>
      <c r="W620" t="s">
        <v>41</v>
      </c>
      <c r="X620" t="s">
        <v>51</v>
      </c>
      <c r="Y620" t="s">
        <v>63</v>
      </c>
      <c r="Z620">
        <v>5</v>
      </c>
      <c r="AA620">
        <v>898.37</v>
      </c>
      <c r="AB620">
        <v>41</v>
      </c>
    </row>
    <row r="621" spans="1:28" x14ac:dyDescent="0.2">
      <c r="A621">
        <v>1110</v>
      </c>
      <c r="B621" s="1">
        <v>44744</v>
      </c>
      <c r="C621" t="s">
        <v>106</v>
      </c>
      <c r="D621" t="s">
        <v>81</v>
      </c>
      <c r="E621" t="s">
        <v>30</v>
      </c>
      <c r="F621" t="s">
        <v>55</v>
      </c>
      <c r="G621" t="s">
        <v>56</v>
      </c>
      <c r="H621" t="s">
        <v>33</v>
      </c>
      <c r="I621" t="s">
        <v>34</v>
      </c>
      <c r="J621" t="s">
        <v>65</v>
      </c>
      <c r="K621" s="2">
        <v>31902</v>
      </c>
      <c r="L621" t="s">
        <v>36</v>
      </c>
      <c r="M621" t="s">
        <v>37</v>
      </c>
      <c r="N621" t="s">
        <v>84</v>
      </c>
      <c r="O621" t="s">
        <v>61</v>
      </c>
      <c r="P621" t="s">
        <v>40</v>
      </c>
      <c r="Q621">
        <v>3</v>
      </c>
      <c r="R621" s="2">
        <v>44980</v>
      </c>
      <c r="S621">
        <v>1</v>
      </c>
      <c r="T621">
        <v>1</v>
      </c>
      <c r="U621">
        <v>4</v>
      </c>
      <c r="V621" s="1">
        <v>44847</v>
      </c>
      <c r="W621" t="s">
        <v>50</v>
      </c>
      <c r="X621" t="s">
        <v>42</v>
      </c>
      <c r="Y621" t="s">
        <v>73</v>
      </c>
      <c r="Z621">
        <v>2</v>
      </c>
      <c r="AA621">
        <v>764.36</v>
      </c>
      <c r="AB621">
        <v>35</v>
      </c>
    </row>
    <row r="622" spans="1:28" x14ac:dyDescent="0.2">
      <c r="A622">
        <v>1111</v>
      </c>
      <c r="B622" s="1">
        <v>43716</v>
      </c>
      <c r="C622" t="s">
        <v>28</v>
      </c>
      <c r="D622" t="s">
        <v>69</v>
      </c>
      <c r="E622" t="s">
        <v>108</v>
      </c>
      <c r="F622" t="s">
        <v>55</v>
      </c>
      <c r="G622" t="s">
        <v>45</v>
      </c>
      <c r="H622" t="s">
        <v>46</v>
      </c>
      <c r="I622" t="s">
        <v>34</v>
      </c>
      <c r="J622" t="s">
        <v>89</v>
      </c>
      <c r="K622" s="2">
        <v>19145</v>
      </c>
      <c r="L622" t="s">
        <v>36</v>
      </c>
      <c r="M622" t="s">
        <v>37</v>
      </c>
      <c r="N622" t="s">
        <v>38</v>
      </c>
      <c r="O622" t="s">
        <v>39</v>
      </c>
      <c r="P622" t="s">
        <v>40</v>
      </c>
      <c r="Q622">
        <v>3</v>
      </c>
      <c r="R622" s="2">
        <v>45057</v>
      </c>
      <c r="S622">
        <v>4</v>
      </c>
      <c r="T622">
        <v>1</v>
      </c>
      <c r="U622">
        <v>1</v>
      </c>
      <c r="V622" s="1">
        <v>44900</v>
      </c>
      <c r="W622" t="s">
        <v>62</v>
      </c>
      <c r="X622" t="s">
        <v>42</v>
      </c>
      <c r="Y622" t="s">
        <v>43</v>
      </c>
      <c r="Z622">
        <v>5</v>
      </c>
      <c r="AA622">
        <v>786.57</v>
      </c>
      <c r="AB622">
        <v>67</v>
      </c>
    </row>
    <row r="623" spans="1:28" x14ac:dyDescent="0.2">
      <c r="A623">
        <v>1112</v>
      </c>
      <c r="B623" s="1">
        <v>44752</v>
      </c>
      <c r="C623" t="s">
        <v>28</v>
      </c>
      <c r="D623" t="s">
        <v>87</v>
      </c>
      <c r="E623" t="s">
        <v>30</v>
      </c>
      <c r="F623" t="s">
        <v>55</v>
      </c>
      <c r="G623" t="s">
        <v>45</v>
      </c>
      <c r="H623" t="s">
        <v>46</v>
      </c>
      <c r="I623" t="s">
        <v>34</v>
      </c>
      <c r="J623" t="s">
        <v>79</v>
      </c>
      <c r="K623" s="2">
        <v>27590</v>
      </c>
      <c r="L623" t="s">
        <v>36</v>
      </c>
      <c r="M623" t="s">
        <v>37</v>
      </c>
      <c r="N623" t="s">
        <v>38</v>
      </c>
      <c r="O623" t="s">
        <v>61</v>
      </c>
      <c r="P623" t="s">
        <v>40</v>
      </c>
      <c r="Q623">
        <v>3</v>
      </c>
      <c r="R623" s="2">
        <v>45113</v>
      </c>
      <c r="S623">
        <v>4</v>
      </c>
      <c r="T623">
        <v>1</v>
      </c>
      <c r="U623">
        <v>1</v>
      </c>
      <c r="V623" s="1">
        <v>44834</v>
      </c>
      <c r="W623" t="s">
        <v>92</v>
      </c>
      <c r="X623" t="s">
        <v>42</v>
      </c>
      <c r="Y623" t="s">
        <v>43</v>
      </c>
      <c r="Z623">
        <v>3</v>
      </c>
      <c r="AA623">
        <v>668.05</v>
      </c>
      <c r="AB623">
        <v>47</v>
      </c>
    </row>
    <row r="624" spans="1:28" x14ac:dyDescent="0.2">
      <c r="A624">
        <v>1113</v>
      </c>
      <c r="B624" s="1">
        <v>44675</v>
      </c>
      <c r="C624" t="s">
        <v>28</v>
      </c>
      <c r="D624" t="s">
        <v>81</v>
      </c>
      <c r="E624" t="s">
        <v>30</v>
      </c>
      <c r="F624" t="s">
        <v>31</v>
      </c>
      <c r="G624" t="s">
        <v>56</v>
      </c>
      <c r="H624" t="s">
        <v>46</v>
      </c>
      <c r="I624" t="s">
        <v>34</v>
      </c>
      <c r="J624" t="s">
        <v>65</v>
      </c>
      <c r="K624" s="2">
        <v>28006</v>
      </c>
      <c r="L624" t="s">
        <v>36</v>
      </c>
      <c r="M624" t="s">
        <v>37</v>
      </c>
      <c r="N624" t="s">
        <v>84</v>
      </c>
      <c r="O624" t="s">
        <v>77</v>
      </c>
      <c r="P624" t="s">
        <v>40</v>
      </c>
      <c r="Q624">
        <v>3</v>
      </c>
      <c r="R624" s="2">
        <v>45025</v>
      </c>
      <c r="S624">
        <v>3</v>
      </c>
      <c r="T624">
        <v>3</v>
      </c>
      <c r="U624">
        <v>5</v>
      </c>
      <c r="V624" s="1">
        <v>44946</v>
      </c>
      <c r="W624" t="s">
        <v>68</v>
      </c>
      <c r="X624" t="s">
        <v>51</v>
      </c>
      <c r="Y624" t="s">
        <v>52</v>
      </c>
      <c r="Z624">
        <v>2</v>
      </c>
      <c r="AA624">
        <v>956.92</v>
      </c>
      <c r="AB624">
        <v>46</v>
      </c>
    </row>
    <row r="625" spans="1:28" x14ac:dyDescent="0.2">
      <c r="A625">
        <v>1114</v>
      </c>
      <c r="B625" s="1">
        <v>43921</v>
      </c>
      <c r="C625" t="s">
        <v>28</v>
      </c>
      <c r="D625" t="s">
        <v>54</v>
      </c>
      <c r="E625" t="s">
        <v>30</v>
      </c>
      <c r="F625" t="s">
        <v>55</v>
      </c>
      <c r="G625" t="s">
        <v>32</v>
      </c>
      <c r="H625" t="s">
        <v>46</v>
      </c>
      <c r="I625" t="s">
        <v>34</v>
      </c>
      <c r="J625" t="s">
        <v>65</v>
      </c>
      <c r="K625" s="2">
        <v>22281</v>
      </c>
      <c r="L625" t="s">
        <v>36</v>
      </c>
      <c r="M625" t="s">
        <v>37</v>
      </c>
      <c r="N625" t="s">
        <v>49</v>
      </c>
      <c r="O625" t="s">
        <v>39</v>
      </c>
      <c r="P625" t="s">
        <v>40</v>
      </c>
      <c r="Q625">
        <v>3</v>
      </c>
      <c r="R625" s="2">
        <v>44988</v>
      </c>
      <c r="S625">
        <v>1</v>
      </c>
      <c r="T625">
        <v>3</v>
      </c>
      <c r="U625">
        <v>3</v>
      </c>
      <c r="V625" s="1">
        <v>44982</v>
      </c>
      <c r="W625" t="s">
        <v>92</v>
      </c>
      <c r="X625" t="s">
        <v>42</v>
      </c>
      <c r="Y625" t="s">
        <v>52</v>
      </c>
      <c r="Z625">
        <v>1</v>
      </c>
      <c r="AA625">
        <v>912.27</v>
      </c>
      <c r="AB625">
        <v>60</v>
      </c>
    </row>
    <row r="626" spans="1:28" x14ac:dyDescent="0.2">
      <c r="A626">
        <v>1115</v>
      </c>
      <c r="B626" s="1">
        <v>43547</v>
      </c>
      <c r="C626" t="s">
        <v>28</v>
      </c>
      <c r="D626" t="s">
        <v>94</v>
      </c>
      <c r="E626" t="s">
        <v>30</v>
      </c>
      <c r="F626" t="s">
        <v>31</v>
      </c>
      <c r="G626" t="s">
        <v>45</v>
      </c>
      <c r="H626" t="s">
        <v>46</v>
      </c>
      <c r="I626" t="s">
        <v>34</v>
      </c>
      <c r="J626" t="s">
        <v>70</v>
      </c>
      <c r="K626" s="2">
        <v>35480</v>
      </c>
      <c r="L626" t="s">
        <v>36</v>
      </c>
      <c r="M626" t="s">
        <v>48</v>
      </c>
      <c r="N626" t="s">
        <v>72</v>
      </c>
      <c r="O626" t="s">
        <v>39</v>
      </c>
      <c r="P626" t="s">
        <v>40</v>
      </c>
      <c r="Q626">
        <v>3</v>
      </c>
      <c r="R626" s="2">
        <v>44996</v>
      </c>
      <c r="S626">
        <v>4</v>
      </c>
      <c r="T626">
        <v>1</v>
      </c>
      <c r="U626">
        <v>3</v>
      </c>
      <c r="V626" s="1">
        <v>45065</v>
      </c>
      <c r="W626" t="s">
        <v>50</v>
      </c>
      <c r="X626" t="s">
        <v>42</v>
      </c>
      <c r="Y626" t="s">
        <v>52</v>
      </c>
      <c r="Z626">
        <v>4</v>
      </c>
      <c r="AA626">
        <v>881.71</v>
      </c>
      <c r="AB626">
        <v>22</v>
      </c>
    </row>
    <row r="627" spans="1:28" x14ac:dyDescent="0.2">
      <c r="A627">
        <v>1116</v>
      </c>
      <c r="B627" s="1">
        <v>43533</v>
      </c>
      <c r="C627" t="s">
        <v>28</v>
      </c>
      <c r="D627" t="s">
        <v>85</v>
      </c>
      <c r="E627" t="s">
        <v>108</v>
      </c>
      <c r="F627" t="s">
        <v>55</v>
      </c>
      <c r="G627" t="s">
        <v>45</v>
      </c>
      <c r="H627" t="s">
        <v>55</v>
      </c>
      <c r="I627" t="s">
        <v>34</v>
      </c>
      <c r="J627" t="s">
        <v>70</v>
      </c>
      <c r="K627" s="2">
        <v>30904</v>
      </c>
      <c r="L627" t="s">
        <v>36</v>
      </c>
      <c r="M627" t="s">
        <v>48</v>
      </c>
      <c r="N627" t="s">
        <v>38</v>
      </c>
      <c r="O627" t="s">
        <v>77</v>
      </c>
      <c r="P627" t="s">
        <v>40</v>
      </c>
      <c r="Q627">
        <v>3</v>
      </c>
      <c r="R627" s="2">
        <v>44911</v>
      </c>
      <c r="S627">
        <v>3</v>
      </c>
      <c r="T627">
        <v>4</v>
      </c>
      <c r="U627">
        <v>4</v>
      </c>
      <c r="V627" s="1">
        <v>45062</v>
      </c>
      <c r="W627" t="s">
        <v>92</v>
      </c>
      <c r="X627" t="s">
        <v>42</v>
      </c>
      <c r="Y627" t="s">
        <v>52</v>
      </c>
      <c r="Z627">
        <v>4</v>
      </c>
      <c r="AA627">
        <v>557.67999999999995</v>
      </c>
      <c r="AB627">
        <v>35</v>
      </c>
    </row>
    <row r="628" spans="1:28" x14ac:dyDescent="0.2">
      <c r="A628">
        <v>1117</v>
      </c>
      <c r="B628" s="1">
        <v>43517</v>
      </c>
      <c r="C628" t="s">
        <v>28</v>
      </c>
      <c r="D628" t="s">
        <v>64</v>
      </c>
      <c r="E628" t="s">
        <v>108</v>
      </c>
      <c r="F628" t="s">
        <v>55</v>
      </c>
      <c r="G628" t="s">
        <v>32</v>
      </c>
      <c r="H628" t="s">
        <v>33</v>
      </c>
      <c r="I628" t="s">
        <v>34</v>
      </c>
      <c r="J628" t="s">
        <v>65</v>
      </c>
      <c r="K628" s="2">
        <v>35665</v>
      </c>
      <c r="L628" t="s">
        <v>36</v>
      </c>
      <c r="M628" t="s">
        <v>48</v>
      </c>
      <c r="N628" t="s">
        <v>60</v>
      </c>
      <c r="O628" t="s">
        <v>77</v>
      </c>
      <c r="P628" t="s">
        <v>40</v>
      </c>
      <c r="Q628">
        <v>3</v>
      </c>
      <c r="R628" s="2">
        <v>45136</v>
      </c>
      <c r="S628">
        <v>4</v>
      </c>
      <c r="T628">
        <v>5</v>
      </c>
      <c r="U628">
        <v>1</v>
      </c>
      <c r="V628" s="1">
        <v>44938</v>
      </c>
      <c r="W628" t="s">
        <v>92</v>
      </c>
      <c r="X628" t="s">
        <v>42</v>
      </c>
      <c r="Y628" t="s">
        <v>63</v>
      </c>
      <c r="Z628">
        <v>4</v>
      </c>
      <c r="AA628">
        <v>271.68</v>
      </c>
      <c r="AB628">
        <v>22</v>
      </c>
    </row>
    <row r="629" spans="1:28" x14ac:dyDescent="0.2">
      <c r="A629">
        <v>1118</v>
      </c>
      <c r="B629" s="1">
        <v>43742</v>
      </c>
      <c r="C629" t="s">
        <v>28</v>
      </c>
      <c r="D629" t="s">
        <v>74</v>
      </c>
      <c r="E629" t="s">
        <v>30</v>
      </c>
      <c r="F629" t="s">
        <v>55</v>
      </c>
      <c r="G629" t="s">
        <v>56</v>
      </c>
      <c r="H629" t="s">
        <v>33</v>
      </c>
      <c r="I629" t="s">
        <v>34</v>
      </c>
      <c r="J629" t="s">
        <v>79</v>
      </c>
      <c r="K629" s="2">
        <v>27819</v>
      </c>
      <c r="L629" t="s">
        <v>36</v>
      </c>
      <c r="M629" t="s">
        <v>48</v>
      </c>
      <c r="N629" t="s">
        <v>84</v>
      </c>
      <c r="O629" t="s">
        <v>77</v>
      </c>
      <c r="P629" t="s">
        <v>40</v>
      </c>
      <c r="Q629">
        <v>3</v>
      </c>
      <c r="R629" s="2">
        <v>44979</v>
      </c>
      <c r="S629">
        <v>1</v>
      </c>
      <c r="T629">
        <v>5</v>
      </c>
      <c r="U629">
        <v>3</v>
      </c>
      <c r="V629" s="1">
        <v>44911</v>
      </c>
      <c r="W629" t="s">
        <v>92</v>
      </c>
      <c r="X629" t="s">
        <v>51</v>
      </c>
      <c r="Y629" t="s">
        <v>63</v>
      </c>
      <c r="Z629">
        <v>2</v>
      </c>
      <c r="AA629">
        <v>299.68</v>
      </c>
      <c r="AB629">
        <v>43</v>
      </c>
    </row>
    <row r="630" spans="1:28" x14ac:dyDescent="0.2">
      <c r="A630">
        <v>1119</v>
      </c>
      <c r="B630" s="1">
        <v>43793</v>
      </c>
      <c r="C630" t="s">
        <v>28</v>
      </c>
      <c r="D630" t="s">
        <v>69</v>
      </c>
      <c r="E630" t="s">
        <v>30</v>
      </c>
      <c r="F630" t="s">
        <v>46</v>
      </c>
      <c r="G630" t="s">
        <v>32</v>
      </c>
      <c r="H630" t="s">
        <v>46</v>
      </c>
      <c r="I630" t="s">
        <v>34</v>
      </c>
      <c r="J630" t="s">
        <v>70</v>
      </c>
      <c r="K630" s="2">
        <v>34699</v>
      </c>
      <c r="L630" t="s">
        <v>36</v>
      </c>
      <c r="M630" t="s">
        <v>37</v>
      </c>
      <c r="N630" t="s">
        <v>38</v>
      </c>
      <c r="O630" t="s">
        <v>61</v>
      </c>
      <c r="P630" t="s">
        <v>40</v>
      </c>
      <c r="Q630">
        <v>3</v>
      </c>
      <c r="R630" s="2">
        <v>45032</v>
      </c>
      <c r="S630">
        <v>4</v>
      </c>
      <c r="T630">
        <v>4</v>
      </c>
      <c r="U630">
        <v>5</v>
      </c>
      <c r="V630" s="1">
        <v>45115</v>
      </c>
      <c r="W630" t="s">
        <v>92</v>
      </c>
      <c r="X630" t="s">
        <v>42</v>
      </c>
      <c r="Y630" t="s">
        <v>52</v>
      </c>
      <c r="Z630">
        <v>5</v>
      </c>
      <c r="AA630">
        <v>440.28</v>
      </c>
      <c r="AB630">
        <v>25</v>
      </c>
    </row>
    <row r="631" spans="1:28" x14ac:dyDescent="0.2">
      <c r="A631">
        <v>1120</v>
      </c>
      <c r="B631" s="1">
        <v>44060</v>
      </c>
      <c r="C631" t="s">
        <v>28</v>
      </c>
      <c r="D631" t="s">
        <v>29</v>
      </c>
      <c r="E631" t="s">
        <v>30</v>
      </c>
      <c r="F631" t="s">
        <v>46</v>
      </c>
      <c r="G631" t="s">
        <v>56</v>
      </c>
      <c r="H631" t="s">
        <v>33</v>
      </c>
      <c r="I631" t="s">
        <v>34</v>
      </c>
      <c r="J631" t="s">
        <v>104</v>
      </c>
      <c r="K631" s="2">
        <v>25101</v>
      </c>
      <c r="L631" t="s">
        <v>36</v>
      </c>
      <c r="M631" t="s">
        <v>37</v>
      </c>
      <c r="N631" t="s">
        <v>72</v>
      </c>
      <c r="O631" t="s">
        <v>77</v>
      </c>
      <c r="P631" t="s">
        <v>40</v>
      </c>
      <c r="Q631">
        <v>3</v>
      </c>
      <c r="R631" s="2">
        <v>45082</v>
      </c>
      <c r="S631">
        <v>3</v>
      </c>
      <c r="T631">
        <v>3</v>
      </c>
      <c r="U631">
        <v>4</v>
      </c>
      <c r="V631" s="1">
        <v>44995</v>
      </c>
      <c r="W631" t="s">
        <v>41</v>
      </c>
      <c r="X631" t="s">
        <v>42</v>
      </c>
      <c r="Y631" t="s">
        <v>52</v>
      </c>
      <c r="Z631">
        <v>4</v>
      </c>
      <c r="AA631">
        <v>553.83000000000004</v>
      </c>
      <c r="AB631">
        <v>52</v>
      </c>
    </row>
    <row r="632" spans="1:28" x14ac:dyDescent="0.2">
      <c r="A632">
        <v>1121</v>
      </c>
      <c r="B632" s="1">
        <v>44271</v>
      </c>
      <c r="C632" t="s">
        <v>133</v>
      </c>
      <c r="D632" t="s">
        <v>44</v>
      </c>
      <c r="E632" t="s">
        <v>30</v>
      </c>
      <c r="F632" t="s">
        <v>46</v>
      </c>
      <c r="G632" t="s">
        <v>32</v>
      </c>
      <c r="H632" t="s">
        <v>55</v>
      </c>
      <c r="I632" t="s">
        <v>34</v>
      </c>
      <c r="J632" t="s">
        <v>47</v>
      </c>
      <c r="K632" s="2">
        <v>29735</v>
      </c>
      <c r="L632" t="s">
        <v>36</v>
      </c>
      <c r="M632" t="s">
        <v>37</v>
      </c>
      <c r="N632" t="s">
        <v>49</v>
      </c>
      <c r="O632" t="s">
        <v>39</v>
      </c>
      <c r="P632" t="s">
        <v>40</v>
      </c>
      <c r="Q632">
        <v>3</v>
      </c>
      <c r="R632" s="2">
        <v>44947</v>
      </c>
      <c r="S632">
        <v>1</v>
      </c>
      <c r="T632">
        <v>1</v>
      </c>
      <c r="U632">
        <v>4</v>
      </c>
      <c r="V632" s="1">
        <v>44823</v>
      </c>
      <c r="W632" t="s">
        <v>41</v>
      </c>
      <c r="X632" t="s">
        <v>42</v>
      </c>
      <c r="Y632" t="s">
        <v>43</v>
      </c>
      <c r="Z632">
        <v>1</v>
      </c>
      <c r="AA632">
        <v>428.9</v>
      </c>
      <c r="AB632">
        <v>40</v>
      </c>
    </row>
    <row r="633" spans="1:28" x14ac:dyDescent="0.2">
      <c r="A633">
        <v>1122</v>
      </c>
      <c r="B633" s="1">
        <v>44516</v>
      </c>
      <c r="C633" t="s">
        <v>133</v>
      </c>
      <c r="D633" t="s">
        <v>87</v>
      </c>
      <c r="E633" t="s">
        <v>30</v>
      </c>
      <c r="F633" t="s">
        <v>31</v>
      </c>
      <c r="G633" t="s">
        <v>32</v>
      </c>
      <c r="H633" t="s">
        <v>46</v>
      </c>
      <c r="I633" t="s">
        <v>34</v>
      </c>
      <c r="J633" t="s">
        <v>65</v>
      </c>
      <c r="K633" s="2">
        <v>27711</v>
      </c>
      <c r="L633" t="s">
        <v>36</v>
      </c>
      <c r="M633" t="s">
        <v>37</v>
      </c>
      <c r="N633" t="s">
        <v>38</v>
      </c>
      <c r="O633" t="s">
        <v>67</v>
      </c>
      <c r="P633" t="s">
        <v>40</v>
      </c>
      <c r="Q633">
        <v>3</v>
      </c>
      <c r="R633" s="2">
        <v>44899</v>
      </c>
      <c r="S633">
        <v>2</v>
      </c>
      <c r="T633">
        <v>1</v>
      </c>
      <c r="U633">
        <v>2</v>
      </c>
      <c r="V633" s="1">
        <v>44947</v>
      </c>
      <c r="W633" t="s">
        <v>92</v>
      </c>
      <c r="X633" t="s">
        <v>42</v>
      </c>
      <c r="Y633" t="s">
        <v>73</v>
      </c>
      <c r="Z633">
        <v>3</v>
      </c>
      <c r="AA633">
        <v>444.4</v>
      </c>
      <c r="AB633">
        <v>46</v>
      </c>
    </row>
    <row r="634" spans="1:28" x14ac:dyDescent="0.2">
      <c r="A634">
        <v>1123</v>
      </c>
      <c r="B634" s="1">
        <v>44684</v>
      </c>
      <c r="C634" t="s">
        <v>133</v>
      </c>
      <c r="D634" t="s">
        <v>81</v>
      </c>
      <c r="E634" t="s">
        <v>30</v>
      </c>
      <c r="F634" t="s">
        <v>55</v>
      </c>
      <c r="G634" t="s">
        <v>56</v>
      </c>
      <c r="H634" t="s">
        <v>55</v>
      </c>
      <c r="I634" t="s">
        <v>34</v>
      </c>
      <c r="J634" t="s">
        <v>70</v>
      </c>
      <c r="K634" s="2">
        <v>24052</v>
      </c>
      <c r="L634" t="s">
        <v>36</v>
      </c>
      <c r="M634" t="s">
        <v>37</v>
      </c>
      <c r="N634" t="s">
        <v>60</v>
      </c>
      <c r="O634" t="s">
        <v>67</v>
      </c>
      <c r="P634" t="s">
        <v>40</v>
      </c>
      <c r="Q634">
        <v>3</v>
      </c>
      <c r="R634" s="2">
        <v>45087</v>
      </c>
      <c r="S634">
        <v>2</v>
      </c>
      <c r="T634">
        <v>3</v>
      </c>
      <c r="U634">
        <v>1</v>
      </c>
      <c r="V634" s="1">
        <v>44957</v>
      </c>
      <c r="W634" t="s">
        <v>62</v>
      </c>
      <c r="X634" t="s">
        <v>42</v>
      </c>
      <c r="Y634" t="s">
        <v>63</v>
      </c>
      <c r="Z634">
        <v>4</v>
      </c>
      <c r="AA634">
        <v>254.38</v>
      </c>
      <c r="AB634">
        <v>57</v>
      </c>
    </row>
    <row r="635" spans="1:28" x14ac:dyDescent="0.2">
      <c r="A635">
        <v>1124</v>
      </c>
      <c r="B635" s="1">
        <v>43823</v>
      </c>
      <c r="C635" t="s">
        <v>133</v>
      </c>
      <c r="D635" t="s">
        <v>54</v>
      </c>
      <c r="E635" t="s">
        <v>30</v>
      </c>
      <c r="F635" t="s">
        <v>55</v>
      </c>
      <c r="G635" t="s">
        <v>45</v>
      </c>
      <c r="H635" t="s">
        <v>55</v>
      </c>
      <c r="I635" t="s">
        <v>34</v>
      </c>
      <c r="J635" t="s">
        <v>79</v>
      </c>
      <c r="K635" s="2">
        <v>31580</v>
      </c>
      <c r="L635" t="s">
        <v>36</v>
      </c>
      <c r="M635" t="s">
        <v>37</v>
      </c>
      <c r="N635" t="s">
        <v>60</v>
      </c>
      <c r="O635" t="s">
        <v>67</v>
      </c>
      <c r="P635" t="s">
        <v>40</v>
      </c>
      <c r="Q635">
        <v>3</v>
      </c>
      <c r="R635" s="2">
        <v>44984</v>
      </c>
      <c r="S635">
        <v>3</v>
      </c>
      <c r="T635">
        <v>2</v>
      </c>
      <c r="U635">
        <v>3</v>
      </c>
      <c r="V635" s="1">
        <v>44868</v>
      </c>
      <c r="W635" t="s">
        <v>92</v>
      </c>
      <c r="X635" t="s">
        <v>42</v>
      </c>
      <c r="Y635" t="s">
        <v>43</v>
      </c>
      <c r="Z635">
        <v>1</v>
      </c>
      <c r="AA635">
        <v>256.20999999999998</v>
      </c>
      <c r="AB635">
        <v>33</v>
      </c>
    </row>
    <row r="636" spans="1:28" x14ac:dyDescent="0.2">
      <c r="A636">
        <v>1125</v>
      </c>
      <c r="B636" s="1">
        <v>44490</v>
      </c>
      <c r="C636" t="s">
        <v>106</v>
      </c>
      <c r="D636" t="s">
        <v>74</v>
      </c>
      <c r="E636" t="s">
        <v>30</v>
      </c>
      <c r="F636" t="s">
        <v>31</v>
      </c>
      <c r="G636" t="s">
        <v>56</v>
      </c>
      <c r="H636" t="s">
        <v>46</v>
      </c>
      <c r="I636" t="s">
        <v>34</v>
      </c>
      <c r="J636" t="s">
        <v>47</v>
      </c>
      <c r="K636" s="2">
        <v>33363</v>
      </c>
      <c r="L636" t="s">
        <v>36</v>
      </c>
      <c r="M636" t="s">
        <v>48</v>
      </c>
      <c r="N636" t="s">
        <v>49</v>
      </c>
      <c r="O636" t="s">
        <v>67</v>
      </c>
      <c r="P636" t="s">
        <v>40</v>
      </c>
      <c r="Q636">
        <v>3</v>
      </c>
      <c r="R636" s="2">
        <v>45002</v>
      </c>
      <c r="S636">
        <v>4</v>
      </c>
      <c r="T636">
        <v>3</v>
      </c>
      <c r="U636">
        <v>4</v>
      </c>
      <c r="V636" s="1">
        <v>44909</v>
      </c>
      <c r="W636" t="s">
        <v>92</v>
      </c>
      <c r="X636" t="s">
        <v>42</v>
      </c>
      <c r="Y636" t="s">
        <v>52</v>
      </c>
      <c r="Z636">
        <v>2</v>
      </c>
      <c r="AA636">
        <v>756.19</v>
      </c>
      <c r="AB636">
        <v>30</v>
      </c>
    </row>
    <row r="637" spans="1:28" x14ac:dyDescent="0.2">
      <c r="A637">
        <v>1126</v>
      </c>
      <c r="B637" s="1">
        <v>43351</v>
      </c>
      <c r="C637" t="s">
        <v>106</v>
      </c>
      <c r="D637" t="s">
        <v>81</v>
      </c>
      <c r="E637" t="s">
        <v>108</v>
      </c>
      <c r="F637" t="s">
        <v>46</v>
      </c>
      <c r="G637" t="s">
        <v>32</v>
      </c>
      <c r="H637" t="s">
        <v>33</v>
      </c>
      <c r="I637" t="s">
        <v>34</v>
      </c>
      <c r="J637" t="s">
        <v>79</v>
      </c>
      <c r="K637" s="2">
        <v>21850</v>
      </c>
      <c r="L637" t="s">
        <v>36</v>
      </c>
      <c r="M637" t="s">
        <v>48</v>
      </c>
      <c r="N637" t="s">
        <v>38</v>
      </c>
      <c r="O637" t="s">
        <v>77</v>
      </c>
      <c r="P637" t="s">
        <v>40</v>
      </c>
      <c r="Q637">
        <v>3</v>
      </c>
      <c r="R637" s="2">
        <v>45039</v>
      </c>
      <c r="S637">
        <v>3</v>
      </c>
      <c r="T637">
        <v>3</v>
      </c>
      <c r="U637">
        <v>2</v>
      </c>
      <c r="V637" s="1">
        <v>45136</v>
      </c>
      <c r="W637" t="s">
        <v>68</v>
      </c>
      <c r="X637" t="s">
        <v>42</v>
      </c>
      <c r="Y637" t="s">
        <v>43</v>
      </c>
      <c r="Z637">
        <v>4</v>
      </c>
      <c r="AA637">
        <v>500.45</v>
      </c>
      <c r="AB637">
        <v>59</v>
      </c>
    </row>
    <row r="638" spans="1:28" x14ac:dyDescent="0.2">
      <c r="A638">
        <v>1127</v>
      </c>
      <c r="B638" s="1">
        <v>43522</v>
      </c>
      <c r="C638" t="s">
        <v>106</v>
      </c>
      <c r="D638" t="s">
        <v>54</v>
      </c>
      <c r="E638" t="s">
        <v>30</v>
      </c>
      <c r="F638" t="s">
        <v>55</v>
      </c>
      <c r="G638" t="s">
        <v>45</v>
      </c>
      <c r="H638" t="s">
        <v>55</v>
      </c>
      <c r="I638" t="s">
        <v>34</v>
      </c>
      <c r="J638" t="s">
        <v>65</v>
      </c>
      <c r="K638" s="2">
        <v>36978</v>
      </c>
      <c r="L638" t="s">
        <v>36</v>
      </c>
      <c r="M638" t="s">
        <v>48</v>
      </c>
      <c r="N638" t="s">
        <v>38</v>
      </c>
      <c r="O638" t="s">
        <v>67</v>
      </c>
      <c r="P638" t="s">
        <v>40</v>
      </c>
      <c r="Q638">
        <v>3</v>
      </c>
      <c r="R638" s="2">
        <v>44953</v>
      </c>
      <c r="S638">
        <v>5</v>
      </c>
      <c r="T638">
        <v>1</v>
      </c>
      <c r="U638">
        <v>3</v>
      </c>
      <c r="V638" s="1">
        <v>44808</v>
      </c>
      <c r="W638" t="s">
        <v>92</v>
      </c>
      <c r="X638" t="s">
        <v>51</v>
      </c>
      <c r="Y638" t="s">
        <v>52</v>
      </c>
      <c r="Z638">
        <v>2</v>
      </c>
      <c r="AA638">
        <v>500.83</v>
      </c>
      <c r="AB638">
        <v>18</v>
      </c>
    </row>
    <row r="639" spans="1:28" x14ac:dyDescent="0.2">
      <c r="A639">
        <v>1128</v>
      </c>
      <c r="B639" s="1">
        <v>45037</v>
      </c>
      <c r="C639" t="s">
        <v>106</v>
      </c>
      <c r="D639" t="s">
        <v>69</v>
      </c>
      <c r="E639" t="s">
        <v>30</v>
      </c>
      <c r="F639" t="s">
        <v>46</v>
      </c>
      <c r="G639" t="s">
        <v>56</v>
      </c>
      <c r="H639" t="s">
        <v>46</v>
      </c>
      <c r="I639" t="s">
        <v>34</v>
      </c>
      <c r="J639" t="s">
        <v>65</v>
      </c>
      <c r="K639" s="2">
        <v>20991</v>
      </c>
      <c r="L639" t="s">
        <v>36</v>
      </c>
      <c r="M639" t="s">
        <v>37</v>
      </c>
      <c r="N639" t="s">
        <v>49</v>
      </c>
      <c r="O639" t="s">
        <v>67</v>
      </c>
      <c r="P639" t="s">
        <v>40</v>
      </c>
      <c r="Q639">
        <v>3</v>
      </c>
      <c r="R639" s="2">
        <v>44975</v>
      </c>
      <c r="S639">
        <v>4</v>
      </c>
      <c r="T639">
        <v>2</v>
      </c>
      <c r="U639">
        <v>4</v>
      </c>
      <c r="V639" s="1">
        <v>45063</v>
      </c>
      <c r="W639" t="s">
        <v>92</v>
      </c>
      <c r="X639" t="s">
        <v>42</v>
      </c>
      <c r="Y639" t="s">
        <v>52</v>
      </c>
      <c r="Z639">
        <v>1</v>
      </c>
      <c r="AA639">
        <v>773.8</v>
      </c>
      <c r="AB639">
        <v>66</v>
      </c>
    </row>
    <row r="640" spans="1:28" x14ac:dyDescent="0.2">
      <c r="A640">
        <v>1129</v>
      </c>
      <c r="B640" s="1">
        <v>43727</v>
      </c>
      <c r="C640" t="s">
        <v>106</v>
      </c>
      <c r="D640" t="s">
        <v>29</v>
      </c>
      <c r="E640" t="s">
        <v>108</v>
      </c>
      <c r="F640" t="s">
        <v>55</v>
      </c>
      <c r="G640" t="s">
        <v>56</v>
      </c>
      <c r="H640" t="s">
        <v>46</v>
      </c>
      <c r="I640" t="s">
        <v>34</v>
      </c>
      <c r="J640" t="s">
        <v>70</v>
      </c>
      <c r="K640" s="2">
        <v>20592</v>
      </c>
      <c r="L640" t="s">
        <v>36</v>
      </c>
      <c r="M640" t="s">
        <v>37</v>
      </c>
      <c r="N640" t="s">
        <v>60</v>
      </c>
      <c r="O640" t="s">
        <v>67</v>
      </c>
      <c r="P640" t="s">
        <v>40</v>
      </c>
      <c r="Q640">
        <v>3</v>
      </c>
      <c r="R640" s="2">
        <v>44865</v>
      </c>
      <c r="S640">
        <v>1</v>
      </c>
      <c r="T640">
        <v>1</v>
      </c>
      <c r="U640">
        <v>1</v>
      </c>
      <c r="V640" s="1">
        <v>44815</v>
      </c>
      <c r="W640" t="s">
        <v>68</v>
      </c>
      <c r="X640" t="s">
        <v>42</v>
      </c>
      <c r="Y640" t="s">
        <v>73</v>
      </c>
      <c r="Z640">
        <v>2</v>
      </c>
      <c r="AA640">
        <v>768.06</v>
      </c>
      <c r="AB640">
        <v>63</v>
      </c>
    </row>
    <row r="641" spans="1:28" x14ac:dyDescent="0.2">
      <c r="A641">
        <v>1130</v>
      </c>
      <c r="B641" s="1">
        <v>44188</v>
      </c>
      <c r="C641" t="s">
        <v>28</v>
      </c>
      <c r="D641" t="s">
        <v>85</v>
      </c>
      <c r="E641" t="s">
        <v>30</v>
      </c>
      <c r="F641" t="s">
        <v>31</v>
      </c>
      <c r="G641" t="s">
        <v>45</v>
      </c>
      <c r="H641" t="s">
        <v>46</v>
      </c>
      <c r="I641" t="s">
        <v>34</v>
      </c>
      <c r="J641" t="s">
        <v>110</v>
      </c>
      <c r="K641" s="2">
        <v>35478</v>
      </c>
      <c r="L641" t="s">
        <v>36</v>
      </c>
      <c r="M641" t="s">
        <v>37</v>
      </c>
      <c r="N641" t="s">
        <v>49</v>
      </c>
      <c r="O641" t="s">
        <v>77</v>
      </c>
      <c r="P641" t="s">
        <v>40</v>
      </c>
      <c r="Q641">
        <v>3</v>
      </c>
      <c r="R641" s="2">
        <v>45053</v>
      </c>
      <c r="S641">
        <v>1</v>
      </c>
      <c r="T641">
        <v>5</v>
      </c>
      <c r="U641">
        <v>4</v>
      </c>
      <c r="V641" s="1">
        <v>44874</v>
      </c>
      <c r="W641" t="s">
        <v>41</v>
      </c>
      <c r="X641" t="s">
        <v>51</v>
      </c>
      <c r="Y641" t="s">
        <v>63</v>
      </c>
      <c r="Z641">
        <v>3</v>
      </c>
      <c r="AA641">
        <v>777.7</v>
      </c>
      <c r="AB641">
        <v>23</v>
      </c>
    </row>
    <row r="642" spans="1:28" x14ac:dyDescent="0.2">
      <c r="A642">
        <v>1131</v>
      </c>
      <c r="B642" s="1">
        <v>43553</v>
      </c>
      <c r="C642" t="s">
        <v>28</v>
      </c>
      <c r="D642" t="s">
        <v>44</v>
      </c>
      <c r="E642" t="s">
        <v>30</v>
      </c>
      <c r="F642" t="s">
        <v>46</v>
      </c>
      <c r="G642" t="s">
        <v>56</v>
      </c>
      <c r="H642" t="s">
        <v>46</v>
      </c>
      <c r="I642" t="s">
        <v>34</v>
      </c>
      <c r="J642" t="s">
        <v>89</v>
      </c>
      <c r="K642" s="2">
        <v>34780</v>
      </c>
      <c r="L642" t="s">
        <v>36</v>
      </c>
      <c r="M642" t="s">
        <v>37</v>
      </c>
      <c r="N642" t="s">
        <v>72</v>
      </c>
      <c r="O642" t="s">
        <v>61</v>
      </c>
      <c r="P642" t="s">
        <v>40</v>
      </c>
      <c r="Q642">
        <v>3</v>
      </c>
      <c r="R642" s="2">
        <v>45057</v>
      </c>
      <c r="S642">
        <v>4</v>
      </c>
      <c r="T642">
        <v>4</v>
      </c>
      <c r="U642">
        <v>4</v>
      </c>
      <c r="V642" s="1">
        <v>45016</v>
      </c>
      <c r="W642" t="s">
        <v>50</v>
      </c>
      <c r="X642" t="s">
        <v>42</v>
      </c>
      <c r="Y642" t="s">
        <v>52</v>
      </c>
      <c r="Z642">
        <v>2</v>
      </c>
      <c r="AA642">
        <v>943.05</v>
      </c>
      <c r="AB642">
        <v>24</v>
      </c>
    </row>
    <row r="643" spans="1:28" x14ac:dyDescent="0.2">
      <c r="A643">
        <v>1132</v>
      </c>
      <c r="B643" s="1">
        <v>44331</v>
      </c>
      <c r="C643" t="s">
        <v>28</v>
      </c>
      <c r="D643" t="s">
        <v>81</v>
      </c>
      <c r="E643" t="s">
        <v>108</v>
      </c>
      <c r="F643" t="s">
        <v>31</v>
      </c>
      <c r="G643" t="s">
        <v>56</v>
      </c>
      <c r="H643" t="s">
        <v>55</v>
      </c>
      <c r="I643" t="s">
        <v>34</v>
      </c>
      <c r="J643" t="s">
        <v>47</v>
      </c>
      <c r="K643" s="2">
        <v>23319</v>
      </c>
      <c r="L643" t="s">
        <v>36</v>
      </c>
      <c r="M643" t="s">
        <v>37</v>
      </c>
      <c r="N643" t="s">
        <v>49</v>
      </c>
      <c r="O643" t="s">
        <v>39</v>
      </c>
      <c r="P643" t="s">
        <v>40</v>
      </c>
      <c r="Q643">
        <v>3</v>
      </c>
      <c r="R643" s="2">
        <v>45122</v>
      </c>
      <c r="S643">
        <v>1</v>
      </c>
      <c r="T643">
        <v>5</v>
      </c>
      <c r="U643">
        <v>5</v>
      </c>
      <c r="V643" s="1">
        <v>44831</v>
      </c>
      <c r="W643" t="s">
        <v>92</v>
      </c>
      <c r="X643" t="s">
        <v>42</v>
      </c>
      <c r="Y643" t="s">
        <v>73</v>
      </c>
      <c r="Z643">
        <v>4</v>
      </c>
      <c r="AA643">
        <v>475.91</v>
      </c>
      <c r="AB643">
        <v>58</v>
      </c>
    </row>
    <row r="644" spans="1:28" x14ac:dyDescent="0.2">
      <c r="A644">
        <v>1133</v>
      </c>
      <c r="B644" s="1">
        <v>44634</v>
      </c>
      <c r="C644" t="s">
        <v>28</v>
      </c>
      <c r="D644" t="s">
        <v>54</v>
      </c>
      <c r="E644" t="s">
        <v>108</v>
      </c>
      <c r="F644" t="s">
        <v>55</v>
      </c>
      <c r="G644" t="s">
        <v>56</v>
      </c>
      <c r="H644" t="s">
        <v>46</v>
      </c>
      <c r="I644" t="s">
        <v>34</v>
      </c>
      <c r="J644" t="s">
        <v>47</v>
      </c>
      <c r="K644" s="2">
        <v>18222</v>
      </c>
      <c r="L644" t="s">
        <v>36</v>
      </c>
      <c r="M644" t="s">
        <v>37</v>
      </c>
      <c r="N644" t="s">
        <v>49</v>
      </c>
      <c r="O644" t="s">
        <v>67</v>
      </c>
      <c r="P644" t="s">
        <v>40</v>
      </c>
      <c r="Q644">
        <v>3</v>
      </c>
      <c r="R644" s="2">
        <v>45092</v>
      </c>
      <c r="S644">
        <v>1</v>
      </c>
      <c r="T644">
        <v>2</v>
      </c>
      <c r="U644">
        <v>4</v>
      </c>
      <c r="V644" s="1">
        <v>44792</v>
      </c>
      <c r="W644" t="s">
        <v>50</v>
      </c>
      <c r="X644" t="s">
        <v>51</v>
      </c>
      <c r="Y644" t="s">
        <v>73</v>
      </c>
      <c r="Z644">
        <v>3</v>
      </c>
      <c r="AA644">
        <v>107.14</v>
      </c>
      <c r="AB644">
        <v>73</v>
      </c>
    </row>
    <row r="645" spans="1:28" x14ac:dyDescent="0.2">
      <c r="A645">
        <v>1134</v>
      </c>
      <c r="B645" s="1">
        <v>44536</v>
      </c>
      <c r="C645" t="s">
        <v>28</v>
      </c>
      <c r="D645" t="s">
        <v>69</v>
      </c>
      <c r="E645" t="s">
        <v>108</v>
      </c>
      <c r="F645" t="s">
        <v>46</v>
      </c>
      <c r="G645" t="s">
        <v>32</v>
      </c>
      <c r="H645" t="s">
        <v>33</v>
      </c>
      <c r="I645" t="s">
        <v>34</v>
      </c>
      <c r="J645" t="s">
        <v>65</v>
      </c>
      <c r="K645" s="2">
        <v>35315</v>
      </c>
      <c r="L645" t="s">
        <v>36</v>
      </c>
      <c r="M645" t="s">
        <v>37</v>
      </c>
      <c r="N645" t="s">
        <v>84</v>
      </c>
      <c r="O645" t="s">
        <v>61</v>
      </c>
      <c r="P645" t="s">
        <v>40</v>
      </c>
      <c r="Q645">
        <v>3</v>
      </c>
      <c r="R645" s="2">
        <v>44924</v>
      </c>
      <c r="S645">
        <v>4</v>
      </c>
      <c r="T645">
        <v>1</v>
      </c>
      <c r="U645">
        <v>2</v>
      </c>
      <c r="V645" s="1">
        <v>44904</v>
      </c>
      <c r="W645" t="s">
        <v>92</v>
      </c>
      <c r="X645" t="s">
        <v>51</v>
      </c>
      <c r="Y645" t="s">
        <v>73</v>
      </c>
      <c r="Z645">
        <v>1</v>
      </c>
      <c r="AA645">
        <v>271.49</v>
      </c>
      <c r="AB645">
        <v>25</v>
      </c>
    </row>
    <row r="646" spans="1:28" x14ac:dyDescent="0.2">
      <c r="A646">
        <v>1135</v>
      </c>
      <c r="B646" s="1">
        <v>44496</v>
      </c>
      <c r="C646" t="s">
        <v>28</v>
      </c>
      <c r="D646" t="s">
        <v>29</v>
      </c>
      <c r="E646" t="s">
        <v>30</v>
      </c>
      <c r="F646" t="s">
        <v>55</v>
      </c>
      <c r="G646" t="s">
        <v>45</v>
      </c>
      <c r="H646" t="s">
        <v>33</v>
      </c>
      <c r="I646" t="s">
        <v>34</v>
      </c>
      <c r="J646" t="s">
        <v>79</v>
      </c>
      <c r="K646" s="2">
        <v>23619</v>
      </c>
      <c r="L646" t="s">
        <v>36</v>
      </c>
      <c r="M646" t="s">
        <v>48</v>
      </c>
      <c r="N646" t="s">
        <v>60</v>
      </c>
      <c r="O646" t="s">
        <v>39</v>
      </c>
      <c r="P646" t="s">
        <v>40</v>
      </c>
      <c r="Q646">
        <v>3</v>
      </c>
      <c r="R646" s="2">
        <v>44980</v>
      </c>
      <c r="S646">
        <v>5</v>
      </c>
      <c r="T646">
        <v>4</v>
      </c>
      <c r="U646">
        <v>4</v>
      </c>
      <c r="V646" s="1">
        <v>45007</v>
      </c>
      <c r="W646" t="s">
        <v>62</v>
      </c>
      <c r="X646" t="s">
        <v>42</v>
      </c>
      <c r="Y646" t="s">
        <v>73</v>
      </c>
      <c r="Z646">
        <v>2</v>
      </c>
      <c r="AA646">
        <v>524.23</v>
      </c>
      <c r="AB646">
        <v>57</v>
      </c>
    </row>
    <row r="647" spans="1:28" x14ac:dyDescent="0.2">
      <c r="A647">
        <v>1136</v>
      </c>
      <c r="B647" s="1">
        <v>45017</v>
      </c>
      <c r="C647" t="s">
        <v>28</v>
      </c>
      <c r="D647" t="s">
        <v>85</v>
      </c>
      <c r="E647" t="s">
        <v>30</v>
      </c>
      <c r="F647" t="s">
        <v>55</v>
      </c>
      <c r="G647" t="s">
        <v>45</v>
      </c>
      <c r="H647" t="s">
        <v>33</v>
      </c>
      <c r="I647" t="s">
        <v>34</v>
      </c>
      <c r="J647" t="s">
        <v>70</v>
      </c>
      <c r="K647" s="2">
        <v>16888</v>
      </c>
      <c r="L647" t="s">
        <v>36</v>
      </c>
      <c r="M647" t="s">
        <v>48</v>
      </c>
      <c r="N647" t="s">
        <v>60</v>
      </c>
      <c r="O647" t="s">
        <v>77</v>
      </c>
      <c r="P647" t="s">
        <v>40</v>
      </c>
      <c r="Q647">
        <v>3</v>
      </c>
      <c r="R647" s="2">
        <v>45025</v>
      </c>
      <c r="S647">
        <v>2</v>
      </c>
      <c r="T647">
        <v>5</v>
      </c>
      <c r="U647">
        <v>2</v>
      </c>
      <c r="V647" s="1">
        <v>44920</v>
      </c>
      <c r="W647" t="s">
        <v>50</v>
      </c>
      <c r="X647" t="s">
        <v>51</v>
      </c>
      <c r="Y647" t="s">
        <v>63</v>
      </c>
      <c r="Z647">
        <v>3</v>
      </c>
      <c r="AA647">
        <v>535.88</v>
      </c>
      <c r="AB647">
        <v>77</v>
      </c>
    </row>
    <row r="648" spans="1:28" x14ac:dyDescent="0.2">
      <c r="A648">
        <v>1137</v>
      </c>
      <c r="B648" s="1">
        <v>43614</v>
      </c>
      <c r="C648" t="s">
        <v>28</v>
      </c>
      <c r="D648" t="s">
        <v>44</v>
      </c>
      <c r="E648" t="s">
        <v>30</v>
      </c>
      <c r="F648" t="s">
        <v>55</v>
      </c>
      <c r="G648" t="s">
        <v>32</v>
      </c>
      <c r="H648" t="s">
        <v>46</v>
      </c>
      <c r="I648" t="s">
        <v>34</v>
      </c>
      <c r="J648" t="s">
        <v>70</v>
      </c>
      <c r="K648" s="2">
        <v>19783</v>
      </c>
      <c r="L648" t="s">
        <v>36</v>
      </c>
      <c r="M648" t="s">
        <v>48</v>
      </c>
      <c r="N648" t="s">
        <v>72</v>
      </c>
      <c r="O648" t="s">
        <v>61</v>
      </c>
      <c r="P648" t="s">
        <v>40</v>
      </c>
      <c r="Q648">
        <v>3</v>
      </c>
      <c r="R648" s="2">
        <v>44877</v>
      </c>
      <c r="S648">
        <v>3</v>
      </c>
      <c r="T648">
        <v>3</v>
      </c>
      <c r="U648">
        <v>5</v>
      </c>
      <c r="V648" s="1">
        <v>44813</v>
      </c>
      <c r="W648" t="s">
        <v>92</v>
      </c>
      <c r="X648" t="s">
        <v>42</v>
      </c>
      <c r="Y648" t="s">
        <v>73</v>
      </c>
      <c r="Z648">
        <v>5</v>
      </c>
      <c r="AA648">
        <v>270.92</v>
      </c>
      <c r="AB648">
        <v>65</v>
      </c>
    </row>
    <row r="649" spans="1:28" x14ac:dyDescent="0.2">
      <c r="A649">
        <v>1138</v>
      </c>
      <c r="B649" s="1">
        <v>43658</v>
      </c>
      <c r="C649" t="s">
        <v>28</v>
      </c>
      <c r="D649" t="s">
        <v>87</v>
      </c>
      <c r="E649" t="s">
        <v>30</v>
      </c>
      <c r="F649" t="s">
        <v>55</v>
      </c>
      <c r="G649" t="s">
        <v>56</v>
      </c>
      <c r="H649" t="s">
        <v>33</v>
      </c>
      <c r="I649" t="s">
        <v>34</v>
      </c>
      <c r="J649" t="s">
        <v>75</v>
      </c>
      <c r="K649" s="2">
        <v>30530</v>
      </c>
      <c r="L649" t="s">
        <v>36</v>
      </c>
      <c r="M649" t="s">
        <v>48</v>
      </c>
      <c r="N649" t="s">
        <v>72</v>
      </c>
      <c r="O649" t="s">
        <v>77</v>
      </c>
      <c r="P649" t="s">
        <v>40</v>
      </c>
      <c r="Q649">
        <v>3</v>
      </c>
      <c r="R649" s="2">
        <v>44853</v>
      </c>
      <c r="S649">
        <v>4</v>
      </c>
      <c r="T649">
        <v>5</v>
      </c>
      <c r="U649">
        <v>1</v>
      </c>
      <c r="V649" s="1">
        <v>44814</v>
      </c>
      <c r="W649" t="s">
        <v>50</v>
      </c>
      <c r="X649" t="s">
        <v>42</v>
      </c>
      <c r="Y649" t="s">
        <v>43</v>
      </c>
      <c r="Z649">
        <v>4</v>
      </c>
      <c r="AA649">
        <v>155.13999999999999</v>
      </c>
      <c r="AB649">
        <v>36</v>
      </c>
    </row>
    <row r="650" spans="1:28" x14ac:dyDescent="0.2">
      <c r="A650">
        <v>1139</v>
      </c>
      <c r="B650" s="1">
        <v>43322</v>
      </c>
      <c r="C650" t="s">
        <v>28</v>
      </c>
      <c r="D650" t="s">
        <v>64</v>
      </c>
      <c r="E650" t="s">
        <v>30</v>
      </c>
      <c r="F650" t="s">
        <v>31</v>
      </c>
      <c r="G650" t="s">
        <v>45</v>
      </c>
      <c r="H650" t="s">
        <v>33</v>
      </c>
      <c r="I650" t="s">
        <v>34</v>
      </c>
      <c r="J650" t="s">
        <v>89</v>
      </c>
      <c r="K650" s="2">
        <v>19460</v>
      </c>
      <c r="L650" t="s">
        <v>36</v>
      </c>
      <c r="M650" t="s">
        <v>48</v>
      </c>
      <c r="N650" t="s">
        <v>49</v>
      </c>
      <c r="O650" t="s">
        <v>67</v>
      </c>
      <c r="P650" t="s">
        <v>40</v>
      </c>
      <c r="Q650">
        <v>3</v>
      </c>
      <c r="R650" s="2">
        <v>44800</v>
      </c>
      <c r="S650">
        <v>2</v>
      </c>
      <c r="T650">
        <v>4</v>
      </c>
      <c r="U650">
        <v>2</v>
      </c>
      <c r="V650" s="1">
        <v>44835</v>
      </c>
      <c r="W650" t="s">
        <v>50</v>
      </c>
      <c r="X650" t="s">
        <v>51</v>
      </c>
      <c r="Y650" t="s">
        <v>63</v>
      </c>
      <c r="Z650">
        <v>1</v>
      </c>
      <c r="AA650">
        <v>930.06</v>
      </c>
      <c r="AB650">
        <v>65</v>
      </c>
    </row>
    <row r="651" spans="1:28" x14ac:dyDescent="0.2">
      <c r="A651">
        <v>1140</v>
      </c>
      <c r="B651" s="1">
        <v>44468</v>
      </c>
      <c r="C651" t="s">
        <v>28</v>
      </c>
      <c r="D651" t="s">
        <v>94</v>
      </c>
      <c r="E651" t="s">
        <v>30</v>
      </c>
      <c r="F651" t="s">
        <v>46</v>
      </c>
      <c r="G651" t="s">
        <v>32</v>
      </c>
      <c r="H651" t="s">
        <v>55</v>
      </c>
      <c r="I651" t="s">
        <v>34</v>
      </c>
      <c r="J651" t="s">
        <v>79</v>
      </c>
      <c r="K651" s="2">
        <v>32366</v>
      </c>
      <c r="L651" t="s">
        <v>36</v>
      </c>
      <c r="M651" t="s">
        <v>37</v>
      </c>
      <c r="N651" t="s">
        <v>72</v>
      </c>
      <c r="O651" t="s">
        <v>61</v>
      </c>
      <c r="P651" t="s">
        <v>40</v>
      </c>
      <c r="Q651">
        <v>3</v>
      </c>
      <c r="R651" s="2">
        <v>45050</v>
      </c>
      <c r="S651">
        <v>5</v>
      </c>
      <c r="T651">
        <v>3</v>
      </c>
      <c r="U651">
        <v>2</v>
      </c>
      <c r="V651" s="1">
        <v>44831</v>
      </c>
      <c r="W651" t="s">
        <v>50</v>
      </c>
      <c r="X651" t="s">
        <v>42</v>
      </c>
      <c r="Y651" t="s">
        <v>73</v>
      </c>
      <c r="Z651">
        <v>1</v>
      </c>
      <c r="AA651">
        <v>949.81</v>
      </c>
      <c r="AB651">
        <v>33</v>
      </c>
    </row>
    <row r="652" spans="1:28" x14ac:dyDescent="0.2">
      <c r="A652">
        <v>1141</v>
      </c>
      <c r="B652" s="1">
        <v>44413</v>
      </c>
      <c r="C652" t="s">
        <v>28</v>
      </c>
      <c r="D652" t="s">
        <v>74</v>
      </c>
      <c r="E652" t="s">
        <v>30</v>
      </c>
      <c r="F652" t="s">
        <v>31</v>
      </c>
      <c r="G652" t="s">
        <v>45</v>
      </c>
      <c r="H652" t="s">
        <v>55</v>
      </c>
      <c r="I652" t="s">
        <v>34</v>
      </c>
      <c r="J652" t="s">
        <v>70</v>
      </c>
      <c r="K652" s="2">
        <v>15202</v>
      </c>
      <c r="L652" t="s">
        <v>36</v>
      </c>
      <c r="M652" t="s">
        <v>37</v>
      </c>
      <c r="N652" t="s">
        <v>72</v>
      </c>
      <c r="O652" t="s">
        <v>77</v>
      </c>
      <c r="P652" t="s">
        <v>40</v>
      </c>
      <c r="Q652">
        <v>3</v>
      </c>
      <c r="R652" s="2">
        <v>44921</v>
      </c>
      <c r="S652">
        <v>5</v>
      </c>
      <c r="T652">
        <v>5</v>
      </c>
      <c r="U652">
        <v>2</v>
      </c>
      <c r="V652" s="1">
        <v>45063</v>
      </c>
      <c r="W652" t="s">
        <v>68</v>
      </c>
      <c r="X652" t="s">
        <v>42</v>
      </c>
      <c r="Y652" t="s">
        <v>52</v>
      </c>
      <c r="Z652">
        <v>1</v>
      </c>
      <c r="AA652">
        <v>635.30999999999995</v>
      </c>
      <c r="AB652">
        <v>80</v>
      </c>
    </row>
    <row r="653" spans="1:28" x14ac:dyDescent="0.2">
      <c r="A653">
        <v>1142</v>
      </c>
      <c r="B653" s="1">
        <v>45140</v>
      </c>
      <c r="C653" t="s">
        <v>133</v>
      </c>
      <c r="D653" t="s">
        <v>81</v>
      </c>
      <c r="E653" t="s">
        <v>30</v>
      </c>
      <c r="F653" t="s">
        <v>55</v>
      </c>
      <c r="G653" t="s">
        <v>56</v>
      </c>
      <c r="H653" t="s">
        <v>33</v>
      </c>
      <c r="I653" t="s">
        <v>34</v>
      </c>
      <c r="J653" t="s">
        <v>96</v>
      </c>
      <c r="K653" s="2">
        <v>33918</v>
      </c>
      <c r="L653" t="s">
        <v>36</v>
      </c>
      <c r="M653" t="s">
        <v>37</v>
      </c>
      <c r="N653" t="s">
        <v>84</v>
      </c>
      <c r="O653" t="s">
        <v>67</v>
      </c>
      <c r="P653" t="s">
        <v>40</v>
      </c>
      <c r="Q653">
        <v>3</v>
      </c>
      <c r="R653" s="2">
        <v>45098</v>
      </c>
      <c r="S653">
        <v>4</v>
      </c>
      <c r="T653">
        <v>4</v>
      </c>
      <c r="U653">
        <v>4</v>
      </c>
      <c r="V653" s="1">
        <v>45124</v>
      </c>
      <c r="W653" t="s">
        <v>41</v>
      </c>
      <c r="X653" t="s">
        <v>51</v>
      </c>
      <c r="Y653" t="s">
        <v>63</v>
      </c>
      <c r="Z653">
        <v>3</v>
      </c>
      <c r="AA653">
        <v>675.04</v>
      </c>
      <c r="AB653">
        <v>31</v>
      </c>
    </row>
    <row r="654" spans="1:28" x14ac:dyDescent="0.2">
      <c r="A654">
        <v>1143</v>
      </c>
      <c r="B654" s="1">
        <v>43345</v>
      </c>
      <c r="C654" t="s">
        <v>133</v>
      </c>
      <c r="D654" t="s">
        <v>54</v>
      </c>
      <c r="E654" t="s">
        <v>30</v>
      </c>
      <c r="F654" t="s">
        <v>31</v>
      </c>
      <c r="G654" t="s">
        <v>45</v>
      </c>
      <c r="H654" t="s">
        <v>55</v>
      </c>
      <c r="I654" t="s">
        <v>34</v>
      </c>
      <c r="J654" t="s">
        <v>70</v>
      </c>
      <c r="K654" s="2">
        <v>15512</v>
      </c>
      <c r="L654" t="s">
        <v>36</v>
      </c>
      <c r="M654" t="s">
        <v>37</v>
      </c>
      <c r="N654" t="s">
        <v>49</v>
      </c>
      <c r="O654" t="s">
        <v>39</v>
      </c>
      <c r="P654" t="s">
        <v>40</v>
      </c>
      <c r="Q654">
        <v>3</v>
      </c>
      <c r="R654" s="2">
        <v>44908</v>
      </c>
      <c r="S654">
        <v>2</v>
      </c>
      <c r="T654">
        <v>4</v>
      </c>
      <c r="U654">
        <v>2</v>
      </c>
      <c r="V654" s="1">
        <v>44915</v>
      </c>
      <c r="W654" t="s">
        <v>50</v>
      </c>
      <c r="X654" t="s">
        <v>42</v>
      </c>
      <c r="Y654" t="s">
        <v>43</v>
      </c>
      <c r="Z654">
        <v>3</v>
      </c>
      <c r="AA654">
        <v>563.38</v>
      </c>
      <c r="AB654">
        <v>76</v>
      </c>
    </row>
    <row r="655" spans="1:28" x14ac:dyDescent="0.2">
      <c r="A655">
        <v>1144</v>
      </c>
      <c r="B655" s="1">
        <v>43751</v>
      </c>
      <c r="C655" t="s">
        <v>133</v>
      </c>
      <c r="D655" t="s">
        <v>69</v>
      </c>
      <c r="E655" t="s">
        <v>30</v>
      </c>
      <c r="F655" t="s">
        <v>46</v>
      </c>
      <c r="G655" t="s">
        <v>56</v>
      </c>
      <c r="H655" t="s">
        <v>46</v>
      </c>
      <c r="I655" t="s">
        <v>34</v>
      </c>
      <c r="J655" t="s">
        <v>101</v>
      </c>
      <c r="K655" s="2">
        <v>23117</v>
      </c>
      <c r="L655" t="s">
        <v>36</v>
      </c>
      <c r="M655" t="s">
        <v>37</v>
      </c>
      <c r="N655" t="s">
        <v>84</v>
      </c>
      <c r="O655" t="s">
        <v>61</v>
      </c>
      <c r="P655" t="s">
        <v>40</v>
      </c>
      <c r="Q655">
        <v>3</v>
      </c>
      <c r="R655" s="2">
        <v>44868</v>
      </c>
      <c r="S655">
        <v>5</v>
      </c>
      <c r="T655">
        <v>3</v>
      </c>
      <c r="U655">
        <v>2</v>
      </c>
      <c r="V655" s="1">
        <v>44936</v>
      </c>
      <c r="W655" t="s">
        <v>92</v>
      </c>
      <c r="X655" t="s">
        <v>51</v>
      </c>
      <c r="Y655" t="s">
        <v>63</v>
      </c>
      <c r="Z655">
        <v>4</v>
      </c>
      <c r="AA655">
        <v>750.25</v>
      </c>
      <c r="AB655">
        <v>56</v>
      </c>
    </row>
    <row r="656" spans="1:28" x14ac:dyDescent="0.2">
      <c r="A656">
        <v>1145</v>
      </c>
      <c r="B656" s="1">
        <v>44098</v>
      </c>
      <c r="C656" t="s">
        <v>106</v>
      </c>
      <c r="D656" t="s">
        <v>64</v>
      </c>
      <c r="E656" t="s">
        <v>30</v>
      </c>
      <c r="F656" t="s">
        <v>31</v>
      </c>
      <c r="G656" t="s">
        <v>56</v>
      </c>
      <c r="H656" t="s">
        <v>55</v>
      </c>
      <c r="I656" t="s">
        <v>34</v>
      </c>
      <c r="J656" t="s">
        <v>100</v>
      </c>
      <c r="K656" s="2">
        <v>17596</v>
      </c>
      <c r="L656" t="s">
        <v>36</v>
      </c>
      <c r="M656" t="s">
        <v>48</v>
      </c>
      <c r="N656" t="s">
        <v>49</v>
      </c>
      <c r="O656" t="s">
        <v>67</v>
      </c>
      <c r="P656" t="s">
        <v>40</v>
      </c>
      <c r="Q656">
        <v>3</v>
      </c>
      <c r="R656" s="2">
        <v>44858</v>
      </c>
      <c r="S656">
        <v>3</v>
      </c>
      <c r="T656">
        <v>3</v>
      </c>
      <c r="U656">
        <v>4</v>
      </c>
      <c r="V656" s="1">
        <v>44880</v>
      </c>
      <c r="W656" t="s">
        <v>68</v>
      </c>
      <c r="X656" t="s">
        <v>42</v>
      </c>
      <c r="Y656" t="s">
        <v>52</v>
      </c>
      <c r="Z656">
        <v>2</v>
      </c>
      <c r="AA656">
        <v>401.53</v>
      </c>
      <c r="AB656">
        <v>72</v>
      </c>
    </row>
    <row r="657" spans="1:28" x14ac:dyDescent="0.2">
      <c r="A657">
        <v>1146</v>
      </c>
      <c r="B657" s="1">
        <v>45144</v>
      </c>
      <c r="C657" t="s">
        <v>106</v>
      </c>
      <c r="D657" t="s">
        <v>85</v>
      </c>
      <c r="E657" t="s">
        <v>30</v>
      </c>
      <c r="F657" t="s">
        <v>31</v>
      </c>
      <c r="G657" t="s">
        <v>32</v>
      </c>
      <c r="H657" t="s">
        <v>46</v>
      </c>
      <c r="I657" t="s">
        <v>34</v>
      </c>
      <c r="J657" t="s">
        <v>70</v>
      </c>
      <c r="K657" s="2">
        <v>23325</v>
      </c>
      <c r="L657" t="s">
        <v>36</v>
      </c>
      <c r="M657" t="s">
        <v>48</v>
      </c>
      <c r="N657" t="s">
        <v>49</v>
      </c>
      <c r="O657" t="s">
        <v>77</v>
      </c>
      <c r="P657" t="s">
        <v>40</v>
      </c>
      <c r="Q657">
        <v>3</v>
      </c>
      <c r="R657" s="2">
        <v>44825</v>
      </c>
      <c r="S657">
        <v>3</v>
      </c>
      <c r="T657">
        <v>2</v>
      </c>
      <c r="U657">
        <v>2</v>
      </c>
      <c r="V657" s="1">
        <v>45105</v>
      </c>
      <c r="W657" t="s">
        <v>68</v>
      </c>
      <c r="X657" t="s">
        <v>51</v>
      </c>
      <c r="Y657" t="s">
        <v>43</v>
      </c>
      <c r="Z657">
        <v>3</v>
      </c>
      <c r="AA657">
        <v>894.88</v>
      </c>
      <c r="AB657">
        <v>60</v>
      </c>
    </row>
    <row r="658" spans="1:28" x14ac:dyDescent="0.2">
      <c r="A658">
        <v>1147</v>
      </c>
      <c r="B658" s="1">
        <v>43627</v>
      </c>
      <c r="C658" t="s">
        <v>106</v>
      </c>
      <c r="D658" t="s">
        <v>94</v>
      </c>
      <c r="E658" t="s">
        <v>108</v>
      </c>
      <c r="F658" t="s">
        <v>55</v>
      </c>
      <c r="G658" t="s">
        <v>56</v>
      </c>
      <c r="H658" t="s">
        <v>55</v>
      </c>
      <c r="I658" t="s">
        <v>34</v>
      </c>
      <c r="J658" t="s">
        <v>65</v>
      </c>
      <c r="K658" s="2">
        <v>15979</v>
      </c>
      <c r="L658" t="s">
        <v>36</v>
      </c>
      <c r="M658" t="s">
        <v>37</v>
      </c>
      <c r="N658" t="s">
        <v>72</v>
      </c>
      <c r="O658" t="s">
        <v>61</v>
      </c>
      <c r="P658" t="s">
        <v>40</v>
      </c>
      <c r="Q658">
        <v>3</v>
      </c>
      <c r="R658" s="2">
        <v>45004</v>
      </c>
      <c r="S658">
        <v>1</v>
      </c>
      <c r="T658">
        <v>3</v>
      </c>
      <c r="U658">
        <v>5</v>
      </c>
      <c r="V658" s="1">
        <v>44951</v>
      </c>
      <c r="W658" t="s">
        <v>41</v>
      </c>
      <c r="X658" t="s">
        <v>42</v>
      </c>
      <c r="Y658" t="s">
        <v>43</v>
      </c>
      <c r="Z658">
        <v>2</v>
      </c>
      <c r="AA658">
        <v>247.58</v>
      </c>
      <c r="AB658">
        <v>76</v>
      </c>
    </row>
    <row r="659" spans="1:28" x14ac:dyDescent="0.2">
      <c r="A659">
        <v>1148</v>
      </c>
      <c r="B659" s="1">
        <v>43510</v>
      </c>
      <c r="C659" t="s">
        <v>106</v>
      </c>
      <c r="D659" t="s">
        <v>54</v>
      </c>
      <c r="E659" t="s">
        <v>30</v>
      </c>
      <c r="F659" t="s">
        <v>46</v>
      </c>
      <c r="G659" t="s">
        <v>45</v>
      </c>
      <c r="H659" t="s">
        <v>33</v>
      </c>
      <c r="I659" t="s">
        <v>34</v>
      </c>
      <c r="J659" t="s">
        <v>101</v>
      </c>
      <c r="K659" s="2">
        <v>15879</v>
      </c>
      <c r="L659" t="s">
        <v>36</v>
      </c>
      <c r="M659" t="s">
        <v>37</v>
      </c>
      <c r="N659" t="s">
        <v>72</v>
      </c>
      <c r="O659" t="s">
        <v>67</v>
      </c>
      <c r="P659" t="s">
        <v>40</v>
      </c>
      <c r="Q659">
        <v>3</v>
      </c>
      <c r="R659" s="2">
        <v>45018</v>
      </c>
      <c r="S659">
        <v>4</v>
      </c>
      <c r="T659">
        <v>1</v>
      </c>
      <c r="U659">
        <v>3</v>
      </c>
      <c r="V659" s="1">
        <v>44805</v>
      </c>
      <c r="W659" t="s">
        <v>92</v>
      </c>
      <c r="X659" t="s">
        <v>51</v>
      </c>
      <c r="Y659" t="s">
        <v>73</v>
      </c>
      <c r="Z659">
        <v>3</v>
      </c>
      <c r="AA659">
        <v>529</v>
      </c>
      <c r="AB659">
        <v>76</v>
      </c>
    </row>
    <row r="660" spans="1:28" x14ac:dyDescent="0.2">
      <c r="A660">
        <v>1149</v>
      </c>
      <c r="B660" s="1">
        <v>44637</v>
      </c>
      <c r="C660" t="s">
        <v>106</v>
      </c>
      <c r="D660" t="s">
        <v>81</v>
      </c>
      <c r="E660" t="s">
        <v>30</v>
      </c>
      <c r="F660" t="s">
        <v>46</v>
      </c>
      <c r="G660" t="s">
        <v>32</v>
      </c>
      <c r="H660" t="s">
        <v>33</v>
      </c>
      <c r="I660" t="s">
        <v>34</v>
      </c>
      <c r="J660" t="s">
        <v>70</v>
      </c>
      <c r="K660" s="2">
        <v>15236</v>
      </c>
      <c r="L660" t="s">
        <v>36</v>
      </c>
      <c r="M660" t="s">
        <v>37</v>
      </c>
      <c r="N660" t="s">
        <v>84</v>
      </c>
      <c r="O660" t="s">
        <v>67</v>
      </c>
      <c r="P660" t="s">
        <v>40</v>
      </c>
      <c r="Q660">
        <v>3</v>
      </c>
      <c r="R660" s="2">
        <v>44868</v>
      </c>
      <c r="S660">
        <v>3</v>
      </c>
      <c r="T660">
        <v>2</v>
      </c>
      <c r="U660">
        <v>5</v>
      </c>
      <c r="V660" s="1">
        <v>45138</v>
      </c>
      <c r="W660" t="s">
        <v>41</v>
      </c>
      <c r="X660" t="s">
        <v>51</v>
      </c>
      <c r="Y660" t="s">
        <v>43</v>
      </c>
      <c r="Z660">
        <v>5</v>
      </c>
      <c r="AA660">
        <v>483.99</v>
      </c>
      <c r="AB660">
        <v>81</v>
      </c>
    </row>
    <row r="661" spans="1:28" x14ac:dyDescent="0.2">
      <c r="A661">
        <v>1150</v>
      </c>
      <c r="B661" s="1">
        <v>44048</v>
      </c>
      <c r="C661" t="s">
        <v>28</v>
      </c>
      <c r="D661" t="s">
        <v>87</v>
      </c>
      <c r="E661" t="s">
        <v>30</v>
      </c>
      <c r="F661" t="s">
        <v>46</v>
      </c>
      <c r="G661" t="s">
        <v>45</v>
      </c>
      <c r="H661" t="s">
        <v>55</v>
      </c>
      <c r="I661" t="s">
        <v>34</v>
      </c>
      <c r="J661" t="s">
        <v>47</v>
      </c>
      <c r="K661" s="2">
        <v>29679</v>
      </c>
      <c r="L661" t="s">
        <v>36</v>
      </c>
      <c r="M661" t="s">
        <v>37</v>
      </c>
      <c r="N661" t="s">
        <v>38</v>
      </c>
      <c r="O661" t="s">
        <v>61</v>
      </c>
      <c r="P661" t="s">
        <v>40</v>
      </c>
      <c r="Q661">
        <v>3</v>
      </c>
      <c r="R661" s="2">
        <v>44923</v>
      </c>
      <c r="S661">
        <v>3</v>
      </c>
      <c r="T661">
        <v>4</v>
      </c>
      <c r="U661">
        <v>4</v>
      </c>
      <c r="V661" s="1">
        <v>45080</v>
      </c>
      <c r="W661" t="s">
        <v>62</v>
      </c>
      <c r="X661" t="s">
        <v>51</v>
      </c>
      <c r="Y661" t="s">
        <v>52</v>
      </c>
      <c r="Z661">
        <v>5</v>
      </c>
      <c r="AA661">
        <v>797.35</v>
      </c>
      <c r="AB661">
        <v>39</v>
      </c>
    </row>
    <row r="662" spans="1:28" x14ac:dyDescent="0.2">
      <c r="A662">
        <v>1151</v>
      </c>
      <c r="B662" s="1">
        <v>44796</v>
      </c>
      <c r="C662" t="s">
        <v>28</v>
      </c>
      <c r="D662" t="s">
        <v>44</v>
      </c>
      <c r="E662" t="s">
        <v>30</v>
      </c>
      <c r="F662" t="s">
        <v>46</v>
      </c>
      <c r="G662" t="s">
        <v>45</v>
      </c>
      <c r="H662" t="s">
        <v>46</v>
      </c>
      <c r="I662" t="s">
        <v>34</v>
      </c>
      <c r="J662" t="s">
        <v>70</v>
      </c>
      <c r="K662" s="2">
        <v>28670</v>
      </c>
      <c r="L662" t="s">
        <v>36</v>
      </c>
      <c r="M662" t="s">
        <v>48</v>
      </c>
      <c r="N662" t="s">
        <v>84</v>
      </c>
      <c r="O662" t="s">
        <v>39</v>
      </c>
      <c r="P662" t="s">
        <v>40</v>
      </c>
      <c r="Q662">
        <v>3</v>
      </c>
      <c r="R662" s="2">
        <v>44907</v>
      </c>
      <c r="S662">
        <v>5</v>
      </c>
      <c r="T662">
        <v>3</v>
      </c>
      <c r="U662">
        <v>1</v>
      </c>
      <c r="V662" s="1">
        <v>44914</v>
      </c>
      <c r="W662" t="s">
        <v>62</v>
      </c>
      <c r="X662" t="s">
        <v>51</v>
      </c>
      <c r="Y662" t="s">
        <v>73</v>
      </c>
      <c r="Z662">
        <v>4</v>
      </c>
      <c r="AA662">
        <v>707.59</v>
      </c>
      <c r="AB662">
        <v>44</v>
      </c>
    </row>
    <row r="663" spans="1:28" x14ac:dyDescent="0.2">
      <c r="A663">
        <v>1152</v>
      </c>
      <c r="B663" s="1">
        <v>44938</v>
      </c>
      <c r="C663" t="s">
        <v>28</v>
      </c>
      <c r="D663" t="s">
        <v>29</v>
      </c>
      <c r="E663" t="s">
        <v>30</v>
      </c>
      <c r="F663" t="s">
        <v>55</v>
      </c>
      <c r="G663" t="s">
        <v>45</v>
      </c>
      <c r="H663" t="s">
        <v>55</v>
      </c>
      <c r="I663" t="s">
        <v>34</v>
      </c>
      <c r="J663" t="s">
        <v>79</v>
      </c>
      <c r="K663" s="2">
        <v>23286</v>
      </c>
      <c r="L663" t="s">
        <v>36</v>
      </c>
      <c r="M663" t="s">
        <v>37</v>
      </c>
      <c r="N663" t="s">
        <v>60</v>
      </c>
      <c r="O663" t="s">
        <v>77</v>
      </c>
      <c r="P663" t="s">
        <v>40</v>
      </c>
      <c r="Q663">
        <v>3</v>
      </c>
      <c r="R663" s="2">
        <v>44909</v>
      </c>
      <c r="S663">
        <v>1</v>
      </c>
      <c r="T663">
        <v>1</v>
      </c>
      <c r="U663">
        <v>5</v>
      </c>
      <c r="V663" s="1">
        <v>45014</v>
      </c>
      <c r="W663" t="s">
        <v>50</v>
      </c>
      <c r="X663" t="s">
        <v>51</v>
      </c>
      <c r="Y663" t="s">
        <v>52</v>
      </c>
      <c r="Z663">
        <v>2</v>
      </c>
      <c r="AA663">
        <v>564.48</v>
      </c>
      <c r="AB663">
        <v>60</v>
      </c>
    </row>
    <row r="664" spans="1:28" x14ac:dyDescent="0.2">
      <c r="A664">
        <v>1153</v>
      </c>
      <c r="B664" s="1">
        <v>43935</v>
      </c>
      <c r="C664" t="s">
        <v>28</v>
      </c>
      <c r="D664" t="s">
        <v>44</v>
      </c>
      <c r="E664" t="s">
        <v>108</v>
      </c>
      <c r="F664" t="s">
        <v>46</v>
      </c>
      <c r="G664" t="s">
        <v>45</v>
      </c>
      <c r="H664" t="s">
        <v>33</v>
      </c>
      <c r="I664" t="s">
        <v>34</v>
      </c>
      <c r="J664" t="s">
        <v>70</v>
      </c>
      <c r="K664" s="2">
        <v>15269</v>
      </c>
      <c r="L664" t="s">
        <v>36</v>
      </c>
      <c r="M664" t="s">
        <v>37</v>
      </c>
      <c r="N664" t="s">
        <v>84</v>
      </c>
      <c r="O664" t="s">
        <v>77</v>
      </c>
      <c r="P664" t="s">
        <v>40</v>
      </c>
      <c r="Q664">
        <v>3</v>
      </c>
      <c r="R664" s="2">
        <v>44985</v>
      </c>
      <c r="S664">
        <v>3</v>
      </c>
      <c r="T664">
        <v>4</v>
      </c>
      <c r="U664">
        <v>2</v>
      </c>
      <c r="V664" s="1">
        <v>44897</v>
      </c>
      <c r="W664" t="s">
        <v>92</v>
      </c>
      <c r="X664" t="s">
        <v>42</v>
      </c>
      <c r="Y664" t="s">
        <v>43</v>
      </c>
      <c r="Z664">
        <v>4</v>
      </c>
      <c r="AA664">
        <v>555.35</v>
      </c>
      <c r="AB664">
        <v>79</v>
      </c>
    </row>
    <row r="665" spans="1:28" x14ac:dyDescent="0.2">
      <c r="A665">
        <v>1154</v>
      </c>
      <c r="B665" s="1">
        <v>44466</v>
      </c>
      <c r="C665" t="s">
        <v>28</v>
      </c>
      <c r="D665" t="s">
        <v>87</v>
      </c>
      <c r="E665" t="s">
        <v>108</v>
      </c>
      <c r="F665" t="s">
        <v>55</v>
      </c>
      <c r="G665" t="s">
        <v>32</v>
      </c>
      <c r="H665" t="s">
        <v>46</v>
      </c>
      <c r="I665" t="s">
        <v>34</v>
      </c>
      <c r="J665" t="s">
        <v>70</v>
      </c>
      <c r="K665" s="2">
        <v>32082</v>
      </c>
      <c r="L665" t="s">
        <v>36</v>
      </c>
      <c r="M665" t="s">
        <v>37</v>
      </c>
      <c r="N665" t="s">
        <v>38</v>
      </c>
      <c r="O665" t="s">
        <v>67</v>
      </c>
      <c r="P665" t="s">
        <v>40</v>
      </c>
      <c r="Q665">
        <v>3</v>
      </c>
      <c r="R665" s="2">
        <v>45086</v>
      </c>
      <c r="S665">
        <v>1</v>
      </c>
      <c r="T665">
        <v>3</v>
      </c>
      <c r="U665">
        <v>2</v>
      </c>
      <c r="V665" s="1">
        <v>44785</v>
      </c>
      <c r="W665" t="s">
        <v>50</v>
      </c>
      <c r="X665" t="s">
        <v>42</v>
      </c>
      <c r="Y665" t="s">
        <v>52</v>
      </c>
      <c r="Z665">
        <v>3</v>
      </c>
      <c r="AA665">
        <v>338.48</v>
      </c>
      <c r="AB665">
        <v>34</v>
      </c>
    </row>
    <row r="666" spans="1:28" x14ac:dyDescent="0.2">
      <c r="A666">
        <v>1155</v>
      </c>
      <c r="B666" s="1">
        <v>43421</v>
      </c>
      <c r="C666" t="s">
        <v>28</v>
      </c>
      <c r="D666" t="s">
        <v>81</v>
      </c>
      <c r="E666" t="s">
        <v>108</v>
      </c>
      <c r="F666" t="s">
        <v>31</v>
      </c>
      <c r="G666" t="s">
        <v>45</v>
      </c>
      <c r="H666" t="s">
        <v>33</v>
      </c>
      <c r="I666" t="s">
        <v>34</v>
      </c>
      <c r="J666" t="s">
        <v>35</v>
      </c>
      <c r="K666" s="2">
        <v>18938</v>
      </c>
      <c r="L666" t="s">
        <v>36</v>
      </c>
      <c r="M666" t="s">
        <v>37</v>
      </c>
      <c r="N666" t="s">
        <v>60</v>
      </c>
      <c r="O666" t="s">
        <v>67</v>
      </c>
      <c r="P666" t="s">
        <v>40</v>
      </c>
      <c r="Q666">
        <v>3</v>
      </c>
      <c r="R666" s="2">
        <v>44798</v>
      </c>
      <c r="S666">
        <v>2</v>
      </c>
      <c r="T666">
        <v>3</v>
      </c>
      <c r="U666">
        <v>1</v>
      </c>
      <c r="V666" s="1">
        <v>44814</v>
      </c>
      <c r="W666" t="s">
        <v>68</v>
      </c>
      <c r="X666" t="s">
        <v>42</v>
      </c>
      <c r="Y666" t="s">
        <v>43</v>
      </c>
      <c r="Z666">
        <v>1</v>
      </c>
      <c r="AA666">
        <v>339.01</v>
      </c>
      <c r="AB666">
        <v>67</v>
      </c>
    </row>
    <row r="667" spans="1:28" x14ac:dyDescent="0.2">
      <c r="A667">
        <v>1156</v>
      </c>
      <c r="B667" s="1">
        <v>43668</v>
      </c>
      <c r="C667" t="s">
        <v>28</v>
      </c>
      <c r="D667" t="s">
        <v>54</v>
      </c>
      <c r="E667" t="s">
        <v>108</v>
      </c>
      <c r="F667" t="s">
        <v>31</v>
      </c>
      <c r="G667" t="s">
        <v>45</v>
      </c>
      <c r="H667" t="s">
        <v>55</v>
      </c>
      <c r="I667" t="s">
        <v>34</v>
      </c>
      <c r="J667" t="s">
        <v>109</v>
      </c>
      <c r="K667" s="2">
        <v>29331</v>
      </c>
      <c r="L667" t="s">
        <v>36</v>
      </c>
      <c r="M667" t="s">
        <v>48</v>
      </c>
      <c r="N667" t="s">
        <v>49</v>
      </c>
      <c r="O667" t="s">
        <v>67</v>
      </c>
      <c r="P667" t="s">
        <v>40</v>
      </c>
      <c r="Q667">
        <v>3</v>
      </c>
      <c r="R667" s="2">
        <v>45058</v>
      </c>
      <c r="S667">
        <v>1</v>
      </c>
      <c r="T667">
        <v>5</v>
      </c>
      <c r="U667">
        <v>2</v>
      </c>
      <c r="V667" s="1">
        <v>44808</v>
      </c>
      <c r="W667" t="s">
        <v>50</v>
      </c>
      <c r="X667" t="s">
        <v>42</v>
      </c>
      <c r="Y667" t="s">
        <v>52</v>
      </c>
      <c r="Z667">
        <v>5</v>
      </c>
      <c r="AA667">
        <v>939.49</v>
      </c>
      <c r="AB667">
        <v>39</v>
      </c>
    </row>
    <row r="668" spans="1:28" x14ac:dyDescent="0.2">
      <c r="A668">
        <v>1157</v>
      </c>
      <c r="B668" s="1">
        <v>43506</v>
      </c>
      <c r="C668" t="s">
        <v>28</v>
      </c>
      <c r="D668" t="s">
        <v>94</v>
      </c>
      <c r="E668" t="s">
        <v>30</v>
      </c>
      <c r="F668" t="s">
        <v>46</v>
      </c>
      <c r="G668" t="s">
        <v>45</v>
      </c>
      <c r="H668" t="s">
        <v>33</v>
      </c>
      <c r="I668" t="s">
        <v>34</v>
      </c>
      <c r="J668" t="s">
        <v>101</v>
      </c>
      <c r="K668" s="2">
        <v>35142</v>
      </c>
      <c r="L668" t="s">
        <v>36</v>
      </c>
      <c r="M668" t="s">
        <v>48</v>
      </c>
      <c r="N668" t="s">
        <v>49</v>
      </c>
      <c r="O668" t="s">
        <v>67</v>
      </c>
      <c r="P668" t="s">
        <v>40</v>
      </c>
      <c r="Q668">
        <v>3</v>
      </c>
      <c r="R668" s="2">
        <v>45083</v>
      </c>
      <c r="S668">
        <v>1</v>
      </c>
      <c r="T668">
        <v>4</v>
      </c>
      <c r="U668">
        <v>2</v>
      </c>
      <c r="V668" s="1">
        <v>44845</v>
      </c>
      <c r="W668" t="s">
        <v>68</v>
      </c>
      <c r="X668" t="s">
        <v>51</v>
      </c>
      <c r="Y668" t="s">
        <v>73</v>
      </c>
      <c r="Z668">
        <v>1</v>
      </c>
      <c r="AA668">
        <v>276.47000000000003</v>
      </c>
      <c r="AB668">
        <v>23</v>
      </c>
    </row>
    <row r="669" spans="1:28" x14ac:dyDescent="0.2">
      <c r="A669">
        <v>1158</v>
      </c>
      <c r="B669" s="1">
        <v>43426</v>
      </c>
      <c r="C669" t="s">
        <v>28</v>
      </c>
      <c r="D669" t="s">
        <v>85</v>
      </c>
      <c r="E669" t="s">
        <v>108</v>
      </c>
      <c r="F669" t="s">
        <v>55</v>
      </c>
      <c r="G669" t="s">
        <v>45</v>
      </c>
      <c r="H669" t="s">
        <v>55</v>
      </c>
      <c r="I669" t="s">
        <v>34</v>
      </c>
      <c r="J669" t="s">
        <v>70</v>
      </c>
      <c r="K669" s="2">
        <v>21370</v>
      </c>
      <c r="L669" t="s">
        <v>36</v>
      </c>
      <c r="M669" t="s">
        <v>48</v>
      </c>
      <c r="N669" t="s">
        <v>84</v>
      </c>
      <c r="O669" t="s">
        <v>39</v>
      </c>
      <c r="P669" t="s">
        <v>40</v>
      </c>
      <c r="Q669">
        <v>3</v>
      </c>
      <c r="R669" s="2">
        <v>45002</v>
      </c>
      <c r="S669">
        <v>2</v>
      </c>
      <c r="T669">
        <v>4</v>
      </c>
      <c r="U669">
        <v>4</v>
      </c>
      <c r="V669" s="1">
        <v>44818</v>
      </c>
      <c r="W669" t="s">
        <v>50</v>
      </c>
      <c r="X669" t="s">
        <v>51</v>
      </c>
      <c r="Y669" t="s">
        <v>63</v>
      </c>
      <c r="Z669">
        <v>3</v>
      </c>
      <c r="AA669">
        <v>154.71</v>
      </c>
      <c r="AB669">
        <v>60</v>
      </c>
    </row>
    <row r="670" spans="1:28" x14ac:dyDescent="0.2">
      <c r="A670">
        <v>1159</v>
      </c>
      <c r="B670" s="1">
        <v>45039</v>
      </c>
      <c r="C670" t="s">
        <v>28</v>
      </c>
      <c r="D670" t="s">
        <v>64</v>
      </c>
      <c r="E670" t="s">
        <v>30</v>
      </c>
      <c r="F670" t="s">
        <v>46</v>
      </c>
      <c r="G670" t="s">
        <v>45</v>
      </c>
      <c r="H670" t="s">
        <v>33</v>
      </c>
      <c r="I670" t="s">
        <v>34</v>
      </c>
      <c r="J670" t="s">
        <v>89</v>
      </c>
      <c r="K670" s="2">
        <v>29009</v>
      </c>
      <c r="L670" t="s">
        <v>36</v>
      </c>
      <c r="M670" t="s">
        <v>48</v>
      </c>
      <c r="N670" t="s">
        <v>60</v>
      </c>
      <c r="O670" t="s">
        <v>77</v>
      </c>
      <c r="P670" t="s">
        <v>40</v>
      </c>
      <c r="Q670">
        <v>3</v>
      </c>
      <c r="R670" s="2">
        <v>44975</v>
      </c>
      <c r="S670">
        <v>1</v>
      </c>
      <c r="T670">
        <v>2</v>
      </c>
      <c r="U670">
        <v>4</v>
      </c>
      <c r="V670" s="1">
        <v>44922</v>
      </c>
      <c r="W670" t="s">
        <v>41</v>
      </c>
      <c r="X670" t="s">
        <v>51</v>
      </c>
      <c r="Y670" t="s">
        <v>43</v>
      </c>
      <c r="Z670">
        <v>3</v>
      </c>
      <c r="AA670">
        <v>674.24</v>
      </c>
      <c r="AB670">
        <v>44</v>
      </c>
    </row>
    <row r="671" spans="1:28" x14ac:dyDescent="0.2">
      <c r="A671">
        <v>1160</v>
      </c>
      <c r="B671" s="1">
        <v>44921</v>
      </c>
      <c r="C671" t="s">
        <v>28</v>
      </c>
      <c r="D671" t="s">
        <v>74</v>
      </c>
      <c r="E671" t="s">
        <v>30</v>
      </c>
      <c r="F671" t="s">
        <v>46</v>
      </c>
      <c r="G671" t="s">
        <v>56</v>
      </c>
      <c r="H671" t="s">
        <v>55</v>
      </c>
      <c r="I671" t="s">
        <v>34</v>
      </c>
      <c r="J671" t="s">
        <v>65</v>
      </c>
      <c r="K671" s="2">
        <v>28013</v>
      </c>
      <c r="L671" t="s">
        <v>36</v>
      </c>
      <c r="M671" t="s">
        <v>37</v>
      </c>
      <c r="N671" t="s">
        <v>84</v>
      </c>
      <c r="O671" t="s">
        <v>61</v>
      </c>
      <c r="P671" t="s">
        <v>40</v>
      </c>
      <c r="Q671">
        <v>3</v>
      </c>
      <c r="R671" s="2">
        <v>44793</v>
      </c>
      <c r="S671">
        <v>4</v>
      </c>
      <c r="T671">
        <v>2</v>
      </c>
      <c r="U671">
        <v>3</v>
      </c>
      <c r="V671" s="1">
        <v>44872</v>
      </c>
      <c r="W671" t="s">
        <v>41</v>
      </c>
      <c r="X671" t="s">
        <v>51</v>
      </c>
      <c r="Y671" t="s">
        <v>43</v>
      </c>
      <c r="Z671">
        <v>2</v>
      </c>
      <c r="AA671">
        <v>137.96</v>
      </c>
      <c r="AB671">
        <v>46</v>
      </c>
    </row>
    <row r="672" spans="1:28" x14ac:dyDescent="0.2">
      <c r="A672">
        <v>1161</v>
      </c>
      <c r="B672" s="1">
        <v>43996</v>
      </c>
      <c r="C672" t="s">
        <v>28</v>
      </c>
      <c r="D672" t="s">
        <v>94</v>
      </c>
      <c r="E672" t="s">
        <v>30</v>
      </c>
      <c r="F672" t="s">
        <v>31</v>
      </c>
      <c r="G672" t="s">
        <v>56</v>
      </c>
      <c r="H672" t="s">
        <v>46</v>
      </c>
      <c r="I672" t="s">
        <v>34</v>
      </c>
      <c r="J672" t="s">
        <v>105</v>
      </c>
      <c r="K672" s="2">
        <v>19966</v>
      </c>
      <c r="L672" t="s">
        <v>36</v>
      </c>
      <c r="M672" t="s">
        <v>37</v>
      </c>
      <c r="N672" t="s">
        <v>60</v>
      </c>
      <c r="O672" t="s">
        <v>39</v>
      </c>
      <c r="P672" t="s">
        <v>40</v>
      </c>
      <c r="Q672">
        <v>3</v>
      </c>
      <c r="R672" s="2">
        <v>45025</v>
      </c>
      <c r="S672">
        <v>3</v>
      </c>
      <c r="T672">
        <v>4</v>
      </c>
      <c r="U672">
        <v>4</v>
      </c>
      <c r="V672" s="1">
        <v>44878</v>
      </c>
      <c r="W672" t="s">
        <v>68</v>
      </c>
      <c r="X672" t="s">
        <v>42</v>
      </c>
      <c r="Y672" t="s">
        <v>73</v>
      </c>
      <c r="Z672">
        <v>5</v>
      </c>
      <c r="AA672">
        <v>926.85</v>
      </c>
      <c r="AB672">
        <v>66</v>
      </c>
    </row>
    <row r="673" spans="1:28" x14ac:dyDescent="0.2">
      <c r="A673">
        <v>1162</v>
      </c>
      <c r="B673" s="1">
        <v>44649</v>
      </c>
      <c r="C673" t="s">
        <v>28</v>
      </c>
      <c r="D673" t="s">
        <v>74</v>
      </c>
      <c r="E673" t="s">
        <v>30</v>
      </c>
      <c r="F673" t="s">
        <v>55</v>
      </c>
      <c r="G673" t="s">
        <v>32</v>
      </c>
      <c r="H673" t="s">
        <v>33</v>
      </c>
      <c r="I673" t="s">
        <v>34</v>
      </c>
      <c r="J673" t="s">
        <v>65</v>
      </c>
      <c r="K673" s="2">
        <v>30545</v>
      </c>
      <c r="L673" t="s">
        <v>36</v>
      </c>
      <c r="M673" t="s">
        <v>37</v>
      </c>
      <c r="N673" t="s">
        <v>84</v>
      </c>
      <c r="O673" t="s">
        <v>39</v>
      </c>
      <c r="P673" t="s">
        <v>40</v>
      </c>
      <c r="Q673">
        <v>3</v>
      </c>
      <c r="R673" s="2">
        <v>44839</v>
      </c>
      <c r="S673">
        <v>3</v>
      </c>
      <c r="T673">
        <v>3</v>
      </c>
      <c r="U673">
        <v>2</v>
      </c>
      <c r="V673" s="1">
        <v>44806</v>
      </c>
      <c r="W673" t="s">
        <v>92</v>
      </c>
      <c r="X673" t="s">
        <v>51</v>
      </c>
      <c r="Y673" t="s">
        <v>52</v>
      </c>
      <c r="Z673">
        <v>1</v>
      </c>
      <c r="AA673">
        <v>846.55</v>
      </c>
      <c r="AB673">
        <v>39</v>
      </c>
    </row>
    <row r="674" spans="1:28" x14ac:dyDescent="0.2">
      <c r="A674">
        <v>1163</v>
      </c>
      <c r="B674" s="1">
        <v>44913</v>
      </c>
      <c r="C674" t="s">
        <v>133</v>
      </c>
      <c r="D674" t="s">
        <v>81</v>
      </c>
      <c r="E674" t="s">
        <v>30</v>
      </c>
      <c r="F674" t="s">
        <v>31</v>
      </c>
      <c r="G674" t="s">
        <v>45</v>
      </c>
      <c r="H674" t="s">
        <v>46</v>
      </c>
      <c r="I674" t="s">
        <v>34</v>
      </c>
      <c r="J674" t="s">
        <v>96</v>
      </c>
      <c r="K674" s="2">
        <v>35102</v>
      </c>
      <c r="L674" t="s">
        <v>36</v>
      </c>
      <c r="M674" t="s">
        <v>37</v>
      </c>
      <c r="N674" t="s">
        <v>38</v>
      </c>
      <c r="O674" t="s">
        <v>77</v>
      </c>
      <c r="P674" t="s">
        <v>40</v>
      </c>
      <c r="Q674">
        <v>3</v>
      </c>
      <c r="R674" s="2">
        <v>44909</v>
      </c>
      <c r="S674">
        <v>1</v>
      </c>
      <c r="T674">
        <v>2</v>
      </c>
      <c r="U674">
        <v>3</v>
      </c>
      <c r="V674" s="1">
        <v>44980</v>
      </c>
      <c r="W674" t="s">
        <v>92</v>
      </c>
      <c r="X674" t="s">
        <v>51</v>
      </c>
      <c r="Y674" t="s">
        <v>73</v>
      </c>
      <c r="Z674">
        <v>3</v>
      </c>
      <c r="AA674">
        <v>734.77</v>
      </c>
      <c r="AB674">
        <v>26</v>
      </c>
    </row>
    <row r="675" spans="1:28" x14ac:dyDescent="0.2">
      <c r="A675">
        <v>1164</v>
      </c>
      <c r="B675" s="1">
        <v>43545</v>
      </c>
      <c r="C675" t="s">
        <v>133</v>
      </c>
      <c r="D675" t="s">
        <v>54</v>
      </c>
      <c r="E675" t="s">
        <v>30</v>
      </c>
      <c r="F675" t="s">
        <v>46</v>
      </c>
      <c r="G675" t="s">
        <v>45</v>
      </c>
      <c r="H675" t="s">
        <v>46</v>
      </c>
      <c r="I675" t="s">
        <v>34</v>
      </c>
      <c r="J675" t="s">
        <v>58</v>
      </c>
      <c r="K675" s="2">
        <v>18561</v>
      </c>
      <c r="L675" t="s">
        <v>36</v>
      </c>
      <c r="M675" t="s">
        <v>37</v>
      </c>
      <c r="N675" t="s">
        <v>60</v>
      </c>
      <c r="O675" t="s">
        <v>67</v>
      </c>
      <c r="P675" t="s">
        <v>40</v>
      </c>
      <c r="Q675">
        <v>3</v>
      </c>
      <c r="R675" s="2">
        <v>44857</v>
      </c>
      <c r="S675">
        <v>5</v>
      </c>
      <c r="T675">
        <v>5</v>
      </c>
      <c r="U675">
        <v>5</v>
      </c>
      <c r="V675" s="1">
        <v>44986</v>
      </c>
      <c r="W675" t="s">
        <v>68</v>
      </c>
      <c r="X675" t="s">
        <v>42</v>
      </c>
      <c r="Y675" t="s">
        <v>52</v>
      </c>
      <c r="Z675">
        <v>3</v>
      </c>
      <c r="AA675">
        <v>315.08999999999997</v>
      </c>
      <c r="AB675">
        <v>69</v>
      </c>
    </row>
    <row r="676" spans="1:28" x14ac:dyDescent="0.2">
      <c r="A676">
        <v>1165</v>
      </c>
      <c r="B676" s="1">
        <v>44235</v>
      </c>
      <c r="C676" t="s">
        <v>133</v>
      </c>
      <c r="D676" t="s">
        <v>69</v>
      </c>
      <c r="E676" t="s">
        <v>30</v>
      </c>
      <c r="F676" t="s">
        <v>55</v>
      </c>
      <c r="G676" t="s">
        <v>32</v>
      </c>
      <c r="H676" t="s">
        <v>55</v>
      </c>
      <c r="I676" t="s">
        <v>34</v>
      </c>
      <c r="J676" t="s">
        <v>70</v>
      </c>
      <c r="K676" s="2">
        <v>36047</v>
      </c>
      <c r="L676" t="s">
        <v>36</v>
      </c>
      <c r="M676" t="s">
        <v>37</v>
      </c>
      <c r="N676" t="s">
        <v>60</v>
      </c>
      <c r="O676" t="s">
        <v>39</v>
      </c>
      <c r="P676" t="s">
        <v>40</v>
      </c>
      <c r="Q676">
        <v>3</v>
      </c>
      <c r="R676" s="2">
        <v>44935</v>
      </c>
      <c r="S676">
        <v>3</v>
      </c>
      <c r="T676">
        <v>3</v>
      </c>
      <c r="U676">
        <v>1</v>
      </c>
      <c r="V676" s="1">
        <v>44831</v>
      </c>
      <c r="W676" t="s">
        <v>92</v>
      </c>
      <c r="X676" t="s">
        <v>42</v>
      </c>
      <c r="Y676" t="s">
        <v>73</v>
      </c>
      <c r="Z676">
        <v>3</v>
      </c>
      <c r="AA676">
        <v>686.05</v>
      </c>
      <c r="AB676">
        <v>23</v>
      </c>
    </row>
    <row r="677" spans="1:28" x14ac:dyDescent="0.2">
      <c r="A677">
        <v>1166</v>
      </c>
      <c r="B677" s="1">
        <v>44718</v>
      </c>
      <c r="C677" t="s">
        <v>106</v>
      </c>
      <c r="D677" t="s">
        <v>74</v>
      </c>
      <c r="E677" t="s">
        <v>30</v>
      </c>
      <c r="F677" t="s">
        <v>55</v>
      </c>
      <c r="G677" t="s">
        <v>45</v>
      </c>
      <c r="H677" t="s">
        <v>33</v>
      </c>
      <c r="I677" t="s">
        <v>34</v>
      </c>
      <c r="J677" t="s">
        <v>70</v>
      </c>
      <c r="K677" s="2">
        <v>23755</v>
      </c>
      <c r="L677" t="s">
        <v>36</v>
      </c>
      <c r="M677" t="s">
        <v>48</v>
      </c>
      <c r="N677" t="s">
        <v>60</v>
      </c>
      <c r="O677" t="s">
        <v>67</v>
      </c>
      <c r="P677" t="s">
        <v>40</v>
      </c>
      <c r="Q677">
        <v>3</v>
      </c>
      <c r="R677" s="2">
        <v>44984</v>
      </c>
      <c r="S677">
        <v>2</v>
      </c>
      <c r="T677">
        <v>1</v>
      </c>
      <c r="U677">
        <v>4</v>
      </c>
      <c r="V677" s="1">
        <v>44783</v>
      </c>
      <c r="W677" t="s">
        <v>92</v>
      </c>
      <c r="X677" t="s">
        <v>51</v>
      </c>
      <c r="Y677" t="s">
        <v>73</v>
      </c>
      <c r="Z677">
        <v>4</v>
      </c>
      <c r="AA677">
        <v>942.51</v>
      </c>
      <c r="AB677">
        <v>57</v>
      </c>
    </row>
    <row r="678" spans="1:28" x14ac:dyDescent="0.2">
      <c r="A678">
        <v>1167</v>
      </c>
      <c r="B678" s="1">
        <v>44501</v>
      </c>
      <c r="C678" t="s">
        <v>106</v>
      </c>
      <c r="D678" t="s">
        <v>81</v>
      </c>
      <c r="E678" t="s">
        <v>30</v>
      </c>
      <c r="F678" t="s">
        <v>31</v>
      </c>
      <c r="G678" t="s">
        <v>56</v>
      </c>
      <c r="H678" t="s">
        <v>55</v>
      </c>
      <c r="I678" t="s">
        <v>34</v>
      </c>
      <c r="J678" t="s">
        <v>70</v>
      </c>
      <c r="K678" s="2">
        <v>20333</v>
      </c>
      <c r="L678" t="s">
        <v>36</v>
      </c>
      <c r="M678" t="s">
        <v>37</v>
      </c>
      <c r="N678" t="s">
        <v>60</v>
      </c>
      <c r="O678" t="s">
        <v>61</v>
      </c>
      <c r="P678" t="s">
        <v>40</v>
      </c>
      <c r="Q678">
        <v>3</v>
      </c>
      <c r="R678" s="2">
        <v>45068</v>
      </c>
      <c r="S678">
        <v>2</v>
      </c>
      <c r="T678">
        <v>3</v>
      </c>
      <c r="U678">
        <v>4</v>
      </c>
      <c r="V678" s="1">
        <v>44980</v>
      </c>
      <c r="W678" t="s">
        <v>62</v>
      </c>
      <c r="X678" t="s">
        <v>42</v>
      </c>
      <c r="Y678" t="s">
        <v>43</v>
      </c>
      <c r="Z678">
        <v>4</v>
      </c>
      <c r="AA678">
        <v>782.82</v>
      </c>
      <c r="AB678">
        <v>66</v>
      </c>
    </row>
    <row r="679" spans="1:28" x14ac:dyDescent="0.2">
      <c r="A679">
        <v>1168</v>
      </c>
      <c r="B679" s="1">
        <v>44945</v>
      </c>
      <c r="C679" t="s">
        <v>106</v>
      </c>
      <c r="D679" t="s">
        <v>54</v>
      </c>
      <c r="E679" t="s">
        <v>30</v>
      </c>
      <c r="F679" t="s">
        <v>31</v>
      </c>
      <c r="G679" t="s">
        <v>45</v>
      </c>
      <c r="H679" t="s">
        <v>55</v>
      </c>
      <c r="I679" t="s">
        <v>34</v>
      </c>
      <c r="J679" t="s">
        <v>70</v>
      </c>
      <c r="K679" s="2">
        <v>18638</v>
      </c>
      <c r="L679" t="s">
        <v>36</v>
      </c>
      <c r="M679" t="s">
        <v>37</v>
      </c>
      <c r="N679" t="s">
        <v>38</v>
      </c>
      <c r="O679" t="s">
        <v>67</v>
      </c>
      <c r="P679" t="s">
        <v>40</v>
      </c>
      <c r="Q679">
        <v>3</v>
      </c>
      <c r="R679" s="2">
        <v>44801</v>
      </c>
      <c r="S679">
        <v>2</v>
      </c>
      <c r="T679">
        <v>2</v>
      </c>
      <c r="U679">
        <v>2</v>
      </c>
      <c r="V679" s="1">
        <v>44806</v>
      </c>
      <c r="W679" t="s">
        <v>62</v>
      </c>
      <c r="X679" t="s">
        <v>42</v>
      </c>
      <c r="Y679" t="s">
        <v>43</v>
      </c>
      <c r="Z679">
        <v>1</v>
      </c>
      <c r="AA679">
        <v>370.64</v>
      </c>
      <c r="AB679">
        <v>72</v>
      </c>
    </row>
    <row r="680" spans="1:28" x14ac:dyDescent="0.2">
      <c r="A680">
        <v>1169</v>
      </c>
      <c r="B680" s="1">
        <v>44042</v>
      </c>
      <c r="C680" t="s">
        <v>106</v>
      </c>
      <c r="D680" t="s">
        <v>69</v>
      </c>
      <c r="E680" t="s">
        <v>30</v>
      </c>
      <c r="F680" t="s">
        <v>31</v>
      </c>
      <c r="G680" t="s">
        <v>56</v>
      </c>
      <c r="H680" t="s">
        <v>46</v>
      </c>
      <c r="I680" t="s">
        <v>34</v>
      </c>
      <c r="J680" t="s">
        <v>70</v>
      </c>
      <c r="K680" s="2">
        <v>22174</v>
      </c>
      <c r="L680" t="s">
        <v>36</v>
      </c>
      <c r="M680" t="s">
        <v>37</v>
      </c>
      <c r="N680" t="s">
        <v>84</v>
      </c>
      <c r="O680" t="s">
        <v>61</v>
      </c>
      <c r="P680" t="s">
        <v>40</v>
      </c>
      <c r="Q680">
        <v>3</v>
      </c>
      <c r="R680" s="2">
        <v>45141</v>
      </c>
      <c r="S680">
        <v>1</v>
      </c>
      <c r="T680">
        <v>3</v>
      </c>
      <c r="U680">
        <v>2</v>
      </c>
      <c r="V680" s="1">
        <v>45107</v>
      </c>
      <c r="W680" t="s">
        <v>68</v>
      </c>
      <c r="X680" t="s">
        <v>42</v>
      </c>
      <c r="Y680" t="s">
        <v>52</v>
      </c>
      <c r="Z680">
        <v>1</v>
      </c>
      <c r="AA680">
        <v>487.66</v>
      </c>
      <c r="AB680">
        <v>60</v>
      </c>
    </row>
    <row r="681" spans="1:28" x14ac:dyDescent="0.2">
      <c r="A681">
        <v>1170</v>
      </c>
      <c r="B681" s="1">
        <v>45123</v>
      </c>
      <c r="C681" t="s">
        <v>106</v>
      </c>
      <c r="D681" t="s">
        <v>29</v>
      </c>
      <c r="E681" t="s">
        <v>30</v>
      </c>
      <c r="F681" t="s">
        <v>46</v>
      </c>
      <c r="G681" t="s">
        <v>32</v>
      </c>
      <c r="H681" t="s">
        <v>55</v>
      </c>
      <c r="I681" t="s">
        <v>34</v>
      </c>
      <c r="J681" t="s">
        <v>111</v>
      </c>
      <c r="K681" s="2">
        <v>18827</v>
      </c>
      <c r="L681" t="s">
        <v>36</v>
      </c>
      <c r="M681" t="s">
        <v>37</v>
      </c>
      <c r="N681" t="s">
        <v>72</v>
      </c>
      <c r="O681" t="s">
        <v>61</v>
      </c>
      <c r="P681" t="s">
        <v>40</v>
      </c>
      <c r="Q681">
        <v>3</v>
      </c>
      <c r="R681" s="2">
        <v>44962</v>
      </c>
      <c r="S681">
        <v>1</v>
      </c>
      <c r="T681">
        <v>5</v>
      </c>
      <c r="U681">
        <v>4</v>
      </c>
      <c r="V681" s="1">
        <v>45142</v>
      </c>
      <c r="W681" t="s">
        <v>92</v>
      </c>
      <c r="X681" t="s">
        <v>51</v>
      </c>
      <c r="Y681" t="s">
        <v>52</v>
      </c>
      <c r="Z681">
        <v>1</v>
      </c>
      <c r="AA681">
        <v>179.85</v>
      </c>
      <c r="AB681">
        <v>72</v>
      </c>
    </row>
    <row r="682" spans="1:28" x14ac:dyDescent="0.2">
      <c r="A682">
        <v>1171</v>
      </c>
      <c r="B682" s="1">
        <v>44728</v>
      </c>
      <c r="C682" t="s">
        <v>28</v>
      </c>
      <c r="D682" t="s">
        <v>85</v>
      </c>
      <c r="E682" t="s">
        <v>30</v>
      </c>
      <c r="F682" t="s">
        <v>46</v>
      </c>
      <c r="G682" t="s">
        <v>45</v>
      </c>
      <c r="H682" t="s">
        <v>46</v>
      </c>
      <c r="I682" t="s">
        <v>34</v>
      </c>
      <c r="J682" t="s">
        <v>70</v>
      </c>
      <c r="K682" s="2">
        <v>19564</v>
      </c>
      <c r="L682" t="s">
        <v>36</v>
      </c>
      <c r="M682" t="s">
        <v>37</v>
      </c>
      <c r="N682" t="s">
        <v>49</v>
      </c>
      <c r="O682" t="s">
        <v>61</v>
      </c>
      <c r="P682" t="s">
        <v>40</v>
      </c>
      <c r="Q682">
        <v>3</v>
      </c>
      <c r="R682" s="2">
        <v>45101</v>
      </c>
      <c r="S682">
        <v>4</v>
      </c>
      <c r="T682">
        <v>1</v>
      </c>
      <c r="U682">
        <v>4</v>
      </c>
      <c r="V682" s="1">
        <v>44811</v>
      </c>
      <c r="W682" t="s">
        <v>62</v>
      </c>
      <c r="X682" t="s">
        <v>42</v>
      </c>
      <c r="Y682" t="s">
        <v>63</v>
      </c>
      <c r="Z682">
        <v>1</v>
      </c>
      <c r="AA682">
        <v>294.74</v>
      </c>
      <c r="AB682">
        <v>69</v>
      </c>
    </row>
    <row r="683" spans="1:28" x14ac:dyDescent="0.2">
      <c r="A683">
        <v>1172</v>
      </c>
      <c r="B683" s="1">
        <v>44360</v>
      </c>
      <c r="C683" t="s">
        <v>28</v>
      </c>
      <c r="D683" t="s">
        <v>44</v>
      </c>
      <c r="E683" t="s">
        <v>108</v>
      </c>
      <c r="F683" t="s">
        <v>55</v>
      </c>
      <c r="G683" t="s">
        <v>32</v>
      </c>
      <c r="H683" t="s">
        <v>55</v>
      </c>
      <c r="I683" t="s">
        <v>34</v>
      </c>
      <c r="J683" t="s">
        <v>79</v>
      </c>
      <c r="K683" s="2">
        <v>19134</v>
      </c>
      <c r="L683" t="s">
        <v>36</v>
      </c>
      <c r="M683" t="s">
        <v>48</v>
      </c>
      <c r="N683" t="s">
        <v>84</v>
      </c>
      <c r="O683" t="s">
        <v>67</v>
      </c>
      <c r="P683" t="s">
        <v>40</v>
      </c>
      <c r="Q683">
        <v>3</v>
      </c>
      <c r="R683" s="2">
        <v>45096</v>
      </c>
      <c r="S683">
        <v>1</v>
      </c>
      <c r="T683">
        <v>3</v>
      </c>
      <c r="U683">
        <v>2</v>
      </c>
      <c r="V683" s="1">
        <v>45015</v>
      </c>
      <c r="W683" t="s">
        <v>92</v>
      </c>
      <c r="X683" t="s">
        <v>51</v>
      </c>
      <c r="Y683" t="s">
        <v>73</v>
      </c>
      <c r="Z683">
        <v>5</v>
      </c>
      <c r="AA683">
        <v>202.09</v>
      </c>
      <c r="AB683">
        <v>69</v>
      </c>
    </row>
    <row r="684" spans="1:28" x14ac:dyDescent="0.2">
      <c r="A684">
        <v>1173</v>
      </c>
      <c r="B684" s="1">
        <v>44149</v>
      </c>
      <c r="C684" t="s">
        <v>28</v>
      </c>
      <c r="D684" t="s">
        <v>69</v>
      </c>
      <c r="E684" t="s">
        <v>108</v>
      </c>
      <c r="F684" t="s">
        <v>55</v>
      </c>
      <c r="G684" t="s">
        <v>32</v>
      </c>
      <c r="H684" t="s">
        <v>55</v>
      </c>
      <c r="I684" t="s">
        <v>34</v>
      </c>
      <c r="J684" t="s">
        <v>134</v>
      </c>
      <c r="K684" s="2">
        <v>24867</v>
      </c>
      <c r="L684" t="s">
        <v>36</v>
      </c>
      <c r="M684" t="s">
        <v>37</v>
      </c>
      <c r="N684" t="s">
        <v>38</v>
      </c>
      <c r="O684" t="s">
        <v>39</v>
      </c>
      <c r="P684" t="s">
        <v>40</v>
      </c>
      <c r="Q684">
        <v>3</v>
      </c>
      <c r="R684" s="2">
        <v>45093</v>
      </c>
      <c r="S684">
        <v>5</v>
      </c>
      <c r="T684">
        <v>5</v>
      </c>
      <c r="U684">
        <v>2</v>
      </c>
      <c r="V684" s="1">
        <v>44966</v>
      </c>
      <c r="W684" t="s">
        <v>50</v>
      </c>
      <c r="X684" t="s">
        <v>42</v>
      </c>
      <c r="Y684" t="s">
        <v>73</v>
      </c>
      <c r="Z684">
        <v>4</v>
      </c>
      <c r="AA684">
        <v>901.42</v>
      </c>
      <c r="AB684">
        <v>52</v>
      </c>
    </row>
    <row r="685" spans="1:28" x14ac:dyDescent="0.2">
      <c r="A685">
        <v>1174</v>
      </c>
      <c r="B685" s="1">
        <v>43998</v>
      </c>
      <c r="C685" t="s">
        <v>28</v>
      </c>
      <c r="D685" t="s">
        <v>29</v>
      </c>
      <c r="E685" t="s">
        <v>108</v>
      </c>
      <c r="F685" t="s">
        <v>55</v>
      </c>
      <c r="G685" t="s">
        <v>32</v>
      </c>
      <c r="H685" t="s">
        <v>33</v>
      </c>
      <c r="I685" t="s">
        <v>34</v>
      </c>
      <c r="J685" t="s">
        <v>70</v>
      </c>
      <c r="K685" s="2">
        <v>27008</v>
      </c>
      <c r="L685" t="s">
        <v>36</v>
      </c>
      <c r="M685" t="s">
        <v>37</v>
      </c>
      <c r="N685" t="s">
        <v>60</v>
      </c>
      <c r="O685" t="s">
        <v>39</v>
      </c>
      <c r="P685" t="s">
        <v>40</v>
      </c>
      <c r="Q685">
        <v>3</v>
      </c>
      <c r="R685" s="2">
        <v>44991</v>
      </c>
      <c r="S685">
        <v>2</v>
      </c>
      <c r="T685">
        <v>1</v>
      </c>
      <c r="U685">
        <v>5</v>
      </c>
      <c r="V685" s="1">
        <v>45058</v>
      </c>
      <c r="W685" t="s">
        <v>62</v>
      </c>
      <c r="X685" t="s">
        <v>51</v>
      </c>
      <c r="Y685" t="s">
        <v>52</v>
      </c>
      <c r="Z685">
        <v>3</v>
      </c>
      <c r="AA685">
        <v>454.23</v>
      </c>
      <c r="AB685">
        <v>47</v>
      </c>
    </row>
    <row r="686" spans="1:28" x14ac:dyDescent="0.2">
      <c r="A686">
        <v>1175</v>
      </c>
      <c r="B686" s="1">
        <v>43454</v>
      </c>
      <c r="C686" t="s">
        <v>28</v>
      </c>
      <c r="D686" t="s">
        <v>44</v>
      </c>
      <c r="E686" t="s">
        <v>108</v>
      </c>
      <c r="F686" t="s">
        <v>55</v>
      </c>
      <c r="G686" t="s">
        <v>45</v>
      </c>
      <c r="H686" t="s">
        <v>46</v>
      </c>
      <c r="I686" t="s">
        <v>34</v>
      </c>
      <c r="J686" t="s">
        <v>102</v>
      </c>
      <c r="K686" s="2">
        <v>35281</v>
      </c>
      <c r="L686" t="s">
        <v>36</v>
      </c>
      <c r="M686" t="s">
        <v>37</v>
      </c>
      <c r="N686" t="s">
        <v>84</v>
      </c>
      <c r="O686" t="s">
        <v>77</v>
      </c>
      <c r="P686" t="s">
        <v>40</v>
      </c>
      <c r="Q686">
        <v>3</v>
      </c>
      <c r="R686" s="2">
        <v>45038</v>
      </c>
      <c r="S686">
        <v>2</v>
      </c>
      <c r="T686">
        <v>1</v>
      </c>
      <c r="U686">
        <v>2</v>
      </c>
      <c r="V686" s="1">
        <v>44930</v>
      </c>
      <c r="W686" t="s">
        <v>62</v>
      </c>
      <c r="X686" t="s">
        <v>42</v>
      </c>
      <c r="Y686" t="s">
        <v>73</v>
      </c>
      <c r="Z686">
        <v>3</v>
      </c>
      <c r="AA686">
        <v>460.39</v>
      </c>
      <c r="AB686">
        <v>22</v>
      </c>
    </row>
    <row r="687" spans="1:28" x14ac:dyDescent="0.2">
      <c r="A687">
        <v>1176</v>
      </c>
      <c r="B687" s="1">
        <v>44863</v>
      </c>
      <c r="C687" t="s">
        <v>28</v>
      </c>
      <c r="D687" t="s">
        <v>87</v>
      </c>
      <c r="E687" t="s">
        <v>30</v>
      </c>
      <c r="F687" t="s">
        <v>31</v>
      </c>
      <c r="G687" t="s">
        <v>45</v>
      </c>
      <c r="H687" t="s">
        <v>46</v>
      </c>
      <c r="I687" t="s">
        <v>34</v>
      </c>
      <c r="J687" t="s">
        <v>79</v>
      </c>
      <c r="K687" s="2">
        <v>22277</v>
      </c>
      <c r="L687" t="s">
        <v>36</v>
      </c>
      <c r="M687" t="s">
        <v>37</v>
      </c>
      <c r="N687" t="s">
        <v>38</v>
      </c>
      <c r="O687" t="s">
        <v>67</v>
      </c>
      <c r="P687" t="s">
        <v>40</v>
      </c>
      <c r="Q687">
        <v>3</v>
      </c>
      <c r="R687" s="2">
        <v>44851</v>
      </c>
      <c r="S687">
        <v>2</v>
      </c>
      <c r="T687">
        <v>2</v>
      </c>
      <c r="U687">
        <v>5</v>
      </c>
      <c r="V687" s="1">
        <v>44971</v>
      </c>
      <c r="W687" t="s">
        <v>41</v>
      </c>
      <c r="X687" t="s">
        <v>42</v>
      </c>
      <c r="Y687" t="s">
        <v>63</v>
      </c>
      <c r="Z687">
        <v>2</v>
      </c>
      <c r="AA687">
        <v>644.72</v>
      </c>
      <c r="AB687">
        <v>62</v>
      </c>
    </row>
    <row r="688" spans="1:28" x14ac:dyDescent="0.2">
      <c r="A688">
        <v>1177</v>
      </c>
      <c r="B688" s="1">
        <v>44032</v>
      </c>
      <c r="C688" t="s">
        <v>28</v>
      </c>
      <c r="D688" t="s">
        <v>81</v>
      </c>
      <c r="E688" t="s">
        <v>30</v>
      </c>
      <c r="F688" t="s">
        <v>31</v>
      </c>
      <c r="G688" t="s">
        <v>45</v>
      </c>
      <c r="H688" t="s">
        <v>33</v>
      </c>
      <c r="I688" t="s">
        <v>34</v>
      </c>
      <c r="J688" t="s">
        <v>47</v>
      </c>
      <c r="K688" s="2">
        <v>25025</v>
      </c>
      <c r="L688" t="s">
        <v>36</v>
      </c>
      <c r="M688" t="s">
        <v>37</v>
      </c>
      <c r="N688" t="s">
        <v>60</v>
      </c>
      <c r="O688" t="s">
        <v>67</v>
      </c>
      <c r="P688" t="s">
        <v>40</v>
      </c>
      <c r="Q688">
        <v>3</v>
      </c>
      <c r="R688" s="2">
        <v>44785</v>
      </c>
      <c r="S688">
        <v>2</v>
      </c>
      <c r="T688">
        <v>2</v>
      </c>
      <c r="U688">
        <v>5</v>
      </c>
      <c r="V688" s="1">
        <v>44821</v>
      </c>
      <c r="W688" t="s">
        <v>50</v>
      </c>
      <c r="X688" t="s">
        <v>51</v>
      </c>
      <c r="Y688" t="s">
        <v>73</v>
      </c>
      <c r="Z688">
        <v>3</v>
      </c>
      <c r="AA688">
        <v>436.86</v>
      </c>
      <c r="AB688">
        <v>52</v>
      </c>
    </row>
    <row r="689" spans="1:28" x14ac:dyDescent="0.2">
      <c r="A689">
        <v>1178</v>
      </c>
      <c r="B689" s="1">
        <v>44472</v>
      </c>
      <c r="C689" t="s">
        <v>28</v>
      </c>
      <c r="D689" t="s">
        <v>54</v>
      </c>
      <c r="E689" t="s">
        <v>108</v>
      </c>
      <c r="F689" t="s">
        <v>31</v>
      </c>
      <c r="G689" t="s">
        <v>32</v>
      </c>
      <c r="H689" t="s">
        <v>46</v>
      </c>
      <c r="I689" t="s">
        <v>34</v>
      </c>
      <c r="J689" t="s">
        <v>70</v>
      </c>
      <c r="K689" s="2">
        <v>21677</v>
      </c>
      <c r="L689" t="s">
        <v>36</v>
      </c>
      <c r="M689" t="s">
        <v>48</v>
      </c>
      <c r="N689" t="s">
        <v>60</v>
      </c>
      <c r="O689" t="s">
        <v>61</v>
      </c>
      <c r="P689" t="s">
        <v>40</v>
      </c>
      <c r="Q689">
        <v>3</v>
      </c>
      <c r="R689" s="2">
        <v>45049</v>
      </c>
      <c r="S689">
        <v>2</v>
      </c>
      <c r="T689">
        <v>1</v>
      </c>
      <c r="U689">
        <v>2</v>
      </c>
      <c r="V689" s="1">
        <v>44916</v>
      </c>
      <c r="W689" t="s">
        <v>62</v>
      </c>
      <c r="X689" t="s">
        <v>51</v>
      </c>
      <c r="Y689" t="s">
        <v>43</v>
      </c>
      <c r="Z689">
        <v>1</v>
      </c>
      <c r="AA689">
        <v>361.52</v>
      </c>
      <c r="AB689">
        <v>62</v>
      </c>
    </row>
    <row r="690" spans="1:28" x14ac:dyDescent="0.2">
      <c r="A690">
        <v>1179</v>
      </c>
      <c r="B690" s="1">
        <v>44758</v>
      </c>
      <c r="C690" t="s">
        <v>28</v>
      </c>
      <c r="D690" t="s">
        <v>94</v>
      </c>
      <c r="E690" t="s">
        <v>30</v>
      </c>
      <c r="F690" t="s">
        <v>46</v>
      </c>
      <c r="G690" t="s">
        <v>45</v>
      </c>
      <c r="H690" t="s">
        <v>55</v>
      </c>
      <c r="I690" t="s">
        <v>34</v>
      </c>
      <c r="J690" t="s">
        <v>47</v>
      </c>
      <c r="K690" s="2">
        <v>33124</v>
      </c>
      <c r="L690" t="s">
        <v>36</v>
      </c>
      <c r="M690" t="s">
        <v>48</v>
      </c>
      <c r="N690" t="s">
        <v>72</v>
      </c>
      <c r="O690" t="s">
        <v>77</v>
      </c>
      <c r="P690" t="s">
        <v>40</v>
      </c>
      <c r="Q690">
        <v>3</v>
      </c>
      <c r="R690" s="2">
        <v>45117</v>
      </c>
      <c r="S690">
        <v>3</v>
      </c>
      <c r="T690">
        <v>5</v>
      </c>
      <c r="U690">
        <v>1</v>
      </c>
      <c r="V690" s="1">
        <v>44968</v>
      </c>
      <c r="W690" t="s">
        <v>68</v>
      </c>
      <c r="X690" t="s">
        <v>42</v>
      </c>
      <c r="Y690" t="s">
        <v>73</v>
      </c>
      <c r="Z690">
        <v>2</v>
      </c>
      <c r="AA690">
        <v>229.05</v>
      </c>
      <c r="AB690">
        <v>32</v>
      </c>
    </row>
    <row r="691" spans="1:28" x14ac:dyDescent="0.2">
      <c r="A691">
        <v>1180</v>
      </c>
      <c r="B691" s="1">
        <v>44012</v>
      </c>
      <c r="C691" t="s">
        <v>28</v>
      </c>
      <c r="D691" t="s">
        <v>85</v>
      </c>
      <c r="E691" t="s">
        <v>30</v>
      </c>
      <c r="F691" t="s">
        <v>55</v>
      </c>
      <c r="G691" t="s">
        <v>56</v>
      </c>
      <c r="H691" t="s">
        <v>55</v>
      </c>
      <c r="I691" t="s">
        <v>34</v>
      </c>
      <c r="J691" t="s">
        <v>111</v>
      </c>
      <c r="K691" s="2">
        <v>16406</v>
      </c>
      <c r="L691" t="s">
        <v>36</v>
      </c>
      <c r="M691" t="s">
        <v>48</v>
      </c>
      <c r="N691" t="s">
        <v>49</v>
      </c>
      <c r="O691" t="s">
        <v>61</v>
      </c>
      <c r="P691" t="s">
        <v>40</v>
      </c>
      <c r="Q691">
        <v>3</v>
      </c>
      <c r="R691" s="2">
        <v>45061</v>
      </c>
      <c r="S691">
        <v>4</v>
      </c>
      <c r="T691">
        <v>3</v>
      </c>
      <c r="U691">
        <v>1</v>
      </c>
      <c r="V691" s="1">
        <v>44882</v>
      </c>
      <c r="W691" t="s">
        <v>68</v>
      </c>
      <c r="X691" t="s">
        <v>42</v>
      </c>
      <c r="Y691" t="s">
        <v>63</v>
      </c>
      <c r="Z691">
        <v>3</v>
      </c>
      <c r="AA691">
        <v>787.85</v>
      </c>
      <c r="AB691">
        <v>76</v>
      </c>
    </row>
    <row r="692" spans="1:28" x14ac:dyDescent="0.2">
      <c r="A692">
        <v>1181</v>
      </c>
      <c r="B692" s="1">
        <v>44360</v>
      </c>
      <c r="C692" t="s">
        <v>28</v>
      </c>
      <c r="D692" t="s">
        <v>64</v>
      </c>
      <c r="E692" t="s">
        <v>30</v>
      </c>
      <c r="F692" t="s">
        <v>55</v>
      </c>
      <c r="G692" t="s">
        <v>32</v>
      </c>
      <c r="H692" t="s">
        <v>46</v>
      </c>
      <c r="I692" t="s">
        <v>34</v>
      </c>
      <c r="J692" t="s">
        <v>101</v>
      </c>
      <c r="K692" s="2">
        <v>34136</v>
      </c>
      <c r="L692" t="s">
        <v>36</v>
      </c>
      <c r="M692" t="s">
        <v>48</v>
      </c>
      <c r="N692" t="s">
        <v>60</v>
      </c>
      <c r="O692" t="s">
        <v>67</v>
      </c>
      <c r="P692" t="s">
        <v>40</v>
      </c>
      <c r="Q692">
        <v>3</v>
      </c>
      <c r="R692" s="2">
        <v>45112</v>
      </c>
      <c r="S692">
        <v>5</v>
      </c>
      <c r="T692">
        <v>5</v>
      </c>
      <c r="U692">
        <v>4</v>
      </c>
      <c r="V692" s="1">
        <v>44926</v>
      </c>
      <c r="W692" t="s">
        <v>92</v>
      </c>
      <c r="X692" t="s">
        <v>51</v>
      </c>
      <c r="Y692" t="s">
        <v>52</v>
      </c>
      <c r="Z692">
        <v>1</v>
      </c>
      <c r="AA692">
        <v>483.82</v>
      </c>
      <c r="AB692">
        <v>28</v>
      </c>
    </row>
    <row r="693" spans="1:28" x14ac:dyDescent="0.2">
      <c r="A693">
        <v>1182</v>
      </c>
      <c r="B693" s="1">
        <v>44194</v>
      </c>
      <c r="C693" t="s">
        <v>28</v>
      </c>
      <c r="D693" t="s">
        <v>74</v>
      </c>
      <c r="E693" t="s">
        <v>30</v>
      </c>
      <c r="F693" t="s">
        <v>55</v>
      </c>
      <c r="G693" t="s">
        <v>32</v>
      </c>
      <c r="H693" t="s">
        <v>33</v>
      </c>
      <c r="I693" t="s">
        <v>34</v>
      </c>
      <c r="J693" t="s">
        <v>89</v>
      </c>
      <c r="K693" s="2">
        <v>27007</v>
      </c>
      <c r="L693" t="s">
        <v>36</v>
      </c>
      <c r="M693" t="s">
        <v>37</v>
      </c>
      <c r="N693" t="s">
        <v>72</v>
      </c>
      <c r="O693" t="s">
        <v>77</v>
      </c>
      <c r="P693" t="s">
        <v>40</v>
      </c>
      <c r="Q693">
        <v>3</v>
      </c>
      <c r="R693" s="2">
        <v>44798</v>
      </c>
      <c r="S693">
        <v>2</v>
      </c>
      <c r="T693">
        <v>4</v>
      </c>
      <c r="U693">
        <v>5</v>
      </c>
      <c r="V693" s="1">
        <v>44853</v>
      </c>
      <c r="W693" t="s">
        <v>92</v>
      </c>
      <c r="X693" t="s">
        <v>51</v>
      </c>
      <c r="Y693" t="s">
        <v>73</v>
      </c>
      <c r="Z693">
        <v>5</v>
      </c>
      <c r="AA693">
        <v>623.64</v>
      </c>
      <c r="AB693">
        <v>47</v>
      </c>
    </row>
    <row r="694" spans="1:28" x14ac:dyDescent="0.2">
      <c r="A694">
        <v>1183</v>
      </c>
      <c r="B694" s="1">
        <v>44595</v>
      </c>
      <c r="C694" t="s">
        <v>28</v>
      </c>
      <c r="D694" t="s">
        <v>69</v>
      </c>
      <c r="E694" t="s">
        <v>30</v>
      </c>
      <c r="F694" t="s">
        <v>46</v>
      </c>
      <c r="G694" t="s">
        <v>45</v>
      </c>
      <c r="H694" t="s">
        <v>55</v>
      </c>
      <c r="I694" t="s">
        <v>34</v>
      </c>
      <c r="J694" t="s">
        <v>102</v>
      </c>
      <c r="K694" s="2">
        <v>17154</v>
      </c>
      <c r="L694" t="s">
        <v>36</v>
      </c>
      <c r="M694" t="s">
        <v>37</v>
      </c>
      <c r="N694" t="s">
        <v>72</v>
      </c>
      <c r="O694" t="s">
        <v>67</v>
      </c>
      <c r="P694" t="s">
        <v>40</v>
      </c>
      <c r="Q694">
        <v>3</v>
      </c>
      <c r="R694" s="2">
        <v>44992</v>
      </c>
      <c r="S694">
        <v>4</v>
      </c>
      <c r="T694">
        <v>5</v>
      </c>
      <c r="U694">
        <v>5</v>
      </c>
      <c r="V694" s="1">
        <v>45123</v>
      </c>
      <c r="W694" t="s">
        <v>68</v>
      </c>
      <c r="X694" t="s">
        <v>42</v>
      </c>
      <c r="Y694" t="s">
        <v>52</v>
      </c>
      <c r="Z694">
        <v>4</v>
      </c>
      <c r="AA694">
        <v>351.35</v>
      </c>
      <c r="AB694">
        <v>76</v>
      </c>
    </row>
    <row r="695" spans="1:28" x14ac:dyDescent="0.2">
      <c r="A695">
        <v>1184</v>
      </c>
      <c r="B695" s="1">
        <v>44571</v>
      </c>
      <c r="C695" t="s">
        <v>28</v>
      </c>
      <c r="D695" t="s">
        <v>29</v>
      </c>
      <c r="E695" t="s">
        <v>30</v>
      </c>
      <c r="F695" t="s">
        <v>55</v>
      </c>
      <c r="G695" t="s">
        <v>56</v>
      </c>
      <c r="H695" t="s">
        <v>33</v>
      </c>
      <c r="I695" t="s">
        <v>34</v>
      </c>
      <c r="J695" t="s">
        <v>101</v>
      </c>
      <c r="K695" s="2">
        <v>18902</v>
      </c>
      <c r="L695" t="s">
        <v>36</v>
      </c>
      <c r="M695" t="s">
        <v>37</v>
      </c>
      <c r="N695" t="s">
        <v>49</v>
      </c>
      <c r="O695" t="s">
        <v>77</v>
      </c>
      <c r="P695" t="s">
        <v>40</v>
      </c>
      <c r="Q695">
        <v>3</v>
      </c>
      <c r="R695" s="2">
        <v>44837</v>
      </c>
      <c r="S695">
        <v>1</v>
      </c>
      <c r="T695">
        <v>3</v>
      </c>
      <c r="U695">
        <v>1</v>
      </c>
      <c r="V695" s="1">
        <v>44957</v>
      </c>
      <c r="W695" t="s">
        <v>50</v>
      </c>
      <c r="X695" t="s">
        <v>42</v>
      </c>
      <c r="Y695" t="s">
        <v>63</v>
      </c>
      <c r="Z695">
        <v>3</v>
      </c>
      <c r="AA695">
        <v>512.51</v>
      </c>
      <c r="AB695">
        <v>71</v>
      </c>
    </row>
    <row r="696" spans="1:28" x14ac:dyDescent="0.2">
      <c r="A696">
        <v>1185</v>
      </c>
      <c r="B696" s="1">
        <v>43447</v>
      </c>
      <c r="C696" t="s">
        <v>133</v>
      </c>
      <c r="D696" t="s">
        <v>44</v>
      </c>
      <c r="E696" t="s">
        <v>30</v>
      </c>
      <c r="F696" t="s">
        <v>46</v>
      </c>
      <c r="G696" t="s">
        <v>45</v>
      </c>
      <c r="H696" t="s">
        <v>55</v>
      </c>
      <c r="I696" t="s">
        <v>34</v>
      </c>
      <c r="J696" t="s">
        <v>97</v>
      </c>
      <c r="K696" s="2">
        <v>26717</v>
      </c>
      <c r="L696" t="s">
        <v>36</v>
      </c>
      <c r="M696" t="s">
        <v>37</v>
      </c>
      <c r="N696" t="s">
        <v>60</v>
      </c>
      <c r="O696" t="s">
        <v>39</v>
      </c>
      <c r="P696" t="s">
        <v>40</v>
      </c>
      <c r="Q696">
        <v>3</v>
      </c>
      <c r="R696" s="2">
        <v>44786</v>
      </c>
      <c r="S696">
        <v>1</v>
      </c>
      <c r="T696">
        <v>2</v>
      </c>
      <c r="U696">
        <v>4</v>
      </c>
      <c r="V696" s="1">
        <v>44826</v>
      </c>
      <c r="W696" t="s">
        <v>62</v>
      </c>
      <c r="X696" t="s">
        <v>42</v>
      </c>
      <c r="Y696" t="s">
        <v>43</v>
      </c>
      <c r="Z696">
        <v>5</v>
      </c>
      <c r="AA696">
        <v>957.9</v>
      </c>
      <c r="AB696">
        <v>45</v>
      </c>
    </row>
    <row r="697" spans="1:28" x14ac:dyDescent="0.2">
      <c r="A697">
        <v>1186</v>
      </c>
      <c r="B697" s="1">
        <v>44258</v>
      </c>
      <c r="C697" t="s">
        <v>133</v>
      </c>
      <c r="D697" t="s">
        <v>87</v>
      </c>
      <c r="E697" t="s">
        <v>30</v>
      </c>
      <c r="F697" t="s">
        <v>55</v>
      </c>
      <c r="G697" t="s">
        <v>45</v>
      </c>
      <c r="H697" t="s">
        <v>33</v>
      </c>
      <c r="I697" t="s">
        <v>34</v>
      </c>
      <c r="J697" t="s">
        <v>89</v>
      </c>
      <c r="K697" s="2">
        <v>30553</v>
      </c>
      <c r="L697" t="s">
        <v>36</v>
      </c>
      <c r="M697" t="s">
        <v>37</v>
      </c>
      <c r="N697" t="s">
        <v>49</v>
      </c>
      <c r="O697" t="s">
        <v>61</v>
      </c>
      <c r="P697" t="s">
        <v>40</v>
      </c>
      <c r="Q697">
        <v>3</v>
      </c>
      <c r="R697" s="2">
        <v>45058</v>
      </c>
      <c r="S697">
        <v>3</v>
      </c>
      <c r="T697">
        <v>3</v>
      </c>
      <c r="U697">
        <v>5</v>
      </c>
      <c r="V697" s="1">
        <v>45089</v>
      </c>
      <c r="W697" t="s">
        <v>92</v>
      </c>
      <c r="X697" t="s">
        <v>51</v>
      </c>
      <c r="Y697" t="s">
        <v>43</v>
      </c>
      <c r="Z697">
        <v>5</v>
      </c>
      <c r="AA697">
        <v>886.45</v>
      </c>
      <c r="AB697">
        <v>38</v>
      </c>
    </row>
    <row r="698" spans="1:28" x14ac:dyDescent="0.2">
      <c r="A698">
        <v>1187</v>
      </c>
      <c r="B698" s="1">
        <v>44381</v>
      </c>
      <c r="C698" t="s">
        <v>133</v>
      </c>
      <c r="D698" t="s">
        <v>81</v>
      </c>
      <c r="E698" t="s">
        <v>30</v>
      </c>
      <c r="F698" t="s">
        <v>46</v>
      </c>
      <c r="G698" t="s">
        <v>45</v>
      </c>
      <c r="H698" t="s">
        <v>55</v>
      </c>
      <c r="I698" t="s">
        <v>34</v>
      </c>
      <c r="J698" t="s">
        <v>47</v>
      </c>
      <c r="K698" s="2">
        <v>35688</v>
      </c>
      <c r="L698" t="s">
        <v>36</v>
      </c>
      <c r="M698" t="s">
        <v>37</v>
      </c>
      <c r="N698" t="s">
        <v>72</v>
      </c>
      <c r="O698" t="s">
        <v>61</v>
      </c>
      <c r="P698" t="s">
        <v>40</v>
      </c>
      <c r="Q698">
        <v>3</v>
      </c>
      <c r="R698" s="2">
        <v>44884</v>
      </c>
      <c r="S698">
        <v>4</v>
      </c>
      <c r="T698">
        <v>1</v>
      </c>
      <c r="U698">
        <v>1</v>
      </c>
      <c r="V698" s="1">
        <v>44859</v>
      </c>
      <c r="W698" t="s">
        <v>92</v>
      </c>
      <c r="X698" t="s">
        <v>42</v>
      </c>
      <c r="Y698" t="s">
        <v>52</v>
      </c>
      <c r="Z698">
        <v>4</v>
      </c>
      <c r="AA698">
        <v>443.55</v>
      </c>
      <c r="AB698">
        <v>24</v>
      </c>
    </row>
    <row r="699" spans="1:28" x14ac:dyDescent="0.2">
      <c r="A699">
        <v>1188</v>
      </c>
      <c r="B699" s="1">
        <v>43867</v>
      </c>
      <c r="C699" t="s">
        <v>106</v>
      </c>
      <c r="D699" t="s">
        <v>74</v>
      </c>
      <c r="E699" t="s">
        <v>108</v>
      </c>
      <c r="F699" t="s">
        <v>31</v>
      </c>
      <c r="G699" t="s">
        <v>56</v>
      </c>
      <c r="H699" t="s">
        <v>46</v>
      </c>
      <c r="I699" t="s">
        <v>34</v>
      </c>
      <c r="J699" t="s">
        <v>58</v>
      </c>
      <c r="K699" s="2">
        <v>29003</v>
      </c>
      <c r="L699" t="s">
        <v>36</v>
      </c>
      <c r="M699" t="s">
        <v>48</v>
      </c>
      <c r="N699" t="s">
        <v>72</v>
      </c>
      <c r="O699" t="s">
        <v>77</v>
      </c>
      <c r="P699" t="s">
        <v>40</v>
      </c>
      <c r="Q699">
        <v>3</v>
      </c>
      <c r="R699" s="2">
        <v>45123</v>
      </c>
      <c r="S699">
        <v>4</v>
      </c>
      <c r="T699">
        <v>1</v>
      </c>
      <c r="U699">
        <v>1</v>
      </c>
      <c r="V699" s="1">
        <v>44933</v>
      </c>
      <c r="W699" t="s">
        <v>68</v>
      </c>
      <c r="X699" t="s">
        <v>42</v>
      </c>
      <c r="Y699" t="s">
        <v>73</v>
      </c>
      <c r="Z699">
        <v>4</v>
      </c>
      <c r="AA699">
        <v>899.13</v>
      </c>
      <c r="AB699">
        <v>41</v>
      </c>
    </row>
    <row r="700" spans="1:28" x14ac:dyDescent="0.2">
      <c r="A700">
        <v>1189</v>
      </c>
      <c r="B700" s="1">
        <v>44010</v>
      </c>
      <c r="C700" t="s">
        <v>106</v>
      </c>
      <c r="D700" t="s">
        <v>81</v>
      </c>
      <c r="E700" t="s">
        <v>108</v>
      </c>
      <c r="F700" t="s">
        <v>31</v>
      </c>
      <c r="G700" t="s">
        <v>32</v>
      </c>
      <c r="H700" t="s">
        <v>55</v>
      </c>
      <c r="I700" t="s">
        <v>34</v>
      </c>
      <c r="J700" t="s">
        <v>75</v>
      </c>
      <c r="K700" s="2">
        <v>32209</v>
      </c>
      <c r="L700" t="s">
        <v>36</v>
      </c>
      <c r="M700" t="s">
        <v>37</v>
      </c>
      <c r="N700" t="s">
        <v>60</v>
      </c>
      <c r="O700" t="s">
        <v>67</v>
      </c>
      <c r="P700" t="s">
        <v>40</v>
      </c>
      <c r="Q700">
        <v>3</v>
      </c>
      <c r="R700" s="2">
        <v>45126</v>
      </c>
      <c r="S700">
        <v>5</v>
      </c>
      <c r="T700">
        <v>5</v>
      </c>
      <c r="U700">
        <v>3</v>
      </c>
      <c r="V700" s="1">
        <v>44824</v>
      </c>
      <c r="W700" t="s">
        <v>92</v>
      </c>
      <c r="X700" t="s">
        <v>51</v>
      </c>
      <c r="Y700" t="s">
        <v>63</v>
      </c>
      <c r="Z700">
        <v>1</v>
      </c>
      <c r="AA700">
        <v>202.74</v>
      </c>
      <c r="AB700">
        <v>32</v>
      </c>
    </row>
    <row r="701" spans="1:28" x14ac:dyDescent="0.2">
      <c r="A701">
        <v>1190</v>
      </c>
      <c r="B701" s="1">
        <v>44187</v>
      </c>
      <c r="C701" t="s">
        <v>106</v>
      </c>
      <c r="D701" t="s">
        <v>54</v>
      </c>
      <c r="E701" t="s">
        <v>108</v>
      </c>
      <c r="F701" t="s">
        <v>31</v>
      </c>
      <c r="G701" t="s">
        <v>56</v>
      </c>
      <c r="H701" t="s">
        <v>55</v>
      </c>
      <c r="I701" t="s">
        <v>34</v>
      </c>
      <c r="J701" t="s">
        <v>99</v>
      </c>
      <c r="K701" s="2">
        <v>35905</v>
      </c>
      <c r="L701" t="s">
        <v>36</v>
      </c>
      <c r="M701" t="s">
        <v>37</v>
      </c>
      <c r="N701" t="s">
        <v>49</v>
      </c>
      <c r="O701" t="s">
        <v>67</v>
      </c>
      <c r="P701" t="s">
        <v>40</v>
      </c>
      <c r="Q701">
        <v>3</v>
      </c>
      <c r="R701" s="2">
        <v>45023</v>
      </c>
      <c r="S701">
        <v>2</v>
      </c>
      <c r="T701">
        <v>5</v>
      </c>
      <c r="U701">
        <v>3</v>
      </c>
      <c r="V701" s="1">
        <v>45067</v>
      </c>
      <c r="W701" t="s">
        <v>62</v>
      </c>
      <c r="X701" t="s">
        <v>51</v>
      </c>
      <c r="Y701" t="s">
        <v>43</v>
      </c>
      <c r="Z701">
        <v>4</v>
      </c>
      <c r="AA701">
        <v>727.81</v>
      </c>
      <c r="AB701">
        <v>22</v>
      </c>
    </row>
    <row r="702" spans="1:28" x14ac:dyDescent="0.2">
      <c r="A702">
        <v>1191</v>
      </c>
      <c r="B702" s="1">
        <v>43793</v>
      </c>
      <c r="C702" t="s">
        <v>106</v>
      </c>
      <c r="D702" t="s">
        <v>69</v>
      </c>
      <c r="E702" t="s">
        <v>30</v>
      </c>
      <c r="F702" t="s">
        <v>55</v>
      </c>
      <c r="G702" t="s">
        <v>56</v>
      </c>
      <c r="H702" t="s">
        <v>55</v>
      </c>
      <c r="I702" t="s">
        <v>34</v>
      </c>
      <c r="J702" t="s">
        <v>101</v>
      </c>
      <c r="K702" s="2">
        <v>28605</v>
      </c>
      <c r="L702" t="s">
        <v>36</v>
      </c>
      <c r="M702" t="s">
        <v>37</v>
      </c>
      <c r="N702" t="s">
        <v>72</v>
      </c>
      <c r="O702" t="s">
        <v>77</v>
      </c>
      <c r="P702" t="s">
        <v>40</v>
      </c>
      <c r="Q702">
        <v>3</v>
      </c>
      <c r="R702" s="2">
        <v>45120</v>
      </c>
      <c r="S702">
        <v>4</v>
      </c>
      <c r="T702">
        <v>4</v>
      </c>
      <c r="U702">
        <v>4</v>
      </c>
      <c r="V702" s="1">
        <v>44827</v>
      </c>
      <c r="W702" t="s">
        <v>50</v>
      </c>
      <c r="X702" t="s">
        <v>42</v>
      </c>
      <c r="Y702" t="s">
        <v>63</v>
      </c>
      <c r="Z702">
        <v>2</v>
      </c>
      <c r="AA702">
        <v>820.39</v>
      </c>
      <c r="AB702">
        <v>41</v>
      </c>
    </row>
    <row r="703" spans="1:28" x14ac:dyDescent="0.2">
      <c r="A703">
        <v>1192</v>
      </c>
      <c r="B703" s="1">
        <v>44827</v>
      </c>
      <c r="C703" t="s">
        <v>106</v>
      </c>
      <c r="D703" t="s">
        <v>29</v>
      </c>
      <c r="E703" t="s">
        <v>30</v>
      </c>
      <c r="F703" t="s">
        <v>55</v>
      </c>
      <c r="G703" t="s">
        <v>32</v>
      </c>
      <c r="H703" t="s">
        <v>55</v>
      </c>
      <c r="I703" t="s">
        <v>34</v>
      </c>
      <c r="J703" t="s">
        <v>65</v>
      </c>
      <c r="K703" s="2">
        <v>32484</v>
      </c>
      <c r="L703" t="s">
        <v>36</v>
      </c>
      <c r="M703" t="s">
        <v>37</v>
      </c>
      <c r="N703" t="s">
        <v>38</v>
      </c>
      <c r="O703" t="s">
        <v>61</v>
      </c>
      <c r="P703" t="s">
        <v>40</v>
      </c>
      <c r="Q703">
        <v>3</v>
      </c>
      <c r="R703" s="2">
        <v>44919</v>
      </c>
      <c r="S703">
        <v>3</v>
      </c>
      <c r="T703">
        <v>1</v>
      </c>
      <c r="U703">
        <v>1</v>
      </c>
      <c r="V703" s="1">
        <v>44845</v>
      </c>
      <c r="W703" t="s">
        <v>41</v>
      </c>
      <c r="X703" t="s">
        <v>51</v>
      </c>
      <c r="Y703" t="s">
        <v>73</v>
      </c>
      <c r="Z703">
        <v>4</v>
      </c>
      <c r="AA703">
        <v>111.94</v>
      </c>
      <c r="AB703">
        <v>34</v>
      </c>
    </row>
    <row r="704" spans="1:28" x14ac:dyDescent="0.2">
      <c r="A704">
        <v>1193</v>
      </c>
      <c r="B704" s="1">
        <v>43867</v>
      </c>
      <c r="C704" t="s">
        <v>28</v>
      </c>
      <c r="D704" t="s">
        <v>85</v>
      </c>
      <c r="E704" t="s">
        <v>108</v>
      </c>
      <c r="F704" t="s">
        <v>55</v>
      </c>
      <c r="G704" t="s">
        <v>56</v>
      </c>
      <c r="H704" t="s">
        <v>33</v>
      </c>
      <c r="I704" t="s">
        <v>34</v>
      </c>
      <c r="J704" t="s">
        <v>47</v>
      </c>
      <c r="K704" s="2">
        <v>18524</v>
      </c>
      <c r="L704" t="s">
        <v>36</v>
      </c>
      <c r="M704" t="s">
        <v>37</v>
      </c>
      <c r="N704" t="s">
        <v>72</v>
      </c>
      <c r="O704" t="s">
        <v>67</v>
      </c>
      <c r="P704" t="s">
        <v>40</v>
      </c>
      <c r="Q704">
        <v>3</v>
      </c>
      <c r="R704" s="2">
        <v>44788</v>
      </c>
      <c r="S704">
        <v>5</v>
      </c>
      <c r="T704">
        <v>2</v>
      </c>
      <c r="U704">
        <v>3</v>
      </c>
      <c r="V704" s="1">
        <v>45051</v>
      </c>
      <c r="W704" t="s">
        <v>68</v>
      </c>
      <c r="X704" t="s">
        <v>51</v>
      </c>
      <c r="Y704" t="s">
        <v>43</v>
      </c>
      <c r="Z704">
        <v>1</v>
      </c>
      <c r="AA704">
        <v>231.96</v>
      </c>
      <c r="AB704">
        <v>70</v>
      </c>
    </row>
    <row r="705" spans="1:28" x14ac:dyDescent="0.2">
      <c r="A705">
        <v>1194</v>
      </c>
      <c r="B705" s="1">
        <v>43479</v>
      </c>
      <c r="C705" t="s">
        <v>28</v>
      </c>
      <c r="D705" t="s">
        <v>44</v>
      </c>
      <c r="E705" t="s">
        <v>108</v>
      </c>
      <c r="F705" t="s">
        <v>55</v>
      </c>
      <c r="G705" t="s">
        <v>32</v>
      </c>
      <c r="H705" t="s">
        <v>33</v>
      </c>
      <c r="I705" t="s">
        <v>34</v>
      </c>
      <c r="J705" t="s">
        <v>70</v>
      </c>
      <c r="K705" s="2">
        <v>19426</v>
      </c>
      <c r="L705" t="s">
        <v>36</v>
      </c>
      <c r="M705" t="s">
        <v>48</v>
      </c>
      <c r="N705" t="s">
        <v>84</v>
      </c>
      <c r="O705" t="s">
        <v>39</v>
      </c>
      <c r="P705" t="s">
        <v>40</v>
      </c>
      <c r="Q705">
        <v>3</v>
      </c>
      <c r="R705" s="2">
        <v>44899</v>
      </c>
      <c r="S705">
        <v>5</v>
      </c>
      <c r="T705">
        <v>4</v>
      </c>
      <c r="U705">
        <v>2</v>
      </c>
      <c r="V705" s="1">
        <v>45053</v>
      </c>
      <c r="W705" t="s">
        <v>92</v>
      </c>
      <c r="X705" t="s">
        <v>42</v>
      </c>
      <c r="Y705" t="s">
        <v>63</v>
      </c>
      <c r="Z705">
        <v>2</v>
      </c>
      <c r="AA705">
        <v>430.92</v>
      </c>
      <c r="AB705">
        <v>66</v>
      </c>
    </row>
    <row r="706" spans="1:28" x14ac:dyDescent="0.2">
      <c r="A706">
        <v>1196</v>
      </c>
      <c r="B706" s="1">
        <v>43533</v>
      </c>
      <c r="C706" t="s">
        <v>28</v>
      </c>
      <c r="D706" t="s">
        <v>94</v>
      </c>
      <c r="E706" t="s">
        <v>30</v>
      </c>
      <c r="F706" t="s">
        <v>46</v>
      </c>
      <c r="G706" t="s">
        <v>32</v>
      </c>
      <c r="H706" t="s">
        <v>33</v>
      </c>
      <c r="I706" t="s">
        <v>34</v>
      </c>
      <c r="J706" t="s">
        <v>75</v>
      </c>
      <c r="K706" s="2">
        <v>28801</v>
      </c>
      <c r="L706" t="s">
        <v>36</v>
      </c>
      <c r="M706" t="s">
        <v>37</v>
      </c>
      <c r="N706" t="s">
        <v>60</v>
      </c>
      <c r="O706" t="s">
        <v>67</v>
      </c>
      <c r="P706" t="s">
        <v>40</v>
      </c>
      <c r="Q706">
        <v>3</v>
      </c>
      <c r="R706" s="2">
        <v>45079</v>
      </c>
      <c r="S706">
        <v>4</v>
      </c>
      <c r="T706">
        <v>5</v>
      </c>
      <c r="U706">
        <v>4</v>
      </c>
      <c r="V706" s="1">
        <v>44985</v>
      </c>
      <c r="W706" t="s">
        <v>92</v>
      </c>
      <c r="X706" t="s">
        <v>42</v>
      </c>
      <c r="Y706" t="s">
        <v>63</v>
      </c>
      <c r="Z706">
        <v>5</v>
      </c>
      <c r="AA706">
        <v>355.3</v>
      </c>
      <c r="AB706">
        <v>41</v>
      </c>
    </row>
    <row r="707" spans="1:28" x14ac:dyDescent="0.2">
      <c r="A707">
        <v>1197</v>
      </c>
      <c r="B707" s="1">
        <v>43995</v>
      </c>
      <c r="C707" t="s">
        <v>28</v>
      </c>
      <c r="D707" t="s">
        <v>74</v>
      </c>
      <c r="E707" t="s">
        <v>30</v>
      </c>
      <c r="F707" t="s">
        <v>55</v>
      </c>
      <c r="G707" t="s">
        <v>56</v>
      </c>
      <c r="H707" t="s">
        <v>46</v>
      </c>
      <c r="I707" t="s">
        <v>34</v>
      </c>
      <c r="J707" t="s">
        <v>135</v>
      </c>
      <c r="K707" s="2">
        <v>21348</v>
      </c>
      <c r="L707" t="s">
        <v>36</v>
      </c>
      <c r="M707" t="s">
        <v>37</v>
      </c>
      <c r="N707" t="s">
        <v>49</v>
      </c>
      <c r="O707" t="s">
        <v>77</v>
      </c>
      <c r="P707" t="s">
        <v>40</v>
      </c>
      <c r="Q707">
        <v>3</v>
      </c>
      <c r="R707" s="2">
        <v>44874</v>
      </c>
      <c r="S707">
        <v>3</v>
      </c>
      <c r="T707">
        <v>5</v>
      </c>
      <c r="U707">
        <v>4</v>
      </c>
      <c r="V707" s="1">
        <v>44982</v>
      </c>
      <c r="W707" t="s">
        <v>68</v>
      </c>
      <c r="X707" t="s">
        <v>42</v>
      </c>
      <c r="Y707" t="s">
        <v>73</v>
      </c>
      <c r="Z707">
        <v>5</v>
      </c>
      <c r="AA707">
        <v>575.1</v>
      </c>
      <c r="AB707">
        <v>62</v>
      </c>
    </row>
    <row r="708" spans="1:28" x14ac:dyDescent="0.2">
      <c r="A708">
        <v>1198</v>
      </c>
      <c r="B708" s="1">
        <v>43487</v>
      </c>
      <c r="C708" t="s">
        <v>28</v>
      </c>
      <c r="D708" t="s">
        <v>81</v>
      </c>
      <c r="E708" t="s">
        <v>30</v>
      </c>
      <c r="F708" t="s">
        <v>31</v>
      </c>
      <c r="G708" t="s">
        <v>56</v>
      </c>
      <c r="H708" t="s">
        <v>46</v>
      </c>
      <c r="I708" t="s">
        <v>34</v>
      </c>
      <c r="J708" t="s">
        <v>70</v>
      </c>
      <c r="K708" s="2">
        <v>19265</v>
      </c>
      <c r="L708" t="s">
        <v>36</v>
      </c>
      <c r="M708" t="s">
        <v>37</v>
      </c>
      <c r="N708" t="s">
        <v>84</v>
      </c>
      <c r="O708" t="s">
        <v>67</v>
      </c>
      <c r="P708" t="s">
        <v>40</v>
      </c>
      <c r="Q708">
        <v>3</v>
      </c>
      <c r="R708" s="2">
        <v>44907</v>
      </c>
      <c r="S708">
        <v>3</v>
      </c>
      <c r="T708">
        <v>2</v>
      </c>
      <c r="U708">
        <v>2</v>
      </c>
      <c r="V708" s="1">
        <v>45096</v>
      </c>
      <c r="W708" t="s">
        <v>62</v>
      </c>
      <c r="X708" t="s">
        <v>42</v>
      </c>
      <c r="Y708" t="s">
        <v>43</v>
      </c>
      <c r="Z708">
        <v>1</v>
      </c>
      <c r="AA708">
        <v>140.82</v>
      </c>
      <c r="AB708">
        <v>67</v>
      </c>
    </row>
    <row r="709" spans="1:28" x14ac:dyDescent="0.2">
      <c r="A709">
        <v>1199</v>
      </c>
      <c r="B709" s="1">
        <v>44177</v>
      </c>
      <c r="C709" t="s">
        <v>28</v>
      </c>
      <c r="D709" t="s">
        <v>54</v>
      </c>
      <c r="E709" t="s">
        <v>30</v>
      </c>
      <c r="F709" t="s">
        <v>55</v>
      </c>
      <c r="G709" t="s">
        <v>56</v>
      </c>
      <c r="H709" t="s">
        <v>46</v>
      </c>
      <c r="I709" t="s">
        <v>34</v>
      </c>
      <c r="J709" t="s">
        <v>70</v>
      </c>
      <c r="K709" s="2">
        <v>18367</v>
      </c>
      <c r="L709" t="s">
        <v>36</v>
      </c>
      <c r="M709" t="s">
        <v>37</v>
      </c>
      <c r="N709" t="s">
        <v>38</v>
      </c>
      <c r="O709" t="s">
        <v>39</v>
      </c>
      <c r="P709" t="s">
        <v>40</v>
      </c>
      <c r="Q709">
        <v>3</v>
      </c>
      <c r="R709" s="2">
        <v>45104</v>
      </c>
      <c r="S709">
        <v>3</v>
      </c>
      <c r="T709">
        <v>3</v>
      </c>
      <c r="U709">
        <v>3</v>
      </c>
      <c r="V709" s="1">
        <v>44893</v>
      </c>
      <c r="W709" t="s">
        <v>41</v>
      </c>
      <c r="X709" t="s">
        <v>51</v>
      </c>
      <c r="Y709" t="s">
        <v>73</v>
      </c>
      <c r="Z709">
        <v>2</v>
      </c>
      <c r="AA709">
        <v>663.19</v>
      </c>
      <c r="AB709">
        <v>70</v>
      </c>
    </row>
    <row r="710" spans="1:28" x14ac:dyDescent="0.2">
      <c r="A710">
        <v>1200</v>
      </c>
      <c r="B710" s="1">
        <v>44678</v>
      </c>
      <c r="C710" t="s">
        <v>28</v>
      </c>
      <c r="D710" t="s">
        <v>69</v>
      </c>
      <c r="E710" t="s">
        <v>30</v>
      </c>
      <c r="F710" t="s">
        <v>46</v>
      </c>
      <c r="G710" t="s">
        <v>45</v>
      </c>
      <c r="H710" t="s">
        <v>55</v>
      </c>
      <c r="I710" t="s">
        <v>34</v>
      </c>
      <c r="J710" t="s">
        <v>65</v>
      </c>
      <c r="K710" s="2">
        <v>28406</v>
      </c>
      <c r="L710" t="s">
        <v>36</v>
      </c>
      <c r="M710" t="s">
        <v>37</v>
      </c>
      <c r="N710" t="s">
        <v>60</v>
      </c>
      <c r="O710" t="s">
        <v>67</v>
      </c>
      <c r="P710" t="s">
        <v>40</v>
      </c>
      <c r="Q710">
        <v>3</v>
      </c>
      <c r="R710" s="2">
        <v>45035</v>
      </c>
      <c r="S710">
        <v>4</v>
      </c>
      <c r="T710">
        <v>5</v>
      </c>
      <c r="U710">
        <v>1</v>
      </c>
      <c r="V710" s="1">
        <v>45136</v>
      </c>
      <c r="W710" t="s">
        <v>62</v>
      </c>
      <c r="X710" t="s">
        <v>42</v>
      </c>
      <c r="Y710" t="s">
        <v>52</v>
      </c>
      <c r="Z710">
        <v>2</v>
      </c>
      <c r="AA710">
        <v>996.77</v>
      </c>
      <c r="AB710">
        <v>45</v>
      </c>
    </row>
    <row r="711" spans="1:28" x14ac:dyDescent="0.2">
      <c r="A711">
        <v>1201</v>
      </c>
      <c r="B711" s="1">
        <v>44662</v>
      </c>
      <c r="C711" t="s">
        <v>28</v>
      </c>
      <c r="D711" t="s">
        <v>29</v>
      </c>
      <c r="E711" t="s">
        <v>108</v>
      </c>
      <c r="F711" t="s">
        <v>31</v>
      </c>
      <c r="G711" t="s">
        <v>45</v>
      </c>
      <c r="H711" t="s">
        <v>46</v>
      </c>
      <c r="I711" t="s">
        <v>34</v>
      </c>
      <c r="J711" t="s">
        <v>65</v>
      </c>
      <c r="K711" s="2">
        <v>19751</v>
      </c>
      <c r="L711" t="s">
        <v>36</v>
      </c>
      <c r="M711" t="s">
        <v>48</v>
      </c>
      <c r="N711" t="s">
        <v>60</v>
      </c>
      <c r="O711" t="s">
        <v>77</v>
      </c>
      <c r="P711" t="s">
        <v>40</v>
      </c>
      <c r="Q711">
        <v>3</v>
      </c>
      <c r="R711" s="2">
        <v>44980</v>
      </c>
      <c r="S711">
        <v>2</v>
      </c>
      <c r="T711">
        <v>4</v>
      </c>
      <c r="U711">
        <v>4</v>
      </c>
      <c r="V711" s="1">
        <v>44844</v>
      </c>
      <c r="W711" t="s">
        <v>92</v>
      </c>
      <c r="X711" t="s">
        <v>51</v>
      </c>
      <c r="Y711" t="s">
        <v>73</v>
      </c>
      <c r="Z711">
        <v>2</v>
      </c>
      <c r="AA711">
        <v>145.38999999999999</v>
      </c>
      <c r="AB711">
        <v>68</v>
      </c>
    </row>
    <row r="712" spans="1:28" x14ac:dyDescent="0.2">
      <c r="A712">
        <v>1202</v>
      </c>
      <c r="B712" s="1">
        <v>44805</v>
      </c>
      <c r="C712" t="s">
        <v>28</v>
      </c>
      <c r="D712" t="s">
        <v>85</v>
      </c>
      <c r="E712" t="s">
        <v>108</v>
      </c>
      <c r="F712" t="s">
        <v>31</v>
      </c>
      <c r="G712" t="s">
        <v>56</v>
      </c>
      <c r="H712" t="s">
        <v>33</v>
      </c>
      <c r="I712" t="s">
        <v>34</v>
      </c>
      <c r="J712" t="s">
        <v>101</v>
      </c>
      <c r="K712" s="2">
        <v>30487</v>
      </c>
      <c r="L712" t="s">
        <v>36</v>
      </c>
      <c r="M712" t="s">
        <v>48</v>
      </c>
      <c r="N712" t="s">
        <v>38</v>
      </c>
      <c r="O712" t="s">
        <v>39</v>
      </c>
      <c r="P712" t="s">
        <v>40</v>
      </c>
      <c r="Q712">
        <v>3</v>
      </c>
      <c r="R712" s="2">
        <v>44787</v>
      </c>
      <c r="S712">
        <v>1</v>
      </c>
      <c r="T712">
        <v>3</v>
      </c>
      <c r="U712">
        <v>2</v>
      </c>
      <c r="V712" s="1">
        <v>44903</v>
      </c>
      <c r="W712" t="s">
        <v>68</v>
      </c>
      <c r="X712" t="s">
        <v>42</v>
      </c>
      <c r="Y712" t="s">
        <v>52</v>
      </c>
      <c r="Z712">
        <v>1</v>
      </c>
      <c r="AA712">
        <v>344.74</v>
      </c>
      <c r="AB712">
        <v>39</v>
      </c>
    </row>
    <row r="713" spans="1:28" x14ac:dyDescent="0.2">
      <c r="A713">
        <v>1203</v>
      </c>
      <c r="B713" s="1">
        <v>43351</v>
      </c>
      <c r="C713" t="s">
        <v>28</v>
      </c>
      <c r="D713" t="s">
        <v>44</v>
      </c>
      <c r="E713" t="s">
        <v>30</v>
      </c>
      <c r="F713" t="s">
        <v>31</v>
      </c>
      <c r="G713" t="s">
        <v>45</v>
      </c>
      <c r="H713" t="s">
        <v>46</v>
      </c>
      <c r="I713" t="s">
        <v>34</v>
      </c>
      <c r="J713" t="s">
        <v>79</v>
      </c>
      <c r="K713" s="2">
        <v>31793</v>
      </c>
      <c r="L713" t="s">
        <v>36</v>
      </c>
      <c r="M713" t="s">
        <v>48</v>
      </c>
      <c r="N713" t="s">
        <v>38</v>
      </c>
      <c r="O713" t="s">
        <v>77</v>
      </c>
      <c r="P713" t="s">
        <v>40</v>
      </c>
      <c r="Q713">
        <v>3</v>
      </c>
      <c r="R713" s="2">
        <v>44837</v>
      </c>
      <c r="S713">
        <v>3</v>
      </c>
      <c r="T713">
        <v>5</v>
      </c>
      <c r="U713">
        <v>3</v>
      </c>
      <c r="V713" s="1">
        <v>44846</v>
      </c>
      <c r="W713" t="s">
        <v>62</v>
      </c>
      <c r="X713" t="s">
        <v>51</v>
      </c>
      <c r="Y713" t="s">
        <v>52</v>
      </c>
      <c r="Z713">
        <v>5</v>
      </c>
      <c r="AA713">
        <v>308.08999999999997</v>
      </c>
      <c r="AB713">
        <v>31</v>
      </c>
    </row>
    <row r="714" spans="1:28" x14ac:dyDescent="0.2">
      <c r="A714">
        <v>1204</v>
      </c>
      <c r="B714" s="1">
        <v>44889</v>
      </c>
      <c r="C714" t="s">
        <v>28</v>
      </c>
      <c r="D714" t="s">
        <v>87</v>
      </c>
      <c r="E714" t="s">
        <v>30</v>
      </c>
      <c r="F714" t="s">
        <v>55</v>
      </c>
      <c r="G714" t="s">
        <v>56</v>
      </c>
      <c r="H714" t="s">
        <v>33</v>
      </c>
      <c r="I714" t="s">
        <v>34</v>
      </c>
      <c r="J714" t="s">
        <v>58</v>
      </c>
      <c r="K714" s="2">
        <v>17771</v>
      </c>
      <c r="L714" t="s">
        <v>36</v>
      </c>
      <c r="M714" t="s">
        <v>48</v>
      </c>
      <c r="N714" t="s">
        <v>38</v>
      </c>
      <c r="O714" t="s">
        <v>67</v>
      </c>
      <c r="P714" t="s">
        <v>40</v>
      </c>
      <c r="Q714">
        <v>3</v>
      </c>
      <c r="R714" s="2">
        <v>45099</v>
      </c>
      <c r="S714">
        <v>1</v>
      </c>
      <c r="T714">
        <v>4</v>
      </c>
      <c r="U714">
        <v>3</v>
      </c>
      <c r="V714" s="1">
        <v>45123</v>
      </c>
      <c r="W714" t="s">
        <v>62</v>
      </c>
      <c r="X714" t="s">
        <v>51</v>
      </c>
      <c r="Y714" t="s">
        <v>52</v>
      </c>
      <c r="Z714">
        <v>1</v>
      </c>
      <c r="AA714">
        <v>610.96</v>
      </c>
      <c r="AB714">
        <v>74</v>
      </c>
    </row>
    <row r="715" spans="1:28" x14ac:dyDescent="0.2">
      <c r="A715">
        <v>1205</v>
      </c>
      <c r="B715" s="1">
        <v>44035</v>
      </c>
      <c r="C715" t="s">
        <v>28</v>
      </c>
      <c r="D715" t="s">
        <v>64</v>
      </c>
      <c r="E715" t="s">
        <v>30</v>
      </c>
      <c r="F715" t="s">
        <v>55</v>
      </c>
      <c r="G715" t="s">
        <v>32</v>
      </c>
      <c r="H715" t="s">
        <v>46</v>
      </c>
      <c r="I715" t="s">
        <v>34</v>
      </c>
      <c r="J715" t="s">
        <v>105</v>
      </c>
      <c r="K715" s="2">
        <v>20579</v>
      </c>
      <c r="L715" t="s">
        <v>36</v>
      </c>
      <c r="M715" t="s">
        <v>37</v>
      </c>
      <c r="N715" t="s">
        <v>49</v>
      </c>
      <c r="O715" t="s">
        <v>61</v>
      </c>
      <c r="P715" t="s">
        <v>40</v>
      </c>
      <c r="Q715">
        <v>3</v>
      </c>
      <c r="R715" s="2">
        <v>45023</v>
      </c>
      <c r="S715">
        <v>2</v>
      </c>
      <c r="T715">
        <v>1</v>
      </c>
      <c r="U715">
        <v>2</v>
      </c>
      <c r="V715" s="1">
        <v>45139</v>
      </c>
      <c r="W715" t="s">
        <v>92</v>
      </c>
      <c r="X715" t="s">
        <v>51</v>
      </c>
      <c r="Y715" t="s">
        <v>43</v>
      </c>
      <c r="Z715">
        <v>3</v>
      </c>
      <c r="AA715">
        <v>201.83</v>
      </c>
      <c r="AB715">
        <v>64</v>
      </c>
    </row>
    <row r="716" spans="1:28" x14ac:dyDescent="0.2">
      <c r="A716">
        <v>1206</v>
      </c>
      <c r="B716" s="1">
        <v>43462</v>
      </c>
      <c r="C716" t="s">
        <v>28</v>
      </c>
      <c r="D716" t="s">
        <v>94</v>
      </c>
      <c r="E716" t="s">
        <v>30</v>
      </c>
      <c r="F716" t="s">
        <v>46</v>
      </c>
      <c r="G716" t="s">
        <v>32</v>
      </c>
      <c r="H716" t="s">
        <v>46</v>
      </c>
      <c r="I716" t="s">
        <v>34</v>
      </c>
      <c r="J716" t="s">
        <v>79</v>
      </c>
      <c r="K716" s="2">
        <v>20500</v>
      </c>
      <c r="L716" t="s">
        <v>36</v>
      </c>
      <c r="M716" t="s">
        <v>37</v>
      </c>
      <c r="N716" t="s">
        <v>38</v>
      </c>
      <c r="O716" t="s">
        <v>77</v>
      </c>
      <c r="P716" t="s">
        <v>40</v>
      </c>
      <c r="Q716">
        <v>3</v>
      </c>
      <c r="R716" s="2">
        <v>44851</v>
      </c>
      <c r="S716">
        <v>3</v>
      </c>
      <c r="T716">
        <v>4</v>
      </c>
      <c r="U716">
        <v>2</v>
      </c>
      <c r="V716" s="1">
        <v>45127</v>
      </c>
      <c r="W716" t="s">
        <v>68</v>
      </c>
      <c r="X716" t="s">
        <v>42</v>
      </c>
      <c r="Y716" t="s">
        <v>73</v>
      </c>
      <c r="Z716">
        <v>5</v>
      </c>
      <c r="AA716">
        <v>391.85</v>
      </c>
      <c r="AB716">
        <v>62</v>
      </c>
    </row>
    <row r="717" spans="1:28" x14ac:dyDescent="0.2">
      <c r="A717">
        <v>1207</v>
      </c>
      <c r="B717" s="1">
        <v>43739</v>
      </c>
      <c r="C717" t="s">
        <v>28</v>
      </c>
      <c r="D717" t="s">
        <v>74</v>
      </c>
      <c r="E717" t="s">
        <v>30</v>
      </c>
      <c r="F717" t="s">
        <v>31</v>
      </c>
      <c r="G717" t="s">
        <v>56</v>
      </c>
      <c r="H717" t="s">
        <v>55</v>
      </c>
      <c r="I717" t="s">
        <v>34</v>
      </c>
      <c r="J717" t="s">
        <v>101</v>
      </c>
      <c r="K717" s="2">
        <v>20644</v>
      </c>
      <c r="L717" t="s">
        <v>36</v>
      </c>
      <c r="M717" t="s">
        <v>37</v>
      </c>
      <c r="N717" t="s">
        <v>38</v>
      </c>
      <c r="O717" t="s">
        <v>77</v>
      </c>
      <c r="P717" t="s">
        <v>40</v>
      </c>
      <c r="Q717">
        <v>3</v>
      </c>
      <c r="R717" s="2">
        <v>44779</v>
      </c>
      <c r="S717">
        <v>2</v>
      </c>
      <c r="T717">
        <v>1</v>
      </c>
      <c r="U717">
        <v>2</v>
      </c>
      <c r="V717" s="1">
        <v>44902</v>
      </c>
      <c r="W717" t="s">
        <v>92</v>
      </c>
      <c r="X717" t="s">
        <v>42</v>
      </c>
      <c r="Y717" t="s">
        <v>63</v>
      </c>
      <c r="Z717">
        <v>5</v>
      </c>
      <c r="AA717">
        <v>682.36</v>
      </c>
      <c r="AB717">
        <v>63</v>
      </c>
    </row>
    <row r="718" spans="1:28" x14ac:dyDescent="0.2">
      <c r="A718">
        <v>1208</v>
      </c>
      <c r="B718" s="1">
        <v>43694</v>
      </c>
      <c r="C718" t="s">
        <v>133</v>
      </c>
      <c r="D718" t="s">
        <v>81</v>
      </c>
      <c r="E718" t="s">
        <v>30</v>
      </c>
      <c r="F718" t="s">
        <v>31</v>
      </c>
      <c r="G718" t="s">
        <v>45</v>
      </c>
      <c r="H718" t="s">
        <v>46</v>
      </c>
      <c r="I718" t="s">
        <v>34</v>
      </c>
      <c r="J718" t="s">
        <v>101</v>
      </c>
      <c r="K718" s="2">
        <v>29219</v>
      </c>
      <c r="L718" t="s">
        <v>36</v>
      </c>
      <c r="M718" t="s">
        <v>37</v>
      </c>
      <c r="N718" t="s">
        <v>72</v>
      </c>
      <c r="O718" t="s">
        <v>61</v>
      </c>
      <c r="P718" t="s">
        <v>40</v>
      </c>
      <c r="Q718">
        <v>3</v>
      </c>
      <c r="R718" s="2">
        <v>44791</v>
      </c>
      <c r="S718">
        <v>5</v>
      </c>
      <c r="T718">
        <v>1</v>
      </c>
      <c r="U718">
        <v>5</v>
      </c>
      <c r="V718" s="1">
        <v>44824</v>
      </c>
      <c r="W718" t="s">
        <v>41</v>
      </c>
      <c r="X718" t="s">
        <v>42</v>
      </c>
      <c r="Y718" t="s">
        <v>73</v>
      </c>
      <c r="Z718">
        <v>3</v>
      </c>
      <c r="AA718">
        <v>492.39</v>
      </c>
      <c r="AB718">
        <v>40</v>
      </c>
    </row>
    <row r="719" spans="1:28" x14ac:dyDescent="0.2">
      <c r="A719">
        <v>1209</v>
      </c>
      <c r="B719" s="1">
        <v>45077</v>
      </c>
      <c r="C719" t="s">
        <v>133</v>
      </c>
      <c r="D719" t="s">
        <v>54</v>
      </c>
      <c r="E719" t="s">
        <v>30</v>
      </c>
      <c r="F719" t="s">
        <v>46</v>
      </c>
      <c r="G719" t="s">
        <v>45</v>
      </c>
      <c r="H719" t="s">
        <v>46</v>
      </c>
      <c r="I719" t="s">
        <v>34</v>
      </c>
      <c r="J719" t="s">
        <v>101</v>
      </c>
      <c r="K719" s="2">
        <v>36315</v>
      </c>
      <c r="L719" t="s">
        <v>36</v>
      </c>
      <c r="M719" t="s">
        <v>37</v>
      </c>
      <c r="N719" t="s">
        <v>60</v>
      </c>
      <c r="O719" t="s">
        <v>67</v>
      </c>
      <c r="P719" t="s">
        <v>40</v>
      </c>
      <c r="Q719">
        <v>3</v>
      </c>
      <c r="R719" s="2">
        <v>45074</v>
      </c>
      <c r="S719">
        <v>1</v>
      </c>
      <c r="T719">
        <v>3</v>
      </c>
      <c r="U719">
        <v>1</v>
      </c>
      <c r="V719" s="1">
        <v>45095</v>
      </c>
      <c r="W719" t="s">
        <v>92</v>
      </c>
      <c r="X719" t="s">
        <v>51</v>
      </c>
      <c r="Y719" t="s">
        <v>43</v>
      </c>
      <c r="Z719">
        <v>2</v>
      </c>
      <c r="AA719">
        <v>197.78</v>
      </c>
      <c r="AB719">
        <v>24</v>
      </c>
    </row>
    <row r="720" spans="1:28" x14ac:dyDescent="0.2">
      <c r="A720">
        <v>1210</v>
      </c>
      <c r="B720" s="1">
        <v>44173</v>
      </c>
      <c r="C720" t="s">
        <v>133</v>
      </c>
      <c r="D720" t="s">
        <v>69</v>
      </c>
      <c r="E720" t="s">
        <v>30</v>
      </c>
      <c r="F720" t="s">
        <v>55</v>
      </c>
      <c r="G720" t="s">
        <v>56</v>
      </c>
      <c r="H720" t="s">
        <v>46</v>
      </c>
      <c r="I720" t="s">
        <v>34</v>
      </c>
      <c r="J720" t="s">
        <v>70</v>
      </c>
      <c r="K720" s="2">
        <v>17891</v>
      </c>
      <c r="L720" t="s">
        <v>36</v>
      </c>
      <c r="M720" t="s">
        <v>37</v>
      </c>
      <c r="N720" t="s">
        <v>84</v>
      </c>
      <c r="O720" t="s">
        <v>77</v>
      </c>
      <c r="P720" t="s">
        <v>40</v>
      </c>
      <c r="Q720">
        <v>3</v>
      </c>
      <c r="R720" s="2">
        <v>44858</v>
      </c>
      <c r="S720">
        <v>4</v>
      </c>
      <c r="T720">
        <v>5</v>
      </c>
      <c r="U720">
        <v>1</v>
      </c>
      <c r="V720" s="1">
        <v>44935</v>
      </c>
      <c r="W720" t="s">
        <v>41</v>
      </c>
      <c r="X720" t="s">
        <v>51</v>
      </c>
      <c r="Y720" t="s">
        <v>52</v>
      </c>
      <c r="Z720">
        <v>4</v>
      </c>
      <c r="AA720">
        <v>485.44</v>
      </c>
      <c r="AB720">
        <v>72</v>
      </c>
    </row>
    <row r="721" spans="1:28" x14ac:dyDescent="0.2">
      <c r="A721">
        <v>1211</v>
      </c>
      <c r="B721" s="1">
        <v>43409</v>
      </c>
      <c r="C721" t="s">
        <v>106</v>
      </c>
      <c r="D721" t="s">
        <v>29</v>
      </c>
      <c r="E721" t="s">
        <v>108</v>
      </c>
      <c r="F721" t="s">
        <v>46</v>
      </c>
      <c r="G721" t="s">
        <v>56</v>
      </c>
      <c r="H721" t="s">
        <v>46</v>
      </c>
      <c r="I721" t="s">
        <v>34</v>
      </c>
      <c r="J721" t="s">
        <v>70</v>
      </c>
      <c r="K721" s="2">
        <v>29931</v>
      </c>
      <c r="L721" t="s">
        <v>36</v>
      </c>
      <c r="M721" t="s">
        <v>48</v>
      </c>
      <c r="N721" t="s">
        <v>60</v>
      </c>
      <c r="O721" t="s">
        <v>39</v>
      </c>
      <c r="P721" t="s">
        <v>40</v>
      </c>
      <c r="Q721">
        <v>3</v>
      </c>
      <c r="R721" s="2">
        <v>45001</v>
      </c>
      <c r="S721">
        <v>3</v>
      </c>
      <c r="T721">
        <v>3</v>
      </c>
      <c r="U721">
        <v>1</v>
      </c>
      <c r="V721" s="1">
        <v>45137</v>
      </c>
      <c r="W721" t="s">
        <v>41</v>
      </c>
      <c r="X721" t="s">
        <v>51</v>
      </c>
      <c r="Y721" t="s">
        <v>73</v>
      </c>
      <c r="Z721">
        <v>3</v>
      </c>
      <c r="AA721">
        <v>557.34</v>
      </c>
      <c r="AB721">
        <v>37</v>
      </c>
    </row>
    <row r="722" spans="1:28" x14ac:dyDescent="0.2">
      <c r="A722">
        <v>1212</v>
      </c>
      <c r="B722" s="1">
        <v>44069</v>
      </c>
      <c r="C722" t="s">
        <v>106</v>
      </c>
      <c r="D722" t="s">
        <v>44</v>
      </c>
      <c r="E722" t="s">
        <v>108</v>
      </c>
      <c r="F722" t="s">
        <v>31</v>
      </c>
      <c r="G722" t="s">
        <v>32</v>
      </c>
      <c r="H722" t="s">
        <v>55</v>
      </c>
      <c r="I722" t="s">
        <v>34</v>
      </c>
      <c r="J722" t="s">
        <v>79</v>
      </c>
      <c r="K722" s="2">
        <v>30555</v>
      </c>
      <c r="L722" t="s">
        <v>36</v>
      </c>
      <c r="M722" t="s">
        <v>37</v>
      </c>
      <c r="N722" t="s">
        <v>49</v>
      </c>
      <c r="O722" t="s">
        <v>61</v>
      </c>
      <c r="P722" t="s">
        <v>40</v>
      </c>
      <c r="Q722">
        <v>3</v>
      </c>
      <c r="R722" s="2">
        <v>44957</v>
      </c>
      <c r="S722">
        <v>4</v>
      </c>
      <c r="T722">
        <v>5</v>
      </c>
      <c r="U722">
        <v>4</v>
      </c>
      <c r="V722" s="1">
        <v>45049</v>
      </c>
      <c r="W722" t="s">
        <v>62</v>
      </c>
      <c r="X722" t="s">
        <v>42</v>
      </c>
      <c r="Y722" t="s">
        <v>43</v>
      </c>
      <c r="Z722">
        <v>5</v>
      </c>
      <c r="AA722">
        <v>817.92</v>
      </c>
      <c r="AB722">
        <v>37</v>
      </c>
    </row>
    <row r="723" spans="1:28" x14ac:dyDescent="0.2">
      <c r="A723">
        <v>1213</v>
      </c>
      <c r="B723" s="1">
        <v>43884</v>
      </c>
      <c r="C723" t="s">
        <v>106</v>
      </c>
      <c r="D723" t="s">
        <v>87</v>
      </c>
      <c r="E723" t="s">
        <v>30</v>
      </c>
      <c r="F723" t="s">
        <v>46</v>
      </c>
      <c r="G723" t="s">
        <v>45</v>
      </c>
      <c r="H723" t="s">
        <v>46</v>
      </c>
      <c r="I723" t="s">
        <v>34</v>
      </c>
      <c r="J723" t="s">
        <v>96</v>
      </c>
      <c r="K723" s="2">
        <v>31858</v>
      </c>
      <c r="L723" t="s">
        <v>36</v>
      </c>
      <c r="M723" t="s">
        <v>37</v>
      </c>
      <c r="N723" t="s">
        <v>38</v>
      </c>
      <c r="O723" t="s">
        <v>67</v>
      </c>
      <c r="P723" t="s">
        <v>40</v>
      </c>
      <c r="Q723">
        <v>3</v>
      </c>
      <c r="R723" s="2">
        <v>44832</v>
      </c>
      <c r="S723">
        <v>1</v>
      </c>
      <c r="T723">
        <v>2</v>
      </c>
      <c r="U723">
        <v>4</v>
      </c>
      <c r="V723" s="1">
        <v>44972</v>
      </c>
      <c r="W723" t="s">
        <v>62</v>
      </c>
      <c r="X723" t="s">
        <v>51</v>
      </c>
      <c r="Y723" t="s">
        <v>43</v>
      </c>
      <c r="Z723">
        <v>4</v>
      </c>
      <c r="AA723">
        <v>485.39</v>
      </c>
      <c r="AB723">
        <v>33</v>
      </c>
    </row>
    <row r="724" spans="1:28" x14ac:dyDescent="0.2">
      <c r="A724">
        <v>1214</v>
      </c>
      <c r="B724" s="1">
        <v>44604</v>
      </c>
      <c r="C724" t="s">
        <v>106</v>
      </c>
      <c r="D724" t="s">
        <v>81</v>
      </c>
      <c r="E724" t="s">
        <v>30</v>
      </c>
      <c r="F724" t="s">
        <v>55</v>
      </c>
      <c r="G724" t="s">
        <v>56</v>
      </c>
      <c r="H724" t="s">
        <v>55</v>
      </c>
      <c r="I724" t="s">
        <v>34</v>
      </c>
      <c r="J724" t="s">
        <v>89</v>
      </c>
      <c r="K724" s="2">
        <v>24734</v>
      </c>
      <c r="L724" t="s">
        <v>36</v>
      </c>
      <c r="M724" t="s">
        <v>37</v>
      </c>
      <c r="N724" t="s">
        <v>84</v>
      </c>
      <c r="O724" t="s">
        <v>77</v>
      </c>
      <c r="P724" t="s">
        <v>40</v>
      </c>
      <c r="Q724">
        <v>3</v>
      </c>
      <c r="R724" s="2">
        <v>45079</v>
      </c>
      <c r="S724">
        <v>1</v>
      </c>
      <c r="T724">
        <v>5</v>
      </c>
      <c r="U724">
        <v>3</v>
      </c>
      <c r="V724" s="1">
        <v>45018</v>
      </c>
      <c r="W724" t="s">
        <v>50</v>
      </c>
      <c r="X724" t="s">
        <v>42</v>
      </c>
      <c r="Y724" t="s">
        <v>63</v>
      </c>
      <c r="Z724">
        <v>3</v>
      </c>
      <c r="AA724">
        <v>145.13</v>
      </c>
      <c r="AB724">
        <v>55</v>
      </c>
    </row>
    <row r="725" spans="1:28" x14ac:dyDescent="0.2">
      <c r="A725">
        <v>1215</v>
      </c>
      <c r="B725" s="1">
        <v>43874</v>
      </c>
      <c r="C725" t="s">
        <v>106</v>
      </c>
      <c r="D725" t="s">
        <v>54</v>
      </c>
      <c r="E725" t="s">
        <v>30</v>
      </c>
      <c r="F725" t="s">
        <v>31</v>
      </c>
      <c r="G725" t="s">
        <v>32</v>
      </c>
      <c r="H725" t="s">
        <v>33</v>
      </c>
      <c r="I725" t="s">
        <v>34</v>
      </c>
      <c r="J725" t="s">
        <v>47</v>
      </c>
      <c r="K725" s="2">
        <v>30515</v>
      </c>
      <c r="L725" t="s">
        <v>36</v>
      </c>
      <c r="M725" t="s">
        <v>37</v>
      </c>
      <c r="N725" t="s">
        <v>84</v>
      </c>
      <c r="O725" t="s">
        <v>39</v>
      </c>
      <c r="P725" t="s">
        <v>40</v>
      </c>
      <c r="Q725">
        <v>3</v>
      </c>
      <c r="R725" s="2">
        <v>44859</v>
      </c>
      <c r="S725">
        <v>2</v>
      </c>
      <c r="T725">
        <v>1</v>
      </c>
      <c r="U725">
        <v>5</v>
      </c>
      <c r="V725" s="1">
        <v>44817</v>
      </c>
      <c r="W725" t="s">
        <v>92</v>
      </c>
      <c r="X725" t="s">
        <v>51</v>
      </c>
      <c r="Y725" t="s">
        <v>73</v>
      </c>
      <c r="Z725">
        <v>4</v>
      </c>
      <c r="AA725">
        <v>751.88</v>
      </c>
      <c r="AB725">
        <v>37</v>
      </c>
    </row>
    <row r="726" spans="1:28" x14ac:dyDescent="0.2">
      <c r="A726">
        <v>1216</v>
      </c>
      <c r="B726" s="1">
        <v>44972</v>
      </c>
      <c r="C726" t="s">
        <v>28</v>
      </c>
      <c r="D726" t="s">
        <v>94</v>
      </c>
      <c r="E726" t="s">
        <v>108</v>
      </c>
      <c r="F726" t="s">
        <v>46</v>
      </c>
      <c r="G726" t="s">
        <v>56</v>
      </c>
      <c r="H726" t="s">
        <v>46</v>
      </c>
      <c r="I726" t="s">
        <v>34</v>
      </c>
      <c r="J726" t="s">
        <v>65</v>
      </c>
      <c r="K726" s="2">
        <v>31582</v>
      </c>
      <c r="L726" t="s">
        <v>36</v>
      </c>
      <c r="M726" t="s">
        <v>37</v>
      </c>
      <c r="N726" t="s">
        <v>72</v>
      </c>
      <c r="O726" t="s">
        <v>61</v>
      </c>
      <c r="P726" t="s">
        <v>40</v>
      </c>
      <c r="Q726">
        <v>3</v>
      </c>
      <c r="R726" s="2">
        <v>44813</v>
      </c>
      <c r="S726">
        <v>4</v>
      </c>
      <c r="T726">
        <v>1</v>
      </c>
      <c r="U726">
        <v>1</v>
      </c>
      <c r="V726" s="1">
        <v>45123</v>
      </c>
      <c r="W726" t="s">
        <v>41</v>
      </c>
      <c r="X726" t="s">
        <v>51</v>
      </c>
      <c r="Y726" t="s">
        <v>52</v>
      </c>
      <c r="Z726">
        <v>1</v>
      </c>
      <c r="AA726">
        <v>136.47999999999999</v>
      </c>
      <c r="AB726">
        <v>37</v>
      </c>
    </row>
    <row r="727" spans="1:28" x14ac:dyDescent="0.2">
      <c r="A727">
        <v>1217</v>
      </c>
      <c r="B727" s="1">
        <v>43802</v>
      </c>
      <c r="C727" t="s">
        <v>28</v>
      </c>
      <c r="D727" t="s">
        <v>85</v>
      </c>
      <c r="E727" t="s">
        <v>108</v>
      </c>
      <c r="F727" t="s">
        <v>55</v>
      </c>
      <c r="G727" t="s">
        <v>56</v>
      </c>
      <c r="H727" t="s">
        <v>46</v>
      </c>
      <c r="I727" t="s">
        <v>34</v>
      </c>
      <c r="J727" t="s">
        <v>101</v>
      </c>
      <c r="K727" s="2">
        <v>22114</v>
      </c>
      <c r="L727" t="s">
        <v>36</v>
      </c>
      <c r="M727" t="s">
        <v>48</v>
      </c>
      <c r="N727" t="s">
        <v>84</v>
      </c>
      <c r="O727" t="s">
        <v>61</v>
      </c>
      <c r="P727" t="s">
        <v>40</v>
      </c>
      <c r="Q727">
        <v>3</v>
      </c>
      <c r="R727" s="2">
        <v>44796</v>
      </c>
      <c r="S727">
        <v>5</v>
      </c>
      <c r="T727">
        <v>5</v>
      </c>
      <c r="U727">
        <v>1</v>
      </c>
      <c r="V727" s="1">
        <v>45033</v>
      </c>
      <c r="W727" t="s">
        <v>50</v>
      </c>
      <c r="X727" t="s">
        <v>51</v>
      </c>
      <c r="Y727" t="s">
        <v>63</v>
      </c>
      <c r="Z727">
        <v>1</v>
      </c>
      <c r="AA727">
        <v>857.42</v>
      </c>
      <c r="AB727">
        <v>59</v>
      </c>
    </row>
    <row r="728" spans="1:28" x14ac:dyDescent="0.2">
      <c r="A728">
        <v>1218</v>
      </c>
      <c r="B728" s="1">
        <v>43465</v>
      </c>
      <c r="C728" t="s">
        <v>28</v>
      </c>
      <c r="D728" t="s">
        <v>74</v>
      </c>
      <c r="E728" t="s">
        <v>30</v>
      </c>
      <c r="F728" t="s">
        <v>55</v>
      </c>
      <c r="G728" t="s">
        <v>56</v>
      </c>
      <c r="H728" t="s">
        <v>33</v>
      </c>
      <c r="I728" t="s">
        <v>34</v>
      </c>
      <c r="J728" t="s">
        <v>65</v>
      </c>
      <c r="K728" s="2">
        <v>27317</v>
      </c>
      <c r="L728" t="s">
        <v>36</v>
      </c>
      <c r="M728" t="s">
        <v>37</v>
      </c>
      <c r="N728" t="s">
        <v>72</v>
      </c>
      <c r="O728" t="s">
        <v>67</v>
      </c>
      <c r="P728" t="s">
        <v>40</v>
      </c>
      <c r="Q728">
        <v>3</v>
      </c>
      <c r="R728" s="2">
        <v>44984</v>
      </c>
      <c r="S728">
        <v>2</v>
      </c>
      <c r="T728">
        <v>3</v>
      </c>
      <c r="U728">
        <v>1</v>
      </c>
      <c r="V728" s="1">
        <v>44956</v>
      </c>
      <c r="W728" t="s">
        <v>41</v>
      </c>
      <c r="X728" t="s">
        <v>42</v>
      </c>
      <c r="Y728" t="s">
        <v>43</v>
      </c>
      <c r="Z728">
        <v>3</v>
      </c>
      <c r="AA728">
        <v>733.16</v>
      </c>
      <c r="AB728">
        <v>44</v>
      </c>
    </row>
    <row r="729" spans="1:28" x14ac:dyDescent="0.2">
      <c r="A729">
        <v>1219</v>
      </c>
      <c r="B729" s="1">
        <v>43846</v>
      </c>
      <c r="C729" t="s">
        <v>28</v>
      </c>
      <c r="D729" t="s">
        <v>69</v>
      </c>
      <c r="E729" t="s">
        <v>108</v>
      </c>
      <c r="F729" t="s">
        <v>46</v>
      </c>
      <c r="G729" t="s">
        <v>56</v>
      </c>
      <c r="H729" t="s">
        <v>46</v>
      </c>
      <c r="I729" t="s">
        <v>34</v>
      </c>
      <c r="J729" t="s">
        <v>79</v>
      </c>
      <c r="K729" s="2">
        <v>27069</v>
      </c>
      <c r="L729" t="s">
        <v>36</v>
      </c>
      <c r="M729" t="s">
        <v>37</v>
      </c>
      <c r="N729" t="s">
        <v>49</v>
      </c>
      <c r="O729" t="s">
        <v>67</v>
      </c>
      <c r="P729" t="s">
        <v>40</v>
      </c>
      <c r="Q729">
        <v>3</v>
      </c>
      <c r="R729" s="2">
        <v>45124</v>
      </c>
      <c r="S729">
        <v>2</v>
      </c>
      <c r="T729">
        <v>2</v>
      </c>
      <c r="U729">
        <v>2</v>
      </c>
      <c r="V729" s="1">
        <v>44819</v>
      </c>
      <c r="W729" t="s">
        <v>92</v>
      </c>
      <c r="X729" t="s">
        <v>51</v>
      </c>
      <c r="Y729" t="s">
        <v>43</v>
      </c>
      <c r="Z729">
        <v>5</v>
      </c>
      <c r="AA729">
        <v>761.31</v>
      </c>
      <c r="AB729">
        <v>46</v>
      </c>
    </row>
    <row r="730" spans="1:28" x14ac:dyDescent="0.2">
      <c r="A730">
        <v>1220</v>
      </c>
      <c r="B730" s="1">
        <v>43424</v>
      </c>
      <c r="C730" t="s">
        <v>28</v>
      </c>
      <c r="D730" t="s">
        <v>29</v>
      </c>
      <c r="E730" t="s">
        <v>108</v>
      </c>
      <c r="F730" t="s">
        <v>55</v>
      </c>
      <c r="G730" t="s">
        <v>32</v>
      </c>
      <c r="H730" t="s">
        <v>33</v>
      </c>
      <c r="I730" t="s">
        <v>34</v>
      </c>
      <c r="J730" t="s">
        <v>82</v>
      </c>
      <c r="K730" s="2">
        <v>18263</v>
      </c>
      <c r="L730" t="s">
        <v>36</v>
      </c>
      <c r="M730" t="s">
        <v>37</v>
      </c>
      <c r="N730" t="s">
        <v>84</v>
      </c>
      <c r="O730" t="s">
        <v>61</v>
      </c>
      <c r="P730" t="s">
        <v>40</v>
      </c>
      <c r="Q730">
        <v>3</v>
      </c>
      <c r="R730" s="2">
        <v>45054</v>
      </c>
      <c r="S730">
        <v>5</v>
      </c>
      <c r="T730">
        <v>2</v>
      </c>
      <c r="U730">
        <v>4</v>
      </c>
      <c r="V730" s="1">
        <v>45106</v>
      </c>
      <c r="W730" t="s">
        <v>41</v>
      </c>
      <c r="X730" t="s">
        <v>51</v>
      </c>
      <c r="Y730" t="s">
        <v>73</v>
      </c>
      <c r="Z730">
        <v>1</v>
      </c>
      <c r="AA730">
        <v>920.41</v>
      </c>
      <c r="AB730">
        <v>69</v>
      </c>
    </row>
    <row r="731" spans="1:28" x14ac:dyDescent="0.2">
      <c r="A731">
        <v>1221</v>
      </c>
      <c r="B731" s="1">
        <v>44876</v>
      </c>
      <c r="C731" t="s">
        <v>28</v>
      </c>
      <c r="D731" t="s">
        <v>44</v>
      </c>
      <c r="E731" t="s">
        <v>108</v>
      </c>
      <c r="F731" t="s">
        <v>46</v>
      </c>
      <c r="G731" t="s">
        <v>45</v>
      </c>
      <c r="H731" t="s">
        <v>46</v>
      </c>
      <c r="I731" t="s">
        <v>34</v>
      </c>
      <c r="J731" t="s">
        <v>105</v>
      </c>
      <c r="K731" s="2">
        <v>24571</v>
      </c>
      <c r="L731" t="s">
        <v>36</v>
      </c>
      <c r="M731" t="s">
        <v>37</v>
      </c>
      <c r="N731" t="s">
        <v>84</v>
      </c>
      <c r="O731" t="s">
        <v>61</v>
      </c>
      <c r="P731" t="s">
        <v>40</v>
      </c>
      <c r="Q731">
        <v>3</v>
      </c>
      <c r="R731" s="2">
        <v>44790</v>
      </c>
      <c r="S731">
        <v>5</v>
      </c>
      <c r="T731">
        <v>5</v>
      </c>
      <c r="U731">
        <v>3</v>
      </c>
      <c r="V731" s="1">
        <v>44798</v>
      </c>
      <c r="W731" t="s">
        <v>50</v>
      </c>
      <c r="X731" t="s">
        <v>42</v>
      </c>
      <c r="Y731" t="s">
        <v>73</v>
      </c>
      <c r="Z731">
        <v>4</v>
      </c>
      <c r="AA731">
        <v>167.69</v>
      </c>
      <c r="AB731">
        <v>55</v>
      </c>
    </row>
    <row r="732" spans="1:28" x14ac:dyDescent="0.2">
      <c r="A732">
        <v>1222</v>
      </c>
      <c r="B732" s="1">
        <v>44183</v>
      </c>
      <c r="C732" t="s">
        <v>28</v>
      </c>
      <c r="D732" t="s">
        <v>87</v>
      </c>
      <c r="E732" t="s">
        <v>108</v>
      </c>
      <c r="F732" t="s">
        <v>31</v>
      </c>
      <c r="G732" t="s">
        <v>45</v>
      </c>
      <c r="H732" t="s">
        <v>46</v>
      </c>
      <c r="I732" t="s">
        <v>34</v>
      </c>
      <c r="J732" t="s">
        <v>104</v>
      </c>
      <c r="K732" s="2">
        <v>18258</v>
      </c>
      <c r="L732" t="s">
        <v>36</v>
      </c>
      <c r="M732" t="s">
        <v>37</v>
      </c>
      <c r="N732" t="s">
        <v>84</v>
      </c>
      <c r="O732" t="s">
        <v>39</v>
      </c>
      <c r="P732" t="s">
        <v>40</v>
      </c>
      <c r="Q732">
        <v>3</v>
      </c>
      <c r="R732" s="2">
        <v>45016</v>
      </c>
      <c r="S732">
        <v>5</v>
      </c>
      <c r="T732">
        <v>2</v>
      </c>
      <c r="U732">
        <v>1</v>
      </c>
      <c r="V732" s="1">
        <v>44995</v>
      </c>
      <c r="W732" t="s">
        <v>41</v>
      </c>
      <c r="X732" t="s">
        <v>51</v>
      </c>
      <c r="Y732" t="s">
        <v>73</v>
      </c>
      <c r="Z732">
        <v>2</v>
      </c>
      <c r="AA732">
        <v>931.45</v>
      </c>
      <c r="AB732">
        <v>71</v>
      </c>
    </row>
    <row r="733" spans="1:28" x14ac:dyDescent="0.2">
      <c r="A733">
        <v>1223</v>
      </c>
      <c r="B733" s="1">
        <v>44222</v>
      </c>
      <c r="C733" t="s">
        <v>28</v>
      </c>
      <c r="D733" t="s">
        <v>81</v>
      </c>
      <c r="E733" t="s">
        <v>30</v>
      </c>
      <c r="F733" t="s">
        <v>55</v>
      </c>
      <c r="G733" t="s">
        <v>32</v>
      </c>
      <c r="H733" t="s">
        <v>33</v>
      </c>
      <c r="I733" t="s">
        <v>34</v>
      </c>
      <c r="J733" t="s">
        <v>79</v>
      </c>
      <c r="K733" s="2">
        <v>35079</v>
      </c>
      <c r="L733" t="s">
        <v>36</v>
      </c>
      <c r="M733" t="s">
        <v>37</v>
      </c>
      <c r="N733" t="s">
        <v>84</v>
      </c>
      <c r="O733" t="s">
        <v>39</v>
      </c>
      <c r="P733" t="s">
        <v>40</v>
      </c>
      <c r="Q733">
        <v>3</v>
      </c>
      <c r="R733" s="2">
        <v>45053</v>
      </c>
      <c r="S733">
        <v>4</v>
      </c>
      <c r="T733">
        <v>1</v>
      </c>
      <c r="U733">
        <v>4</v>
      </c>
      <c r="V733" s="1">
        <v>44803</v>
      </c>
      <c r="W733" t="s">
        <v>62</v>
      </c>
      <c r="X733" t="s">
        <v>51</v>
      </c>
      <c r="Y733" t="s">
        <v>63</v>
      </c>
      <c r="Z733">
        <v>1</v>
      </c>
      <c r="AA733">
        <v>474.36</v>
      </c>
      <c r="AB733">
        <v>25</v>
      </c>
    </row>
    <row r="734" spans="1:28" x14ac:dyDescent="0.2">
      <c r="A734">
        <v>1224</v>
      </c>
      <c r="B734" s="1">
        <v>44526</v>
      </c>
      <c r="C734" t="s">
        <v>28</v>
      </c>
      <c r="D734" t="s">
        <v>54</v>
      </c>
      <c r="E734" t="s">
        <v>108</v>
      </c>
      <c r="F734" t="s">
        <v>46</v>
      </c>
      <c r="G734" t="s">
        <v>56</v>
      </c>
      <c r="H734" t="s">
        <v>46</v>
      </c>
      <c r="I734" t="s">
        <v>34</v>
      </c>
      <c r="J734" t="s">
        <v>101</v>
      </c>
      <c r="K734" s="2">
        <v>23647</v>
      </c>
      <c r="L734" t="s">
        <v>36</v>
      </c>
      <c r="M734" t="s">
        <v>48</v>
      </c>
      <c r="N734" t="s">
        <v>49</v>
      </c>
      <c r="O734" t="s">
        <v>67</v>
      </c>
      <c r="P734" t="s">
        <v>40</v>
      </c>
      <c r="Q734">
        <v>3</v>
      </c>
      <c r="R734" s="2">
        <v>45066</v>
      </c>
      <c r="S734">
        <v>4</v>
      </c>
      <c r="T734">
        <v>2</v>
      </c>
      <c r="U734">
        <v>3</v>
      </c>
      <c r="V734" s="1">
        <v>45003</v>
      </c>
      <c r="W734" t="s">
        <v>62</v>
      </c>
      <c r="X734" t="s">
        <v>42</v>
      </c>
      <c r="Y734" t="s">
        <v>52</v>
      </c>
      <c r="Z734">
        <v>5</v>
      </c>
      <c r="AA734">
        <v>598.72</v>
      </c>
      <c r="AB734">
        <v>57</v>
      </c>
    </row>
    <row r="735" spans="1:28" x14ac:dyDescent="0.2">
      <c r="A735">
        <v>1225</v>
      </c>
      <c r="B735" s="1">
        <v>45061</v>
      </c>
      <c r="C735" t="s">
        <v>28</v>
      </c>
      <c r="D735" t="s">
        <v>94</v>
      </c>
      <c r="E735" t="s">
        <v>30</v>
      </c>
      <c r="F735" t="s">
        <v>31</v>
      </c>
      <c r="G735" t="s">
        <v>32</v>
      </c>
      <c r="H735" t="s">
        <v>46</v>
      </c>
      <c r="I735" t="s">
        <v>34</v>
      </c>
      <c r="J735" t="s">
        <v>35</v>
      </c>
      <c r="K735" s="2">
        <v>20834</v>
      </c>
      <c r="L735" t="s">
        <v>36</v>
      </c>
      <c r="M735" t="s">
        <v>48</v>
      </c>
      <c r="N735" t="s">
        <v>84</v>
      </c>
      <c r="O735" t="s">
        <v>67</v>
      </c>
      <c r="P735" t="s">
        <v>40</v>
      </c>
      <c r="Q735">
        <v>3</v>
      </c>
      <c r="R735" s="2">
        <v>44870</v>
      </c>
      <c r="S735">
        <v>1</v>
      </c>
      <c r="T735">
        <v>2</v>
      </c>
      <c r="U735">
        <v>4</v>
      </c>
      <c r="V735" s="1">
        <v>44787</v>
      </c>
      <c r="W735" t="s">
        <v>50</v>
      </c>
      <c r="X735" t="s">
        <v>42</v>
      </c>
      <c r="Y735" t="s">
        <v>63</v>
      </c>
      <c r="Z735">
        <v>5</v>
      </c>
      <c r="AA735">
        <v>557.02</v>
      </c>
      <c r="AB735">
        <v>66</v>
      </c>
    </row>
    <row r="736" spans="1:28" x14ac:dyDescent="0.2">
      <c r="A736">
        <v>1226</v>
      </c>
      <c r="B736" s="1">
        <v>45097</v>
      </c>
      <c r="C736" t="s">
        <v>28</v>
      </c>
      <c r="D736" t="s">
        <v>85</v>
      </c>
      <c r="E736" t="s">
        <v>30</v>
      </c>
      <c r="F736" t="s">
        <v>55</v>
      </c>
      <c r="G736" t="s">
        <v>45</v>
      </c>
      <c r="H736" t="s">
        <v>55</v>
      </c>
      <c r="I736" t="s">
        <v>34</v>
      </c>
      <c r="J736" t="s">
        <v>70</v>
      </c>
      <c r="K736" s="2">
        <v>24578</v>
      </c>
      <c r="L736" t="s">
        <v>36</v>
      </c>
      <c r="M736" t="s">
        <v>48</v>
      </c>
      <c r="N736" t="s">
        <v>60</v>
      </c>
      <c r="O736" t="s">
        <v>77</v>
      </c>
      <c r="P736" t="s">
        <v>40</v>
      </c>
      <c r="Q736">
        <v>3</v>
      </c>
      <c r="R736" s="2">
        <v>45020</v>
      </c>
      <c r="S736">
        <v>4</v>
      </c>
      <c r="T736">
        <v>5</v>
      </c>
      <c r="U736">
        <v>4</v>
      </c>
      <c r="V736" s="1">
        <v>45066</v>
      </c>
      <c r="W736" t="s">
        <v>50</v>
      </c>
      <c r="X736" t="s">
        <v>42</v>
      </c>
      <c r="Y736" t="s">
        <v>63</v>
      </c>
      <c r="Z736">
        <v>3</v>
      </c>
      <c r="AA736">
        <v>939.92</v>
      </c>
      <c r="AB736">
        <v>56</v>
      </c>
    </row>
    <row r="737" spans="1:28" x14ac:dyDescent="0.2">
      <c r="A737">
        <v>1227</v>
      </c>
      <c r="B737" s="1">
        <v>43699</v>
      </c>
      <c r="C737" t="s">
        <v>28</v>
      </c>
      <c r="D737" t="s">
        <v>64</v>
      </c>
      <c r="E737" t="s">
        <v>30</v>
      </c>
      <c r="F737" t="s">
        <v>46</v>
      </c>
      <c r="G737" t="s">
        <v>32</v>
      </c>
      <c r="H737" t="s">
        <v>46</v>
      </c>
      <c r="I737" t="s">
        <v>34</v>
      </c>
      <c r="J737" t="s">
        <v>109</v>
      </c>
      <c r="K737" s="2">
        <v>31857</v>
      </c>
      <c r="L737" t="s">
        <v>36</v>
      </c>
      <c r="M737" t="s">
        <v>37</v>
      </c>
      <c r="N737" t="s">
        <v>60</v>
      </c>
      <c r="O737" t="s">
        <v>77</v>
      </c>
      <c r="P737" t="s">
        <v>40</v>
      </c>
      <c r="Q737">
        <v>3</v>
      </c>
      <c r="R737" s="2">
        <v>44907</v>
      </c>
      <c r="S737">
        <v>1</v>
      </c>
      <c r="T737">
        <v>2</v>
      </c>
      <c r="U737">
        <v>2</v>
      </c>
      <c r="V737" s="1">
        <v>45061</v>
      </c>
      <c r="W737" t="s">
        <v>92</v>
      </c>
      <c r="X737" t="s">
        <v>51</v>
      </c>
      <c r="Y737" t="s">
        <v>43</v>
      </c>
      <c r="Z737">
        <v>3</v>
      </c>
      <c r="AA737">
        <v>669.19</v>
      </c>
      <c r="AB737">
        <v>32</v>
      </c>
    </row>
    <row r="738" spans="1:28" x14ac:dyDescent="0.2">
      <c r="A738">
        <v>1228</v>
      </c>
      <c r="B738" s="1">
        <v>44438</v>
      </c>
      <c r="C738" t="s">
        <v>28</v>
      </c>
      <c r="D738" t="s">
        <v>74</v>
      </c>
      <c r="E738" t="s">
        <v>30</v>
      </c>
      <c r="F738" t="s">
        <v>31</v>
      </c>
      <c r="G738" t="s">
        <v>56</v>
      </c>
      <c r="H738" t="s">
        <v>55</v>
      </c>
      <c r="I738" t="s">
        <v>34</v>
      </c>
      <c r="J738" t="s">
        <v>97</v>
      </c>
      <c r="K738" s="2">
        <v>34670</v>
      </c>
      <c r="L738" t="s">
        <v>36</v>
      </c>
      <c r="M738" t="s">
        <v>37</v>
      </c>
      <c r="N738" t="s">
        <v>60</v>
      </c>
      <c r="O738" t="s">
        <v>39</v>
      </c>
      <c r="P738" t="s">
        <v>40</v>
      </c>
      <c r="Q738">
        <v>3</v>
      </c>
      <c r="R738" s="2">
        <v>44947</v>
      </c>
      <c r="S738">
        <v>2</v>
      </c>
      <c r="T738">
        <v>5</v>
      </c>
      <c r="U738">
        <v>3</v>
      </c>
      <c r="V738" s="1">
        <v>44839</v>
      </c>
      <c r="W738" t="s">
        <v>68</v>
      </c>
      <c r="X738" t="s">
        <v>42</v>
      </c>
      <c r="Y738" t="s">
        <v>43</v>
      </c>
      <c r="Z738">
        <v>5</v>
      </c>
      <c r="AA738">
        <v>525.69000000000005</v>
      </c>
      <c r="AB738">
        <v>27</v>
      </c>
    </row>
    <row r="739" spans="1:28" x14ac:dyDescent="0.2">
      <c r="A739">
        <v>1229</v>
      </c>
      <c r="B739" s="1">
        <v>43857</v>
      </c>
      <c r="C739" t="s">
        <v>28</v>
      </c>
      <c r="D739" t="s">
        <v>69</v>
      </c>
      <c r="E739" t="s">
        <v>30</v>
      </c>
      <c r="F739" t="s">
        <v>46</v>
      </c>
      <c r="G739" t="s">
        <v>56</v>
      </c>
      <c r="H739" t="s">
        <v>46</v>
      </c>
      <c r="I739" t="s">
        <v>34</v>
      </c>
      <c r="J739" t="s">
        <v>70</v>
      </c>
      <c r="K739" s="2">
        <v>19359</v>
      </c>
      <c r="L739" t="s">
        <v>36</v>
      </c>
      <c r="M739" t="s">
        <v>37</v>
      </c>
      <c r="N739" t="s">
        <v>72</v>
      </c>
      <c r="O739" t="s">
        <v>61</v>
      </c>
      <c r="P739" t="s">
        <v>40</v>
      </c>
      <c r="Q739">
        <v>3</v>
      </c>
      <c r="R739" s="2">
        <v>45066</v>
      </c>
      <c r="S739">
        <v>4</v>
      </c>
      <c r="T739">
        <v>2</v>
      </c>
      <c r="U739">
        <v>5</v>
      </c>
      <c r="V739" s="1">
        <v>44937</v>
      </c>
      <c r="W739" t="s">
        <v>50</v>
      </c>
      <c r="X739" t="s">
        <v>51</v>
      </c>
      <c r="Y739" t="s">
        <v>43</v>
      </c>
      <c r="Z739">
        <v>1</v>
      </c>
      <c r="AA739">
        <v>173.66</v>
      </c>
      <c r="AB739">
        <v>68</v>
      </c>
    </row>
    <row r="740" spans="1:28" x14ac:dyDescent="0.2">
      <c r="A740">
        <v>1230</v>
      </c>
      <c r="B740" s="1">
        <v>44624</v>
      </c>
      <c r="C740" t="s">
        <v>28</v>
      </c>
      <c r="D740" t="s">
        <v>29</v>
      </c>
      <c r="E740" t="s">
        <v>30</v>
      </c>
      <c r="F740" t="s">
        <v>31</v>
      </c>
      <c r="G740" t="s">
        <v>32</v>
      </c>
      <c r="H740" t="s">
        <v>33</v>
      </c>
      <c r="I740" t="s">
        <v>34</v>
      </c>
      <c r="J740" t="s">
        <v>101</v>
      </c>
      <c r="K740" s="2">
        <v>27290</v>
      </c>
      <c r="L740" t="s">
        <v>36</v>
      </c>
      <c r="M740" t="s">
        <v>37</v>
      </c>
      <c r="N740" t="s">
        <v>49</v>
      </c>
      <c r="O740" t="s">
        <v>39</v>
      </c>
      <c r="P740" t="s">
        <v>40</v>
      </c>
      <c r="Q740">
        <v>3</v>
      </c>
      <c r="R740" s="2">
        <v>44895</v>
      </c>
      <c r="S740">
        <v>5</v>
      </c>
      <c r="T740">
        <v>4</v>
      </c>
      <c r="U740">
        <v>4</v>
      </c>
      <c r="V740" s="1">
        <v>45046</v>
      </c>
      <c r="W740" t="s">
        <v>92</v>
      </c>
      <c r="X740" t="s">
        <v>51</v>
      </c>
      <c r="Y740" t="s">
        <v>63</v>
      </c>
      <c r="Z740">
        <v>1</v>
      </c>
      <c r="AA740">
        <v>635.71</v>
      </c>
      <c r="AB740">
        <v>48</v>
      </c>
    </row>
    <row r="741" spans="1:28" x14ac:dyDescent="0.2">
      <c r="A741">
        <v>1231</v>
      </c>
      <c r="B741" s="1">
        <v>43897</v>
      </c>
      <c r="C741" t="s">
        <v>133</v>
      </c>
      <c r="D741" t="s">
        <v>44</v>
      </c>
      <c r="E741" t="s">
        <v>30</v>
      </c>
      <c r="F741" t="s">
        <v>31</v>
      </c>
      <c r="G741" t="s">
        <v>56</v>
      </c>
      <c r="H741" t="s">
        <v>33</v>
      </c>
      <c r="I741" t="s">
        <v>34</v>
      </c>
      <c r="J741" t="s">
        <v>103</v>
      </c>
      <c r="K741" s="2">
        <v>34610</v>
      </c>
      <c r="L741" t="s">
        <v>36</v>
      </c>
      <c r="M741" t="s">
        <v>37</v>
      </c>
      <c r="N741" t="s">
        <v>72</v>
      </c>
      <c r="O741" t="s">
        <v>67</v>
      </c>
      <c r="P741" t="s">
        <v>40</v>
      </c>
      <c r="Q741">
        <v>3</v>
      </c>
      <c r="R741" s="2">
        <v>44998</v>
      </c>
      <c r="S741">
        <v>2</v>
      </c>
      <c r="T741">
        <v>2</v>
      </c>
      <c r="U741">
        <v>1</v>
      </c>
      <c r="V741" s="1">
        <v>44779</v>
      </c>
      <c r="W741" t="s">
        <v>62</v>
      </c>
      <c r="X741" t="s">
        <v>51</v>
      </c>
      <c r="Y741" t="s">
        <v>73</v>
      </c>
      <c r="Z741">
        <v>1</v>
      </c>
      <c r="AA741">
        <v>896.8</v>
      </c>
      <c r="AB741">
        <v>26</v>
      </c>
    </row>
    <row r="742" spans="1:28" x14ac:dyDescent="0.2">
      <c r="A742">
        <v>1232</v>
      </c>
      <c r="B742" s="1">
        <v>43909</v>
      </c>
      <c r="C742" t="s">
        <v>133</v>
      </c>
      <c r="D742" t="s">
        <v>87</v>
      </c>
      <c r="E742" t="s">
        <v>30</v>
      </c>
      <c r="F742" t="s">
        <v>55</v>
      </c>
      <c r="G742" t="s">
        <v>56</v>
      </c>
      <c r="H742" t="s">
        <v>55</v>
      </c>
      <c r="I742" t="s">
        <v>34</v>
      </c>
      <c r="J742" t="s">
        <v>104</v>
      </c>
      <c r="K742" s="2">
        <v>17243</v>
      </c>
      <c r="L742" t="s">
        <v>36</v>
      </c>
      <c r="M742" t="s">
        <v>37</v>
      </c>
      <c r="N742" t="s">
        <v>60</v>
      </c>
      <c r="O742" t="s">
        <v>61</v>
      </c>
      <c r="P742" t="s">
        <v>40</v>
      </c>
      <c r="Q742">
        <v>3</v>
      </c>
      <c r="R742" s="2">
        <v>44795</v>
      </c>
      <c r="S742">
        <v>2</v>
      </c>
      <c r="T742">
        <v>1</v>
      </c>
      <c r="U742">
        <v>5</v>
      </c>
      <c r="V742" s="1">
        <v>44895</v>
      </c>
      <c r="W742" t="s">
        <v>41</v>
      </c>
      <c r="X742" t="s">
        <v>42</v>
      </c>
      <c r="Y742" t="s">
        <v>52</v>
      </c>
      <c r="Z742">
        <v>4</v>
      </c>
      <c r="AA742">
        <v>857.61</v>
      </c>
      <c r="AB742">
        <v>73</v>
      </c>
    </row>
    <row r="743" spans="1:28" x14ac:dyDescent="0.2">
      <c r="A743">
        <v>1233</v>
      </c>
      <c r="B743" s="1">
        <v>44765</v>
      </c>
      <c r="C743" t="s">
        <v>106</v>
      </c>
      <c r="D743" t="s">
        <v>74</v>
      </c>
      <c r="E743" t="s">
        <v>30</v>
      </c>
      <c r="F743" t="s">
        <v>55</v>
      </c>
      <c r="G743" t="s">
        <v>45</v>
      </c>
      <c r="H743" t="s">
        <v>46</v>
      </c>
      <c r="I743" t="s">
        <v>34</v>
      </c>
      <c r="J743" t="s">
        <v>101</v>
      </c>
      <c r="K743" s="2">
        <v>33731</v>
      </c>
      <c r="L743" t="s">
        <v>36</v>
      </c>
      <c r="M743" t="s">
        <v>48</v>
      </c>
      <c r="N743" t="s">
        <v>60</v>
      </c>
      <c r="O743" t="s">
        <v>77</v>
      </c>
      <c r="P743" t="s">
        <v>40</v>
      </c>
      <c r="Q743">
        <v>3</v>
      </c>
      <c r="R743" s="2">
        <v>45047</v>
      </c>
      <c r="S743">
        <v>5</v>
      </c>
      <c r="T743">
        <v>5</v>
      </c>
      <c r="U743">
        <v>3</v>
      </c>
      <c r="V743" s="1">
        <v>44894</v>
      </c>
      <c r="W743" t="s">
        <v>50</v>
      </c>
      <c r="X743" t="s">
        <v>42</v>
      </c>
      <c r="Y743" t="s">
        <v>43</v>
      </c>
      <c r="Z743">
        <v>3</v>
      </c>
      <c r="AA743">
        <v>460.59</v>
      </c>
      <c r="AB743">
        <v>30</v>
      </c>
    </row>
    <row r="744" spans="1:28" x14ac:dyDescent="0.2">
      <c r="A744">
        <v>1234</v>
      </c>
      <c r="B744" s="1">
        <v>43756</v>
      </c>
      <c r="C744" t="s">
        <v>106</v>
      </c>
      <c r="D744" t="s">
        <v>81</v>
      </c>
      <c r="E744" t="s">
        <v>108</v>
      </c>
      <c r="F744" t="s">
        <v>55</v>
      </c>
      <c r="G744" t="s">
        <v>45</v>
      </c>
      <c r="H744" t="s">
        <v>33</v>
      </c>
      <c r="I744" t="s">
        <v>34</v>
      </c>
      <c r="J744" t="s">
        <v>118</v>
      </c>
      <c r="K744" s="2">
        <v>17337</v>
      </c>
      <c r="L744" t="s">
        <v>36</v>
      </c>
      <c r="M744" t="s">
        <v>37</v>
      </c>
      <c r="N744" t="s">
        <v>72</v>
      </c>
      <c r="O744" t="s">
        <v>77</v>
      </c>
      <c r="P744" t="s">
        <v>40</v>
      </c>
      <c r="Q744">
        <v>3</v>
      </c>
      <c r="R744" s="2">
        <v>44906</v>
      </c>
      <c r="S744">
        <v>4</v>
      </c>
      <c r="T744">
        <v>1</v>
      </c>
      <c r="U744">
        <v>5</v>
      </c>
      <c r="V744" s="1">
        <v>44976</v>
      </c>
      <c r="W744" t="s">
        <v>41</v>
      </c>
      <c r="X744" t="s">
        <v>42</v>
      </c>
      <c r="Y744" t="s">
        <v>73</v>
      </c>
      <c r="Z744">
        <v>1</v>
      </c>
      <c r="AA744">
        <v>504.82</v>
      </c>
      <c r="AB744">
        <v>72</v>
      </c>
    </row>
    <row r="745" spans="1:28" x14ac:dyDescent="0.2">
      <c r="A745">
        <v>1235</v>
      </c>
      <c r="B745" s="1">
        <v>43935</v>
      </c>
      <c r="C745" t="s">
        <v>106</v>
      </c>
      <c r="D745" t="s">
        <v>54</v>
      </c>
      <c r="E745" t="s">
        <v>30</v>
      </c>
      <c r="F745" t="s">
        <v>55</v>
      </c>
      <c r="G745" t="s">
        <v>56</v>
      </c>
      <c r="H745" t="s">
        <v>55</v>
      </c>
      <c r="I745" t="s">
        <v>34</v>
      </c>
      <c r="J745" t="s">
        <v>65</v>
      </c>
      <c r="K745" s="2">
        <v>35932</v>
      </c>
      <c r="L745" t="s">
        <v>36</v>
      </c>
      <c r="M745" t="s">
        <v>37</v>
      </c>
      <c r="N745" t="s">
        <v>60</v>
      </c>
      <c r="O745" t="s">
        <v>39</v>
      </c>
      <c r="P745" t="s">
        <v>40</v>
      </c>
      <c r="Q745">
        <v>3</v>
      </c>
      <c r="R745" s="2">
        <v>45008</v>
      </c>
      <c r="S745">
        <v>5</v>
      </c>
      <c r="T745">
        <v>5</v>
      </c>
      <c r="U745">
        <v>3</v>
      </c>
      <c r="V745" s="1">
        <v>45026</v>
      </c>
      <c r="W745" t="s">
        <v>62</v>
      </c>
      <c r="X745" t="s">
        <v>42</v>
      </c>
      <c r="Y745" t="s">
        <v>43</v>
      </c>
      <c r="Z745">
        <v>3</v>
      </c>
      <c r="AA745">
        <v>737.91</v>
      </c>
      <c r="AB745">
        <v>22</v>
      </c>
    </row>
    <row r="746" spans="1:28" x14ac:dyDescent="0.2">
      <c r="A746">
        <v>1236</v>
      </c>
      <c r="B746" s="1">
        <v>43429</v>
      </c>
      <c r="C746" t="s">
        <v>106</v>
      </c>
      <c r="D746" t="s">
        <v>69</v>
      </c>
      <c r="E746" t="s">
        <v>108</v>
      </c>
      <c r="F746" t="s">
        <v>46</v>
      </c>
      <c r="G746" t="s">
        <v>56</v>
      </c>
      <c r="H746" t="s">
        <v>55</v>
      </c>
      <c r="I746" t="s">
        <v>34</v>
      </c>
      <c r="J746" t="s">
        <v>70</v>
      </c>
      <c r="K746" s="2">
        <v>17147</v>
      </c>
      <c r="L746" t="s">
        <v>36</v>
      </c>
      <c r="M746" t="s">
        <v>37</v>
      </c>
      <c r="N746" t="s">
        <v>38</v>
      </c>
      <c r="O746" t="s">
        <v>67</v>
      </c>
      <c r="P746" t="s">
        <v>40</v>
      </c>
      <c r="Q746">
        <v>3</v>
      </c>
      <c r="R746" s="2">
        <v>45132</v>
      </c>
      <c r="S746">
        <v>1</v>
      </c>
      <c r="T746">
        <v>4</v>
      </c>
      <c r="U746">
        <v>1</v>
      </c>
      <c r="V746" s="1">
        <v>45033</v>
      </c>
      <c r="W746" t="s">
        <v>50</v>
      </c>
      <c r="X746" t="s">
        <v>51</v>
      </c>
      <c r="Y746" t="s">
        <v>73</v>
      </c>
      <c r="Z746">
        <v>2</v>
      </c>
      <c r="AA746">
        <v>244.25</v>
      </c>
      <c r="AB746">
        <v>72</v>
      </c>
    </row>
    <row r="747" spans="1:28" x14ac:dyDescent="0.2">
      <c r="A747">
        <v>1237</v>
      </c>
      <c r="B747" s="1">
        <v>44278</v>
      </c>
      <c r="C747" t="s">
        <v>106</v>
      </c>
      <c r="D747" t="s">
        <v>29</v>
      </c>
      <c r="E747" t="s">
        <v>108</v>
      </c>
      <c r="F747" t="s">
        <v>46</v>
      </c>
      <c r="G747" t="s">
        <v>45</v>
      </c>
      <c r="H747" t="s">
        <v>46</v>
      </c>
      <c r="I747" t="s">
        <v>34</v>
      </c>
      <c r="J747" t="s">
        <v>105</v>
      </c>
      <c r="K747" s="2">
        <v>27745</v>
      </c>
      <c r="L747" t="s">
        <v>36</v>
      </c>
      <c r="M747" t="s">
        <v>37</v>
      </c>
      <c r="N747" t="s">
        <v>72</v>
      </c>
      <c r="O747" t="s">
        <v>77</v>
      </c>
      <c r="P747" t="s">
        <v>40</v>
      </c>
      <c r="Q747">
        <v>3</v>
      </c>
      <c r="R747" s="2">
        <v>45118</v>
      </c>
      <c r="S747">
        <v>4</v>
      </c>
      <c r="T747">
        <v>3</v>
      </c>
      <c r="U747">
        <v>1</v>
      </c>
      <c r="V747" s="1">
        <v>44876</v>
      </c>
      <c r="W747" t="s">
        <v>41</v>
      </c>
      <c r="X747" t="s">
        <v>51</v>
      </c>
      <c r="Y747" t="s">
        <v>73</v>
      </c>
      <c r="Z747">
        <v>2</v>
      </c>
      <c r="AA747">
        <v>762.82</v>
      </c>
      <c r="AB747">
        <v>46</v>
      </c>
    </row>
    <row r="748" spans="1:28" x14ac:dyDescent="0.2">
      <c r="A748">
        <v>1238</v>
      </c>
      <c r="B748" s="1">
        <v>44131</v>
      </c>
      <c r="C748" t="s">
        <v>28</v>
      </c>
      <c r="D748" t="s">
        <v>85</v>
      </c>
      <c r="E748" t="s">
        <v>108</v>
      </c>
      <c r="F748" t="s">
        <v>46</v>
      </c>
      <c r="G748" t="s">
        <v>56</v>
      </c>
      <c r="H748" t="s">
        <v>46</v>
      </c>
      <c r="I748" t="s">
        <v>34</v>
      </c>
      <c r="J748" t="s">
        <v>79</v>
      </c>
      <c r="K748" s="2">
        <v>25093</v>
      </c>
      <c r="L748" t="s">
        <v>36</v>
      </c>
      <c r="M748" t="s">
        <v>37</v>
      </c>
      <c r="N748" t="s">
        <v>60</v>
      </c>
      <c r="O748" t="s">
        <v>61</v>
      </c>
      <c r="P748" t="s">
        <v>40</v>
      </c>
      <c r="Q748">
        <v>3</v>
      </c>
      <c r="R748" s="2">
        <v>44924</v>
      </c>
      <c r="S748">
        <v>1</v>
      </c>
      <c r="T748">
        <v>3</v>
      </c>
      <c r="U748">
        <v>3</v>
      </c>
      <c r="V748" s="1">
        <v>44879</v>
      </c>
      <c r="W748" t="s">
        <v>41</v>
      </c>
      <c r="X748" t="s">
        <v>42</v>
      </c>
      <c r="Y748" t="s">
        <v>52</v>
      </c>
      <c r="Z748">
        <v>2</v>
      </c>
      <c r="AA748">
        <v>640.14</v>
      </c>
      <c r="AB748">
        <v>52</v>
      </c>
    </row>
    <row r="749" spans="1:28" x14ac:dyDescent="0.2">
      <c r="A749">
        <v>1239</v>
      </c>
      <c r="B749" s="1">
        <v>44723</v>
      </c>
      <c r="C749" t="s">
        <v>28</v>
      </c>
      <c r="D749" t="s">
        <v>64</v>
      </c>
      <c r="E749" t="s">
        <v>108</v>
      </c>
      <c r="F749" t="s">
        <v>46</v>
      </c>
      <c r="G749" t="s">
        <v>32</v>
      </c>
      <c r="H749" t="s">
        <v>33</v>
      </c>
      <c r="I749" t="s">
        <v>34</v>
      </c>
      <c r="J749" t="s">
        <v>89</v>
      </c>
      <c r="K749" s="2">
        <v>37081</v>
      </c>
      <c r="L749" t="s">
        <v>36</v>
      </c>
      <c r="M749" t="s">
        <v>37</v>
      </c>
      <c r="N749" t="s">
        <v>49</v>
      </c>
      <c r="O749" t="s">
        <v>61</v>
      </c>
      <c r="P749" t="s">
        <v>40</v>
      </c>
      <c r="Q749">
        <v>3</v>
      </c>
      <c r="R749" s="2">
        <v>44841</v>
      </c>
      <c r="S749">
        <v>4</v>
      </c>
      <c r="T749">
        <v>5</v>
      </c>
      <c r="U749">
        <v>5</v>
      </c>
      <c r="V749" s="1">
        <v>45044</v>
      </c>
      <c r="W749" t="s">
        <v>62</v>
      </c>
      <c r="X749" t="s">
        <v>42</v>
      </c>
      <c r="Y749" t="s">
        <v>52</v>
      </c>
      <c r="Z749">
        <v>3</v>
      </c>
      <c r="AA749">
        <v>726.03</v>
      </c>
      <c r="AB749">
        <v>21</v>
      </c>
    </row>
    <row r="750" spans="1:28" x14ac:dyDescent="0.2">
      <c r="A750">
        <v>1240</v>
      </c>
      <c r="B750" s="1">
        <v>43909</v>
      </c>
      <c r="C750" t="s">
        <v>28</v>
      </c>
      <c r="D750" t="s">
        <v>94</v>
      </c>
      <c r="E750" t="s">
        <v>30</v>
      </c>
      <c r="F750" t="s">
        <v>31</v>
      </c>
      <c r="G750" t="s">
        <v>56</v>
      </c>
      <c r="H750" t="s">
        <v>33</v>
      </c>
      <c r="I750" t="s">
        <v>34</v>
      </c>
      <c r="J750" t="s">
        <v>134</v>
      </c>
      <c r="K750" s="2">
        <v>31148</v>
      </c>
      <c r="L750" t="s">
        <v>36</v>
      </c>
      <c r="M750" t="s">
        <v>37</v>
      </c>
      <c r="N750" t="s">
        <v>84</v>
      </c>
      <c r="O750" t="s">
        <v>61</v>
      </c>
      <c r="P750" t="s">
        <v>40</v>
      </c>
      <c r="Q750">
        <v>3</v>
      </c>
      <c r="R750" s="2">
        <v>45140</v>
      </c>
      <c r="S750">
        <v>1</v>
      </c>
      <c r="T750">
        <v>4</v>
      </c>
      <c r="U750">
        <v>3</v>
      </c>
      <c r="V750" s="1">
        <v>44930</v>
      </c>
      <c r="W750" t="s">
        <v>92</v>
      </c>
      <c r="X750" t="s">
        <v>51</v>
      </c>
      <c r="Y750" t="s">
        <v>73</v>
      </c>
      <c r="Z750">
        <v>5</v>
      </c>
      <c r="AA750">
        <v>758.75</v>
      </c>
      <c r="AB750">
        <v>35</v>
      </c>
    </row>
    <row r="751" spans="1:28" x14ac:dyDescent="0.2">
      <c r="A751">
        <v>1241</v>
      </c>
      <c r="B751" s="1">
        <v>43776</v>
      </c>
      <c r="C751" t="s">
        <v>28</v>
      </c>
      <c r="D751" t="s">
        <v>74</v>
      </c>
      <c r="E751" t="s">
        <v>108</v>
      </c>
      <c r="F751" t="s">
        <v>31</v>
      </c>
      <c r="G751" t="s">
        <v>56</v>
      </c>
      <c r="H751" t="s">
        <v>55</v>
      </c>
      <c r="I751" t="s">
        <v>34</v>
      </c>
      <c r="J751" t="s">
        <v>70</v>
      </c>
      <c r="K751" s="2">
        <v>33676</v>
      </c>
      <c r="L751" t="s">
        <v>36</v>
      </c>
      <c r="M751" t="s">
        <v>37</v>
      </c>
      <c r="N751" t="s">
        <v>72</v>
      </c>
      <c r="O751" t="s">
        <v>67</v>
      </c>
      <c r="P751" t="s">
        <v>40</v>
      </c>
      <c r="Q751">
        <v>3</v>
      </c>
      <c r="R751" s="2">
        <v>44942</v>
      </c>
      <c r="S751">
        <v>4</v>
      </c>
      <c r="T751">
        <v>4</v>
      </c>
      <c r="U751">
        <v>3</v>
      </c>
      <c r="V751" s="1">
        <v>44958</v>
      </c>
      <c r="W751" t="s">
        <v>62</v>
      </c>
      <c r="X751" t="s">
        <v>51</v>
      </c>
      <c r="Y751" t="s">
        <v>43</v>
      </c>
      <c r="Z751">
        <v>5</v>
      </c>
      <c r="AA751">
        <v>878.94</v>
      </c>
      <c r="AB751">
        <v>27</v>
      </c>
    </row>
    <row r="752" spans="1:28" x14ac:dyDescent="0.2">
      <c r="A752">
        <v>1242</v>
      </c>
      <c r="B752" s="1">
        <v>45040</v>
      </c>
      <c r="C752" t="s">
        <v>28</v>
      </c>
      <c r="D752" t="s">
        <v>81</v>
      </c>
      <c r="E752" t="s">
        <v>30</v>
      </c>
      <c r="F752" t="s">
        <v>55</v>
      </c>
      <c r="G752" t="s">
        <v>32</v>
      </c>
      <c r="H752" t="s">
        <v>46</v>
      </c>
      <c r="I752" t="s">
        <v>34</v>
      </c>
      <c r="J752" t="s">
        <v>101</v>
      </c>
      <c r="K752" s="2">
        <v>21627</v>
      </c>
      <c r="L752" t="s">
        <v>36</v>
      </c>
      <c r="M752" t="s">
        <v>37</v>
      </c>
      <c r="N752" t="s">
        <v>38</v>
      </c>
      <c r="O752" t="s">
        <v>67</v>
      </c>
      <c r="P752" t="s">
        <v>40</v>
      </c>
      <c r="Q752">
        <v>3</v>
      </c>
      <c r="R752" s="2">
        <v>45135</v>
      </c>
      <c r="S752">
        <v>4</v>
      </c>
      <c r="T752">
        <v>4</v>
      </c>
      <c r="U752">
        <v>1</v>
      </c>
      <c r="V752" s="1">
        <v>44999</v>
      </c>
      <c r="W752" t="s">
        <v>62</v>
      </c>
      <c r="X752" t="s">
        <v>51</v>
      </c>
      <c r="Y752" t="s">
        <v>73</v>
      </c>
      <c r="Z752">
        <v>3</v>
      </c>
      <c r="AA752">
        <v>227.9</v>
      </c>
      <c r="AB752">
        <v>64</v>
      </c>
    </row>
    <row r="753" spans="1:28" x14ac:dyDescent="0.2">
      <c r="A753">
        <v>1243</v>
      </c>
      <c r="B753" s="1">
        <v>43986</v>
      </c>
      <c r="C753" t="s">
        <v>28</v>
      </c>
      <c r="D753" t="s">
        <v>54</v>
      </c>
      <c r="E753" t="s">
        <v>30</v>
      </c>
      <c r="F753" t="s">
        <v>31</v>
      </c>
      <c r="G753" t="s">
        <v>45</v>
      </c>
      <c r="H753" t="s">
        <v>33</v>
      </c>
      <c r="I753" t="s">
        <v>34</v>
      </c>
      <c r="J753" t="s">
        <v>65</v>
      </c>
      <c r="K753" s="2">
        <v>28921</v>
      </c>
      <c r="L753" t="s">
        <v>36</v>
      </c>
      <c r="M753" t="s">
        <v>37</v>
      </c>
      <c r="N753" t="s">
        <v>38</v>
      </c>
      <c r="O753" t="s">
        <v>39</v>
      </c>
      <c r="P753" t="s">
        <v>40</v>
      </c>
      <c r="Q753">
        <v>3</v>
      </c>
      <c r="R753" s="2">
        <v>45050</v>
      </c>
      <c r="S753">
        <v>5</v>
      </c>
      <c r="T753">
        <v>2</v>
      </c>
      <c r="U753">
        <v>3</v>
      </c>
      <c r="V753" s="1">
        <v>44962</v>
      </c>
      <c r="W753" t="s">
        <v>92</v>
      </c>
      <c r="X753" t="s">
        <v>42</v>
      </c>
      <c r="Y753" t="s">
        <v>52</v>
      </c>
      <c r="Z753">
        <v>3</v>
      </c>
      <c r="AA753">
        <v>855.27</v>
      </c>
      <c r="AB753">
        <v>41</v>
      </c>
    </row>
    <row r="754" spans="1:28" x14ac:dyDescent="0.2">
      <c r="A754">
        <v>1244</v>
      </c>
      <c r="B754" s="1">
        <v>44704</v>
      </c>
      <c r="C754" t="s">
        <v>28</v>
      </c>
      <c r="D754" t="s">
        <v>69</v>
      </c>
      <c r="E754" t="s">
        <v>30</v>
      </c>
      <c r="F754" t="s">
        <v>46</v>
      </c>
      <c r="G754" t="s">
        <v>45</v>
      </c>
      <c r="H754" t="s">
        <v>55</v>
      </c>
      <c r="I754" t="s">
        <v>34</v>
      </c>
      <c r="J754" t="s">
        <v>134</v>
      </c>
      <c r="K754" s="2">
        <v>19766</v>
      </c>
      <c r="L754" t="s">
        <v>36</v>
      </c>
      <c r="M754" t="s">
        <v>48</v>
      </c>
      <c r="N754" t="s">
        <v>84</v>
      </c>
      <c r="O754" t="s">
        <v>67</v>
      </c>
      <c r="P754" t="s">
        <v>40</v>
      </c>
      <c r="Q754">
        <v>3</v>
      </c>
      <c r="R754" s="2">
        <v>44790</v>
      </c>
      <c r="S754">
        <v>2</v>
      </c>
      <c r="T754">
        <v>3</v>
      </c>
      <c r="U754">
        <v>5</v>
      </c>
      <c r="V754" s="1">
        <v>44975</v>
      </c>
      <c r="W754" t="s">
        <v>68</v>
      </c>
      <c r="X754" t="s">
        <v>51</v>
      </c>
      <c r="Y754" t="s">
        <v>52</v>
      </c>
      <c r="Z754">
        <v>5</v>
      </c>
      <c r="AA754">
        <v>170.62</v>
      </c>
      <c r="AB754">
        <v>68</v>
      </c>
    </row>
    <row r="755" spans="1:28" x14ac:dyDescent="0.2">
      <c r="A755">
        <v>1245</v>
      </c>
      <c r="B755" s="1">
        <v>43602</v>
      </c>
      <c r="C755" t="s">
        <v>28</v>
      </c>
      <c r="D755" t="s">
        <v>29</v>
      </c>
      <c r="E755" t="s">
        <v>30</v>
      </c>
      <c r="F755" t="s">
        <v>55</v>
      </c>
      <c r="G755" t="s">
        <v>56</v>
      </c>
      <c r="H755" t="s">
        <v>33</v>
      </c>
      <c r="I755" t="s">
        <v>34</v>
      </c>
      <c r="J755" t="s">
        <v>79</v>
      </c>
      <c r="K755" s="2">
        <v>22315</v>
      </c>
      <c r="L755" t="s">
        <v>36</v>
      </c>
      <c r="M755" t="s">
        <v>48</v>
      </c>
      <c r="N755" t="s">
        <v>38</v>
      </c>
      <c r="O755" t="s">
        <v>39</v>
      </c>
      <c r="P755" t="s">
        <v>40</v>
      </c>
      <c r="Q755">
        <v>3</v>
      </c>
      <c r="R755" s="2">
        <v>44827</v>
      </c>
      <c r="S755">
        <v>3</v>
      </c>
      <c r="T755">
        <v>5</v>
      </c>
      <c r="U755">
        <v>5</v>
      </c>
      <c r="V755" s="1">
        <v>45106</v>
      </c>
      <c r="W755" t="s">
        <v>92</v>
      </c>
      <c r="X755" t="s">
        <v>42</v>
      </c>
      <c r="Y755" t="s">
        <v>52</v>
      </c>
      <c r="Z755">
        <v>4</v>
      </c>
      <c r="AA755">
        <v>392.14</v>
      </c>
      <c r="AB755">
        <v>58</v>
      </c>
    </row>
    <row r="756" spans="1:28" x14ac:dyDescent="0.2">
      <c r="A756">
        <v>1246</v>
      </c>
      <c r="B756" s="1">
        <v>43371</v>
      </c>
      <c r="C756" t="s">
        <v>28</v>
      </c>
      <c r="D756" t="s">
        <v>85</v>
      </c>
      <c r="E756" t="s">
        <v>108</v>
      </c>
      <c r="F756" t="s">
        <v>46</v>
      </c>
      <c r="G756" t="s">
        <v>56</v>
      </c>
      <c r="H756" t="s">
        <v>33</v>
      </c>
      <c r="I756" t="s">
        <v>34</v>
      </c>
      <c r="J756" t="s">
        <v>70</v>
      </c>
      <c r="K756" s="2">
        <v>16024</v>
      </c>
      <c r="L756" t="s">
        <v>36</v>
      </c>
      <c r="M756" t="s">
        <v>48</v>
      </c>
      <c r="N756" t="s">
        <v>72</v>
      </c>
      <c r="O756" t="s">
        <v>39</v>
      </c>
      <c r="P756" t="s">
        <v>40</v>
      </c>
      <c r="Q756">
        <v>3</v>
      </c>
      <c r="R756" s="2">
        <v>44938</v>
      </c>
      <c r="S756">
        <v>4</v>
      </c>
      <c r="T756">
        <v>3</v>
      </c>
      <c r="U756">
        <v>2</v>
      </c>
      <c r="V756" s="1">
        <v>44920</v>
      </c>
      <c r="W756" t="s">
        <v>92</v>
      </c>
      <c r="X756" t="s">
        <v>42</v>
      </c>
      <c r="Y756" t="s">
        <v>63</v>
      </c>
      <c r="Z756">
        <v>1</v>
      </c>
      <c r="AA756">
        <v>206.93</v>
      </c>
      <c r="AB756">
        <v>75</v>
      </c>
    </row>
    <row r="757" spans="1:28" x14ac:dyDescent="0.2">
      <c r="A757">
        <v>1247</v>
      </c>
      <c r="B757" s="1">
        <v>43528</v>
      </c>
      <c r="C757" t="s">
        <v>28</v>
      </c>
      <c r="D757" t="s">
        <v>44</v>
      </c>
      <c r="E757" t="s">
        <v>30</v>
      </c>
      <c r="F757" t="s">
        <v>46</v>
      </c>
      <c r="G757" t="s">
        <v>32</v>
      </c>
      <c r="H757" t="s">
        <v>46</v>
      </c>
      <c r="I757" t="s">
        <v>34</v>
      </c>
      <c r="J757" t="s">
        <v>103</v>
      </c>
      <c r="K757" s="2">
        <v>26384</v>
      </c>
      <c r="L757" t="s">
        <v>36</v>
      </c>
      <c r="M757" t="s">
        <v>37</v>
      </c>
      <c r="N757" t="s">
        <v>60</v>
      </c>
      <c r="O757" t="s">
        <v>61</v>
      </c>
      <c r="P757" t="s">
        <v>40</v>
      </c>
      <c r="Q757">
        <v>3</v>
      </c>
      <c r="R757" s="2">
        <v>44878</v>
      </c>
      <c r="S757">
        <v>2</v>
      </c>
      <c r="T757">
        <v>4</v>
      </c>
      <c r="U757">
        <v>5</v>
      </c>
      <c r="V757" s="1">
        <v>44904</v>
      </c>
      <c r="W757" t="s">
        <v>50</v>
      </c>
      <c r="X757" t="s">
        <v>51</v>
      </c>
      <c r="Y757" t="s">
        <v>63</v>
      </c>
      <c r="Z757">
        <v>5</v>
      </c>
      <c r="AA757">
        <v>307.13</v>
      </c>
      <c r="AB757">
        <v>47</v>
      </c>
    </row>
    <row r="758" spans="1:28" x14ac:dyDescent="0.2">
      <c r="A758">
        <v>1248</v>
      </c>
      <c r="B758" s="1">
        <v>44284</v>
      </c>
      <c r="C758" t="s">
        <v>28</v>
      </c>
      <c r="D758" t="s">
        <v>87</v>
      </c>
      <c r="E758" t="s">
        <v>30</v>
      </c>
      <c r="F758" t="s">
        <v>46</v>
      </c>
      <c r="G758" t="s">
        <v>56</v>
      </c>
      <c r="H758" t="s">
        <v>55</v>
      </c>
      <c r="I758" t="s">
        <v>34</v>
      </c>
      <c r="J758" t="s">
        <v>111</v>
      </c>
      <c r="K758" s="2">
        <v>32395</v>
      </c>
      <c r="L758" t="s">
        <v>36</v>
      </c>
      <c r="M758" t="s">
        <v>37</v>
      </c>
      <c r="N758" t="s">
        <v>38</v>
      </c>
      <c r="O758" t="s">
        <v>77</v>
      </c>
      <c r="P758" t="s">
        <v>40</v>
      </c>
      <c r="Q758">
        <v>3</v>
      </c>
      <c r="R758" s="2">
        <v>44900</v>
      </c>
      <c r="S758">
        <v>5</v>
      </c>
      <c r="T758">
        <v>3</v>
      </c>
      <c r="U758">
        <v>2</v>
      </c>
      <c r="V758" s="1">
        <v>44797</v>
      </c>
      <c r="W758" t="s">
        <v>92</v>
      </c>
      <c r="X758" t="s">
        <v>42</v>
      </c>
      <c r="Y758" t="s">
        <v>73</v>
      </c>
      <c r="Z758">
        <v>4</v>
      </c>
      <c r="AA758">
        <v>165.05</v>
      </c>
      <c r="AB758">
        <v>33</v>
      </c>
    </row>
    <row r="759" spans="1:28" x14ac:dyDescent="0.2">
      <c r="A759">
        <v>1249</v>
      </c>
      <c r="B759" s="1">
        <v>43653</v>
      </c>
      <c r="C759" t="s">
        <v>28</v>
      </c>
      <c r="D759" t="s">
        <v>64</v>
      </c>
      <c r="E759" t="s">
        <v>30</v>
      </c>
      <c r="F759" t="s">
        <v>55</v>
      </c>
      <c r="G759" t="s">
        <v>45</v>
      </c>
      <c r="H759" t="s">
        <v>46</v>
      </c>
      <c r="I759" t="s">
        <v>34</v>
      </c>
      <c r="J759" t="s">
        <v>70</v>
      </c>
      <c r="K759" s="2">
        <v>35399</v>
      </c>
      <c r="L759" t="s">
        <v>36</v>
      </c>
      <c r="M759" t="s">
        <v>37</v>
      </c>
      <c r="N759" t="s">
        <v>84</v>
      </c>
      <c r="O759" t="s">
        <v>77</v>
      </c>
      <c r="P759" t="s">
        <v>40</v>
      </c>
      <c r="Q759">
        <v>3</v>
      </c>
      <c r="R759" s="2">
        <v>44917</v>
      </c>
      <c r="S759">
        <v>2</v>
      </c>
      <c r="T759">
        <v>4</v>
      </c>
      <c r="U759">
        <v>2</v>
      </c>
      <c r="V759" s="1">
        <v>44788</v>
      </c>
      <c r="W759" t="s">
        <v>92</v>
      </c>
      <c r="X759" t="s">
        <v>42</v>
      </c>
      <c r="Y759" t="s">
        <v>63</v>
      </c>
      <c r="Z759">
        <v>4</v>
      </c>
      <c r="AA759">
        <v>371.27</v>
      </c>
      <c r="AB759">
        <v>23</v>
      </c>
    </row>
    <row r="760" spans="1:28" x14ac:dyDescent="0.2">
      <c r="A760">
        <v>1250</v>
      </c>
      <c r="B760" s="1">
        <v>43349</v>
      </c>
      <c r="C760" t="s">
        <v>28</v>
      </c>
      <c r="D760" t="s">
        <v>69</v>
      </c>
      <c r="E760" t="s">
        <v>30</v>
      </c>
      <c r="F760" t="s">
        <v>31</v>
      </c>
      <c r="G760" t="s">
        <v>56</v>
      </c>
      <c r="H760" t="s">
        <v>55</v>
      </c>
      <c r="I760" t="s">
        <v>34</v>
      </c>
      <c r="J760" t="s">
        <v>58</v>
      </c>
      <c r="K760" s="2">
        <v>33215</v>
      </c>
      <c r="L760" t="s">
        <v>36</v>
      </c>
      <c r="M760" t="s">
        <v>37</v>
      </c>
      <c r="N760" t="s">
        <v>72</v>
      </c>
      <c r="O760" t="s">
        <v>39</v>
      </c>
      <c r="P760" t="s">
        <v>40</v>
      </c>
      <c r="Q760">
        <v>3</v>
      </c>
      <c r="R760" s="2">
        <v>45042</v>
      </c>
      <c r="S760">
        <v>4</v>
      </c>
      <c r="T760">
        <v>5</v>
      </c>
      <c r="U760">
        <v>1</v>
      </c>
      <c r="V760" s="1">
        <v>45044</v>
      </c>
      <c r="W760" t="s">
        <v>92</v>
      </c>
      <c r="X760" t="s">
        <v>51</v>
      </c>
      <c r="Y760" t="s">
        <v>52</v>
      </c>
      <c r="Z760">
        <v>3</v>
      </c>
      <c r="AA760">
        <v>366.78</v>
      </c>
      <c r="AB760">
        <v>28</v>
      </c>
    </row>
    <row r="761" spans="1:28" x14ac:dyDescent="0.2">
      <c r="A761">
        <v>1251</v>
      </c>
      <c r="B761" s="1">
        <v>43368</v>
      </c>
      <c r="C761" t="s">
        <v>28</v>
      </c>
      <c r="D761" t="s">
        <v>29</v>
      </c>
      <c r="E761" t="s">
        <v>30</v>
      </c>
      <c r="F761" t="s">
        <v>46</v>
      </c>
      <c r="G761" t="s">
        <v>45</v>
      </c>
      <c r="H761" t="s">
        <v>46</v>
      </c>
      <c r="I761" t="s">
        <v>34</v>
      </c>
      <c r="J761" t="s">
        <v>89</v>
      </c>
      <c r="K761" s="2">
        <v>17597</v>
      </c>
      <c r="L761" t="s">
        <v>36</v>
      </c>
      <c r="M761" t="s">
        <v>37</v>
      </c>
      <c r="N761" t="s">
        <v>84</v>
      </c>
      <c r="O761" t="s">
        <v>67</v>
      </c>
      <c r="P761" t="s">
        <v>40</v>
      </c>
      <c r="Q761">
        <v>3</v>
      </c>
      <c r="R761" s="2">
        <v>44898</v>
      </c>
      <c r="S761">
        <v>5</v>
      </c>
      <c r="T761">
        <v>5</v>
      </c>
      <c r="U761">
        <v>3</v>
      </c>
      <c r="V761" s="1">
        <v>44961</v>
      </c>
      <c r="W761" t="s">
        <v>92</v>
      </c>
      <c r="X761" t="s">
        <v>51</v>
      </c>
      <c r="Y761" t="s">
        <v>43</v>
      </c>
      <c r="Z761">
        <v>5</v>
      </c>
      <c r="AA761">
        <v>205.92</v>
      </c>
      <c r="AB761">
        <v>70</v>
      </c>
    </row>
    <row r="762" spans="1:28" x14ac:dyDescent="0.2">
      <c r="A762">
        <v>1252</v>
      </c>
      <c r="B762" s="1">
        <v>44631</v>
      </c>
      <c r="C762" t="s">
        <v>133</v>
      </c>
      <c r="D762" t="s">
        <v>44</v>
      </c>
      <c r="E762" t="s">
        <v>30</v>
      </c>
      <c r="F762" t="s">
        <v>46</v>
      </c>
      <c r="G762" t="s">
        <v>45</v>
      </c>
      <c r="H762" t="s">
        <v>33</v>
      </c>
      <c r="I762" t="s">
        <v>34</v>
      </c>
      <c r="J762" t="s">
        <v>96</v>
      </c>
      <c r="K762" s="2">
        <v>30003</v>
      </c>
      <c r="L762" t="s">
        <v>36</v>
      </c>
      <c r="M762" t="s">
        <v>37</v>
      </c>
      <c r="N762" t="s">
        <v>84</v>
      </c>
      <c r="O762" t="s">
        <v>77</v>
      </c>
      <c r="P762" t="s">
        <v>40</v>
      </c>
      <c r="Q762">
        <v>3</v>
      </c>
      <c r="R762" s="2">
        <v>45087</v>
      </c>
      <c r="S762">
        <v>2</v>
      </c>
      <c r="T762">
        <v>3</v>
      </c>
      <c r="U762">
        <v>2</v>
      </c>
      <c r="V762" s="1">
        <v>44885</v>
      </c>
      <c r="W762" t="s">
        <v>41</v>
      </c>
      <c r="X762" t="s">
        <v>42</v>
      </c>
      <c r="Y762" t="s">
        <v>63</v>
      </c>
      <c r="Z762">
        <v>1</v>
      </c>
      <c r="AA762">
        <v>314.51</v>
      </c>
      <c r="AB762">
        <v>40</v>
      </c>
    </row>
    <row r="763" spans="1:28" x14ac:dyDescent="0.2">
      <c r="A763">
        <v>1253</v>
      </c>
      <c r="B763" s="1">
        <v>44025</v>
      </c>
      <c r="C763" t="s">
        <v>133</v>
      </c>
      <c r="D763" t="s">
        <v>87</v>
      </c>
      <c r="E763" t="s">
        <v>30</v>
      </c>
      <c r="F763" t="s">
        <v>46</v>
      </c>
      <c r="G763" t="s">
        <v>45</v>
      </c>
      <c r="H763" t="s">
        <v>46</v>
      </c>
      <c r="I763" t="s">
        <v>34</v>
      </c>
      <c r="J763" t="s">
        <v>96</v>
      </c>
      <c r="K763" s="2">
        <v>26068</v>
      </c>
      <c r="L763" t="s">
        <v>36</v>
      </c>
      <c r="M763" t="s">
        <v>37</v>
      </c>
      <c r="N763" t="s">
        <v>84</v>
      </c>
      <c r="O763" t="s">
        <v>77</v>
      </c>
      <c r="P763" t="s">
        <v>40</v>
      </c>
      <c r="Q763">
        <v>3</v>
      </c>
      <c r="R763" s="2">
        <v>44936</v>
      </c>
      <c r="S763">
        <v>2</v>
      </c>
      <c r="T763">
        <v>4</v>
      </c>
      <c r="U763">
        <v>2</v>
      </c>
      <c r="V763" s="1">
        <v>45080</v>
      </c>
      <c r="W763" t="s">
        <v>50</v>
      </c>
      <c r="X763" t="s">
        <v>42</v>
      </c>
      <c r="Y763" t="s">
        <v>63</v>
      </c>
      <c r="Z763">
        <v>2</v>
      </c>
      <c r="AA763">
        <v>793.86</v>
      </c>
      <c r="AB763">
        <v>49</v>
      </c>
    </row>
    <row r="764" spans="1:28" x14ac:dyDescent="0.2">
      <c r="A764">
        <v>1254</v>
      </c>
      <c r="B764" s="1">
        <v>44004</v>
      </c>
      <c r="C764" t="s">
        <v>106</v>
      </c>
      <c r="D764" t="s">
        <v>74</v>
      </c>
      <c r="E764" t="s">
        <v>30</v>
      </c>
      <c r="F764" t="s">
        <v>31</v>
      </c>
      <c r="G764" t="s">
        <v>56</v>
      </c>
      <c r="H764" t="s">
        <v>55</v>
      </c>
      <c r="I764" t="s">
        <v>34</v>
      </c>
      <c r="J764" t="s">
        <v>65</v>
      </c>
      <c r="K764" s="2">
        <v>18421</v>
      </c>
      <c r="L764" t="s">
        <v>36</v>
      </c>
      <c r="M764" t="s">
        <v>37</v>
      </c>
      <c r="N764" t="s">
        <v>38</v>
      </c>
      <c r="O764" t="s">
        <v>67</v>
      </c>
      <c r="P764" t="s">
        <v>40</v>
      </c>
      <c r="Q764">
        <v>3</v>
      </c>
      <c r="R764" s="2">
        <v>45095</v>
      </c>
      <c r="S764">
        <v>3</v>
      </c>
      <c r="T764">
        <v>1</v>
      </c>
      <c r="U764">
        <v>5</v>
      </c>
      <c r="V764" s="1">
        <v>45036</v>
      </c>
      <c r="W764" t="s">
        <v>62</v>
      </c>
      <c r="X764" t="s">
        <v>42</v>
      </c>
      <c r="Y764" t="s">
        <v>73</v>
      </c>
      <c r="Z764">
        <v>3</v>
      </c>
      <c r="AA764">
        <v>252.53</v>
      </c>
      <c r="AB764">
        <v>70</v>
      </c>
    </row>
    <row r="765" spans="1:28" x14ac:dyDescent="0.2">
      <c r="A765">
        <v>1255</v>
      </c>
      <c r="B765" s="1">
        <v>43738</v>
      </c>
      <c r="C765" t="s">
        <v>106</v>
      </c>
      <c r="D765" t="s">
        <v>81</v>
      </c>
      <c r="E765" t="s">
        <v>108</v>
      </c>
      <c r="F765" t="s">
        <v>55</v>
      </c>
      <c r="G765" t="s">
        <v>45</v>
      </c>
      <c r="H765" t="s">
        <v>33</v>
      </c>
      <c r="I765" t="s">
        <v>34</v>
      </c>
      <c r="J765" t="s">
        <v>65</v>
      </c>
      <c r="K765" s="2">
        <v>31010</v>
      </c>
      <c r="L765" t="s">
        <v>36</v>
      </c>
      <c r="M765" t="s">
        <v>37</v>
      </c>
      <c r="N765" t="s">
        <v>72</v>
      </c>
      <c r="O765" t="s">
        <v>67</v>
      </c>
      <c r="P765" t="s">
        <v>40</v>
      </c>
      <c r="Q765">
        <v>3</v>
      </c>
      <c r="R765" s="2">
        <v>44868</v>
      </c>
      <c r="S765">
        <v>3</v>
      </c>
      <c r="T765">
        <v>1</v>
      </c>
      <c r="U765">
        <v>1</v>
      </c>
      <c r="V765" s="1">
        <v>44857</v>
      </c>
      <c r="W765" t="s">
        <v>50</v>
      </c>
      <c r="X765" t="s">
        <v>51</v>
      </c>
      <c r="Y765" t="s">
        <v>73</v>
      </c>
      <c r="Z765">
        <v>2</v>
      </c>
      <c r="AA765">
        <v>693.25</v>
      </c>
      <c r="AB765">
        <v>35</v>
      </c>
    </row>
    <row r="766" spans="1:28" x14ac:dyDescent="0.2">
      <c r="A766">
        <v>1256</v>
      </c>
      <c r="B766" s="1">
        <v>43838</v>
      </c>
      <c r="C766" t="s">
        <v>106</v>
      </c>
      <c r="D766" t="s">
        <v>54</v>
      </c>
      <c r="E766" t="s">
        <v>30</v>
      </c>
      <c r="F766" t="s">
        <v>31</v>
      </c>
      <c r="G766" t="s">
        <v>45</v>
      </c>
      <c r="H766" t="s">
        <v>33</v>
      </c>
      <c r="I766" t="s">
        <v>34</v>
      </c>
      <c r="J766" t="s">
        <v>101</v>
      </c>
      <c r="K766" s="2">
        <v>33464</v>
      </c>
      <c r="L766" t="s">
        <v>36</v>
      </c>
      <c r="M766" t="s">
        <v>37</v>
      </c>
      <c r="N766" t="s">
        <v>38</v>
      </c>
      <c r="O766" t="s">
        <v>39</v>
      </c>
      <c r="P766" t="s">
        <v>40</v>
      </c>
      <c r="Q766">
        <v>3</v>
      </c>
      <c r="R766" s="2">
        <v>44858</v>
      </c>
      <c r="S766">
        <v>4</v>
      </c>
      <c r="T766">
        <v>4</v>
      </c>
      <c r="U766">
        <v>2</v>
      </c>
      <c r="V766" s="1">
        <v>45072</v>
      </c>
      <c r="W766" t="s">
        <v>62</v>
      </c>
      <c r="X766" t="s">
        <v>42</v>
      </c>
      <c r="Y766" t="s">
        <v>63</v>
      </c>
      <c r="Z766">
        <v>4</v>
      </c>
      <c r="AA766">
        <v>926.76</v>
      </c>
      <c r="AB766">
        <v>29</v>
      </c>
    </row>
    <row r="767" spans="1:28" x14ac:dyDescent="0.2">
      <c r="A767">
        <v>1257</v>
      </c>
      <c r="B767" s="1">
        <v>44485</v>
      </c>
      <c r="C767" t="s">
        <v>106</v>
      </c>
      <c r="D767" t="s">
        <v>69</v>
      </c>
      <c r="E767" t="s">
        <v>30</v>
      </c>
      <c r="F767" t="s">
        <v>55</v>
      </c>
      <c r="G767" t="s">
        <v>56</v>
      </c>
      <c r="H767" t="s">
        <v>33</v>
      </c>
      <c r="I767" t="s">
        <v>34</v>
      </c>
      <c r="J767" t="s">
        <v>79</v>
      </c>
      <c r="K767" s="2">
        <v>28801</v>
      </c>
      <c r="L767" t="s">
        <v>36</v>
      </c>
      <c r="M767" t="s">
        <v>37</v>
      </c>
      <c r="N767" t="s">
        <v>84</v>
      </c>
      <c r="O767" t="s">
        <v>77</v>
      </c>
      <c r="P767" t="s">
        <v>40</v>
      </c>
      <c r="Q767">
        <v>3</v>
      </c>
      <c r="R767" s="2">
        <v>45126</v>
      </c>
      <c r="S767">
        <v>2</v>
      </c>
      <c r="T767">
        <v>1</v>
      </c>
      <c r="U767">
        <v>1</v>
      </c>
      <c r="V767" s="1">
        <v>45069</v>
      </c>
      <c r="W767" t="s">
        <v>68</v>
      </c>
      <c r="X767" t="s">
        <v>42</v>
      </c>
      <c r="Y767" t="s">
        <v>43</v>
      </c>
      <c r="Z767">
        <v>1</v>
      </c>
      <c r="AA767">
        <v>694.61</v>
      </c>
      <c r="AB767">
        <v>43</v>
      </c>
    </row>
    <row r="768" spans="1:28" x14ac:dyDescent="0.2">
      <c r="A768">
        <v>1258</v>
      </c>
      <c r="B768" s="1">
        <v>44741</v>
      </c>
      <c r="C768" t="s">
        <v>106</v>
      </c>
      <c r="D768" t="s">
        <v>29</v>
      </c>
      <c r="E768" t="s">
        <v>30</v>
      </c>
      <c r="F768" t="s">
        <v>55</v>
      </c>
      <c r="G768" t="s">
        <v>32</v>
      </c>
      <c r="H768" t="s">
        <v>33</v>
      </c>
      <c r="I768" t="s">
        <v>34</v>
      </c>
      <c r="J768" t="s">
        <v>47</v>
      </c>
      <c r="K768" s="2">
        <v>28414</v>
      </c>
      <c r="L768" t="s">
        <v>36</v>
      </c>
      <c r="M768" t="s">
        <v>37</v>
      </c>
      <c r="N768" t="s">
        <v>60</v>
      </c>
      <c r="O768" t="s">
        <v>39</v>
      </c>
      <c r="P768" t="s">
        <v>40</v>
      </c>
      <c r="Q768">
        <v>3</v>
      </c>
      <c r="R768" s="2">
        <v>45032</v>
      </c>
      <c r="S768">
        <v>3</v>
      </c>
      <c r="T768">
        <v>5</v>
      </c>
      <c r="U768">
        <v>4</v>
      </c>
      <c r="V768" s="1">
        <v>45107</v>
      </c>
      <c r="W768" t="s">
        <v>62</v>
      </c>
      <c r="X768" t="s">
        <v>42</v>
      </c>
      <c r="Y768" t="s">
        <v>52</v>
      </c>
      <c r="Z768">
        <v>1</v>
      </c>
      <c r="AA768">
        <v>732.02</v>
      </c>
      <c r="AB768">
        <v>45</v>
      </c>
    </row>
    <row r="769" spans="1:28" x14ac:dyDescent="0.2">
      <c r="A769">
        <v>1259</v>
      </c>
      <c r="B769" s="1">
        <v>44682</v>
      </c>
      <c r="C769" t="s">
        <v>28</v>
      </c>
      <c r="D769" t="s">
        <v>85</v>
      </c>
      <c r="E769" t="s">
        <v>108</v>
      </c>
      <c r="F769" t="s">
        <v>55</v>
      </c>
      <c r="G769" t="s">
        <v>45</v>
      </c>
      <c r="H769" t="s">
        <v>33</v>
      </c>
      <c r="I769" t="s">
        <v>34</v>
      </c>
      <c r="J769" t="s">
        <v>65</v>
      </c>
      <c r="K769" s="2">
        <v>20650</v>
      </c>
      <c r="L769" t="s">
        <v>36</v>
      </c>
      <c r="M769" t="s">
        <v>48</v>
      </c>
      <c r="N769" t="s">
        <v>38</v>
      </c>
      <c r="O769" t="s">
        <v>61</v>
      </c>
      <c r="P769" t="s">
        <v>40</v>
      </c>
      <c r="Q769">
        <v>3</v>
      </c>
      <c r="R769" s="2">
        <v>44851</v>
      </c>
      <c r="S769">
        <v>1</v>
      </c>
      <c r="T769">
        <v>3</v>
      </c>
      <c r="U769">
        <v>4</v>
      </c>
      <c r="V769" s="1">
        <v>44930</v>
      </c>
      <c r="W769" t="s">
        <v>41</v>
      </c>
      <c r="X769" t="s">
        <v>42</v>
      </c>
      <c r="Y769" t="s">
        <v>63</v>
      </c>
      <c r="Z769">
        <v>1</v>
      </c>
      <c r="AA769">
        <v>897.62</v>
      </c>
      <c r="AB769">
        <v>66</v>
      </c>
    </row>
    <row r="770" spans="1:28" x14ac:dyDescent="0.2">
      <c r="A770">
        <v>1260</v>
      </c>
      <c r="B770" s="1">
        <v>43328</v>
      </c>
      <c r="C770" t="s">
        <v>28</v>
      </c>
      <c r="D770" t="s">
        <v>64</v>
      </c>
      <c r="E770" t="s">
        <v>30</v>
      </c>
      <c r="F770" t="s">
        <v>55</v>
      </c>
      <c r="G770" t="s">
        <v>56</v>
      </c>
      <c r="H770" t="s">
        <v>46</v>
      </c>
      <c r="I770" t="s">
        <v>34</v>
      </c>
      <c r="J770" t="s">
        <v>96</v>
      </c>
      <c r="K770" s="2">
        <v>20989</v>
      </c>
      <c r="L770" t="s">
        <v>36</v>
      </c>
      <c r="M770" t="s">
        <v>37</v>
      </c>
      <c r="N770" t="s">
        <v>84</v>
      </c>
      <c r="O770" t="s">
        <v>67</v>
      </c>
      <c r="P770" t="s">
        <v>40</v>
      </c>
      <c r="Q770">
        <v>3</v>
      </c>
      <c r="R770" s="2">
        <v>44978</v>
      </c>
      <c r="S770">
        <v>5</v>
      </c>
      <c r="T770">
        <v>2</v>
      </c>
      <c r="U770">
        <v>5</v>
      </c>
      <c r="V770" s="1">
        <v>44886</v>
      </c>
      <c r="W770" t="s">
        <v>41</v>
      </c>
      <c r="X770" t="s">
        <v>42</v>
      </c>
      <c r="Y770" t="s">
        <v>63</v>
      </c>
      <c r="Z770">
        <v>2</v>
      </c>
      <c r="AA770">
        <v>786.57</v>
      </c>
      <c r="AB770">
        <v>61</v>
      </c>
    </row>
    <row r="771" spans="1:28" x14ac:dyDescent="0.2">
      <c r="A771">
        <v>1261</v>
      </c>
      <c r="B771" s="1">
        <v>43826</v>
      </c>
      <c r="C771" t="s">
        <v>28</v>
      </c>
      <c r="D771" t="s">
        <v>94</v>
      </c>
      <c r="E771" t="s">
        <v>30</v>
      </c>
      <c r="F771" t="s">
        <v>46</v>
      </c>
      <c r="G771" t="s">
        <v>32</v>
      </c>
      <c r="H771" t="s">
        <v>33</v>
      </c>
      <c r="I771" t="s">
        <v>34</v>
      </c>
      <c r="J771" t="s">
        <v>70</v>
      </c>
      <c r="K771" s="2">
        <v>21820</v>
      </c>
      <c r="L771" t="s">
        <v>36</v>
      </c>
      <c r="M771" t="s">
        <v>37</v>
      </c>
      <c r="N771" t="s">
        <v>49</v>
      </c>
      <c r="O771" t="s">
        <v>67</v>
      </c>
      <c r="P771" t="s">
        <v>40</v>
      </c>
      <c r="Q771">
        <v>3</v>
      </c>
      <c r="R771" s="2">
        <v>45120</v>
      </c>
      <c r="S771">
        <v>2</v>
      </c>
      <c r="T771">
        <v>5</v>
      </c>
      <c r="U771">
        <v>4</v>
      </c>
      <c r="V771" s="1">
        <v>45133</v>
      </c>
      <c r="W771" t="s">
        <v>62</v>
      </c>
      <c r="X771" t="s">
        <v>51</v>
      </c>
      <c r="Y771" t="s">
        <v>52</v>
      </c>
      <c r="Z771">
        <v>3</v>
      </c>
      <c r="AA771">
        <v>613.92999999999995</v>
      </c>
      <c r="AB771">
        <v>60</v>
      </c>
    </row>
    <row r="772" spans="1:28" x14ac:dyDescent="0.2">
      <c r="A772">
        <v>1262</v>
      </c>
      <c r="B772" s="1">
        <v>44378</v>
      </c>
      <c r="C772" t="s">
        <v>28</v>
      </c>
      <c r="D772" t="s">
        <v>74</v>
      </c>
      <c r="E772" t="s">
        <v>108</v>
      </c>
      <c r="F772" t="s">
        <v>46</v>
      </c>
      <c r="G772" t="s">
        <v>45</v>
      </c>
      <c r="H772" t="s">
        <v>55</v>
      </c>
      <c r="I772" t="s">
        <v>34</v>
      </c>
      <c r="J772" t="s">
        <v>79</v>
      </c>
      <c r="K772" s="2">
        <v>28200</v>
      </c>
      <c r="L772" t="s">
        <v>36</v>
      </c>
      <c r="M772" t="s">
        <v>37</v>
      </c>
      <c r="N772" t="s">
        <v>49</v>
      </c>
      <c r="O772" t="s">
        <v>39</v>
      </c>
      <c r="P772" t="s">
        <v>40</v>
      </c>
      <c r="Q772">
        <v>3</v>
      </c>
      <c r="R772" s="2">
        <v>44911</v>
      </c>
      <c r="S772">
        <v>3</v>
      </c>
      <c r="T772">
        <v>4</v>
      </c>
      <c r="U772">
        <v>1</v>
      </c>
      <c r="V772" s="1">
        <v>44943</v>
      </c>
      <c r="W772" t="s">
        <v>92</v>
      </c>
      <c r="X772" t="s">
        <v>42</v>
      </c>
      <c r="Y772" t="s">
        <v>73</v>
      </c>
      <c r="Z772">
        <v>2</v>
      </c>
      <c r="AA772">
        <v>711.8</v>
      </c>
      <c r="AB772">
        <v>44</v>
      </c>
    </row>
    <row r="773" spans="1:28" x14ac:dyDescent="0.2">
      <c r="A773">
        <v>1263</v>
      </c>
      <c r="B773" s="1">
        <v>44854</v>
      </c>
      <c r="C773" t="s">
        <v>28</v>
      </c>
      <c r="D773" t="s">
        <v>81</v>
      </c>
      <c r="E773" t="s">
        <v>30</v>
      </c>
      <c r="F773" t="s">
        <v>55</v>
      </c>
      <c r="G773" t="s">
        <v>56</v>
      </c>
      <c r="H773" t="s">
        <v>55</v>
      </c>
      <c r="I773" t="s">
        <v>34</v>
      </c>
      <c r="J773" t="s">
        <v>100</v>
      </c>
      <c r="K773" s="2">
        <v>19312</v>
      </c>
      <c r="L773" t="s">
        <v>36</v>
      </c>
      <c r="M773" t="s">
        <v>37</v>
      </c>
      <c r="N773" t="s">
        <v>49</v>
      </c>
      <c r="O773" t="s">
        <v>77</v>
      </c>
      <c r="P773" t="s">
        <v>40</v>
      </c>
      <c r="Q773">
        <v>3</v>
      </c>
      <c r="R773" s="2">
        <v>44950</v>
      </c>
      <c r="S773">
        <v>4</v>
      </c>
      <c r="T773">
        <v>5</v>
      </c>
      <c r="U773">
        <v>3</v>
      </c>
      <c r="V773" s="1">
        <v>44988</v>
      </c>
      <c r="W773" t="s">
        <v>92</v>
      </c>
      <c r="X773" t="s">
        <v>42</v>
      </c>
      <c r="Y773" t="s">
        <v>43</v>
      </c>
      <c r="Z773">
        <v>5</v>
      </c>
      <c r="AA773">
        <v>784.1</v>
      </c>
      <c r="AB773">
        <v>70</v>
      </c>
    </row>
    <row r="774" spans="1:28" x14ac:dyDescent="0.2">
      <c r="A774">
        <v>1264</v>
      </c>
      <c r="B774" s="1">
        <v>43511</v>
      </c>
      <c r="C774" t="s">
        <v>28</v>
      </c>
      <c r="D774" t="s">
        <v>54</v>
      </c>
      <c r="E774" t="s">
        <v>30</v>
      </c>
      <c r="F774" t="s">
        <v>55</v>
      </c>
      <c r="G774" t="s">
        <v>32</v>
      </c>
      <c r="H774" t="s">
        <v>55</v>
      </c>
      <c r="I774" t="s">
        <v>34</v>
      </c>
      <c r="J774" t="s">
        <v>70</v>
      </c>
      <c r="K774" s="2">
        <v>36091</v>
      </c>
      <c r="L774" t="s">
        <v>36</v>
      </c>
      <c r="M774" t="s">
        <v>37</v>
      </c>
      <c r="N774" t="s">
        <v>49</v>
      </c>
      <c r="O774" t="s">
        <v>67</v>
      </c>
      <c r="P774" t="s">
        <v>40</v>
      </c>
      <c r="Q774">
        <v>3</v>
      </c>
      <c r="R774" s="2">
        <v>45037</v>
      </c>
      <c r="S774">
        <v>3</v>
      </c>
      <c r="T774">
        <v>5</v>
      </c>
      <c r="U774">
        <v>4</v>
      </c>
      <c r="V774" s="1">
        <v>45062</v>
      </c>
      <c r="W774" t="s">
        <v>50</v>
      </c>
      <c r="X774" t="s">
        <v>42</v>
      </c>
      <c r="Y774" t="s">
        <v>43</v>
      </c>
      <c r="Z774">
        <v>5</v>
      </c>
      <c r="AA774">
        <v>509.67</v>
      </c>
      <c r="AB774">
        <v>21</v>
      </c>
    </row>
    <row r="775" spans="1:28" x14ac:dyDescent="0.2">
      <c r="A775">
        <v>1265</v>
      </c>
      <c r="B775" s="1">
        <v>44578</v>
      </c>
      <c r="C775" t="s">
        <v>28</v>
      </c>
      <c r="D775" t="s">
        <v>69</v>
      </c>
      <c r="E775" t="s">
        <v>108</v>
      </c>
      <c r="F775" t="s">
        <v>46</v>
      </c>
      <c r="G775" t="s">
        <v>32</v>
      </c>
      <c r="H775" t="s">
        <v>55</v>
      </c>
      <c r="I775" t="s">
        <v>34</v>
      </c>
      <c r="J775" t="s">
        <v>70</v>
      </c>
      <c r="K775" s="2">
        <v>27908</v>
      </c>
      <c r="L775" t="s">
        <v>36</v>
      </c>
      <c r="M775" t="s">
        <v>48</v>
      </c>
      <c r="N775" t="s">
        <v>72</v>
      </c>
      <c r="O775" t="s">
        <v>39</v>
      </c>
      <c r="P775" t="s">
        <v>40</v>
      </c>
      <c r="Q775">
        <v>3</v>
      </c>
      <c r="R775" s="2">
        <v>45105</v>
      </c>
      <c r="S775">
        <v>4</v>
      </c>
      <c r="T775">
        <v>2</v>
      </c>
      <c r="U775">
        <v>5</v>
      </c>
      <c r="V775" s="1">
        <v>45092</v>
      </c>
      <c r="W775" t="s">
        <v>41</v>
      </c>
      <c r="X775" t="s">
        <v>42</v>
      </c>
      <c r="Y775" t="s">
        <v>52</v>
      </c>
      <c r="Z775">
        <v>4</v>
      </c>
      <c r="AA775">
        <v>494.96</v>
      </c>
      <c r="AB775">
        <v>46</v>
      </c>
    </row>
    <row r="776" spans="1:28" x14ac:dyDescent="0.2">
      <c r="A776">
        <v>1266</v>
      </c>
      <c r="B776" s="1">
        <v>44514</v>
      </c>
      <c r="C776" t="s">
        <v>28</v>
      </c>
      <c r="D776" t="s">
        <v>29</v>
      </c>
      <c r="E776" t="s">
        <v>108</v>
      </c>
      <c r="F776" t="s">
        <v>55</v>
      </c>
      <c r="G776" t="s">
        <v>45</v>
      </c>
      <c r="H776" t="s">
        <v>55</v>
      </c>
      <c r="I776" t="s">
        <v>34</v>
      </c>
      <c r="J776" t="s">
        <v>96</v>
      </c>
      <c r="K776" s="2">
        <v>26027</v>
      </c>
      <c r="L776" t="s">
        <v>36</v>
      </c>
      <c r="M776" t="s">
        <v>48</v>
      </c>
      <c r="N776" t="s">
        <v>49</v>
      </c>
      <c r="O776" t="s">
        <v>77</v>
      </c>
      <c r="P776" t="s">
        <v>40</v>
      </c>
      <c r="Q776">
        <v>3</v>
      </c>
      <c r="R776" s="2">
        <v>45014</v>
      </c>
      <c r="S776">
        <v>1</v>
      </c>
      <c r="T776">
        <v>3</v>
      </c>
      <c r="U776">
        <v>1</v>
      </c>
      <c r="V776" s="1">
        <v>45015</v>
      </c>
      <c r="W776" t="s">
        <v>62</v>
      </c>
      <c r="X776" t="s">
        <v>42</v>
      </c>
      <c r="Y776" t="s">
        <v>52</v>
      </c>
      <c r="Z776">
        <v>5</v>
      </c>
      <c r="AA776">
        <v>465.72</v>
      </c>
      <c r="AB776">
        <v>50</v>
      </c>
    </row>
    <row r="777" spans="1:28" x14ac:dyDescent="0.2">
      <c r="A777">
        <v>1267</v>
      </c>
      <c r="B777" s="1">
        <v>44149</v>
      </c>
      <c r="C777" t="s">
        <v>28</v>
      </c>
      <c r="D777" t="s">
        <v>85</v>
      </c>
      <c r="E777" t="s">
        <v>30</v>
      </c>
      <c r="F777" t="s">
        <v>46</v>
      </c>
      <c r="G777" t="s">
        <v>32</v>
      </c>
      <c r="H777" t="s">
        <v>55</v>
      </c>
      <c r="I777" t="s">
        <v>34</v>
      </c>
      <c r="J777" t="s">
        <v>65</v>
      </c>
      <c r="K777" s="2">
        <v>26187</v>
      </c>
      <c r="L777" t="s">
        <v>36</v>
      </c>
      <c r="M777" t="s">
        <v>37</v>
      </c>
      <c r="N777" t="s">
        <v>38</v>
      </c>
      <c r="O777" t="s">
        <v>77</v>
      </c>
      <c r="P777" t="s">
        <v>40</v>
      </c>
      <c r="Q777">
        <v>3</v>
      </c>
      <c r="R777" s="2">
        <v>45041</v>
      </c>
      <c r="S777">
        <v>4</v>
      </c>
      <c r="T777">
        <v>1</v>
      </c>
      <c r="U777">
        <v>5</v>
      </c>
      <c r="V777" s="1">
        <v>44984</v>
      </c>
      <c r="W777" t="s">
        <v>68</v>
      </c>
      <c r="X777" t="s">
        <v>42</v>
      </c>
      <c r="Y777" t="s">
        <v>43</v>
      </c>
      <c r="Z777">
        <v>1</v>
      </c>
      <c r="AA777">
        <v>507.43</v>
      </c>
      <c r="AB777">
        <v>49</v>
      </c>
    </row>
    <row r="778" spans="1:28" x14ac:dyDescent="0.2">
      <c r="A778">
        <v>1268</v>
      </c>
      <c r="B778" s="1">
        <v>44982</v>
      </c>
      <c r="C778" t="s">
        <v>28</v>
      </c>
      <c r="D778" t="s">
        <v>44</v>
      </c>
      <c r="E778" t="s">
        <v>30</v>
      </c>
      <c r="F778" t="s">
        <v>46</v>
      </c>
      <c r="G778" t="s">
        <v>45</v>
      </c>
      <c r="H778" t="s">
        <v>46</v>
      </c>
      <c r="I778" t="s">
        <v>34</v>
      </c>
      <c r="J778" t="s">
        <v>65</v>
      </c>
      <c r="K778" s="2">
        <v>22641</v>
      </c>
      <c r="L778" t="s">
        <v>36</v>
      </c>
      <c r="M778" t="s">
        <v>37</v>
      </c>
      <c r="N778" t="s">
        <v>60</v>
      </c>
      <c r="O778" t="s">
        <v>61</v>
      </c>
      <c r="P778" t="s">
        <v>40</v>
      </c>
      <c r="Q778">
        <v>3</v>
      </c>
      <c r="R778" s="2">
        <v>45034</v>
      </c>
      <c r="S778">
        <v>2</v>
      </c>
      <c r="T778">
        <v>1</v>
      </c>
      <c r="U778">
        <v>2</v>
      </c>
      <c r="V778" s="1">
        <v>45071</v>
      </c>
      <c r="W778" t="s">
        <v>62</v>
      </c>
      <c r="X778" t="s">
        <v>51</v>
      </c>
      <c r="Y778" t="s">
        <v>73</v>
      </c>
      <c r="Z778">
        <v>5</v>
      </c>
      <c r="AA778">
        <v>401.97</v>
      </c>
      <c r="AB778">
        <v>62</v>
      </c>
    </row>
    <row r="779" spans="1:28" x14ac:dyDescent="0.2">
      <c r="A779">
        <v>1269</v>
      </c>
      <c r="B779" s="1">
        <v>44796</v>
      </c>
      <c r="C779" t="s">
        <v>28</v>
      </c>
      <c r="D779" t="s">
        <v>87</v>
      </c>
      <c r="E779" t="s">
        <v>30</v>
      </c>
      <c r="F779" t="s">
        <v>31</v>
      </c>
      <c r="G779" t="s">
        <v>45</v>
      </c>
      <c r="H779" t="s">
        <v>55</v>
      </c>
      <c r="I779" t="s">
        <v>34</v>
      </c>
      <c r="J779" t="s">
        <v>105</v>
      </c>
      <c r="K779" s="2">
        <v>23860</v>
      </c>
      <c r="L779" t="s">
        <v>36</v>
      </c>
      <c r="M779" t="s">
        <v>37</v>
      </c>
      <c r="N779" t="s">
        <v>72</v>
      </c>
      <c r="O779" t="s">
        <v>77</v>
      </c>
      <c r="P779" t="s">
        <v>40</v>
      </c>
      <c r="Q779">
        <v>3</v>
      </c>
      <c r="R779" s="2">
        <v>44823</v>
      </c>
      <c r="S779">
        <v>1</v>
      </c>
      <c r="T779">
        <v>2</v>
      </c>
      <c r="U779">
        <v>4</v>
      </c>
      <c r="V779" s="1">
        <v>44918</v>
      </c>
      <c r="W779" t="s">
        <v>50</v>
      </c>
      <c r="X779" t="s">
        <v>51</v>
      </c>
      <c r="Y779" t="s">
        <v>73</v>
      </c>
      <c r="Z779">
        <v>4</v>
      </c>
      <c r="AA779">
        <v>813.9</v>
      </c>
      <c r="AB779">
        <v>57</v>
      </c>
    </row>
    <row r="780" spans="1:28" x14ac:dyDescent="0.2">
      <c r="A780">
        <v>1270</v>
      </c>
      <c r="B780" s="1">
        <v>43586</v>
      </c>
      <c r="C780" t="s">
        <v>28</v>
      </c>
      <c r="D780" t="s">
        <v>64</v>
      </c>
      <c r="E780" t="s">
        <v>30</v>
      </c>
      <c r="F780" t="s">
        <v>46</v>
      </c>
      <c r="G780" t="s">
        <v>32</v>
      </c>
      <c r="H780" t="s">
        <v>55</v>
      </c>
      <c r="I780" t="s">
        <v>34</v>
      </c>
      <c r="J780" t="s">
        <v>70</v>
      </c>
      <c r="K780" s="2">
        <v>24762</v>
      </c>
      <c r="L780" t="s">
        <v>36</v>
      </c>
      <c r="M780" t="s">
        <v>37</v>
      </c>
      <c r="N780" t="s">
        <v>49</v>
      </c>
      <c r="O780" t="s">
        <v>67</v>
      </c>
      <c r="P780" t="s">
        <v>40</v>
      </c>
      <c r="Q780">
        <v>3</v>
      </c>
      <c r="R780" s="2">
        <v>45001</v>
      </c>
      <c r="S780">
        <v>5</v>
      </c>
      <c r="T780">
        <v>5</v>
      </c>
      <c r="U780">
        <v>1</v>
      </c>
      <c r="V780" s="1">
        <v>44794</v>
      </c>
      <c r="W780" t="s">
        <v>41</v>
      </c>
      <c r="X780" t="s">
        <v>51</v>
      </c>
      <c r="Y780" t="s">
        <v>63</v>
      </c>
      <c r="Z780">
        <v>2</v>
      </c>
      <c r="AA780">
        <v>360.02</v>
      </c>
      <c r="AB780">
        <v>52</v>
      </c>
    </row>
    <row r="781" spans="1:28" x14ac:dyDescent="0.2">
      <c r="A781">
        <v>1271</v>
      </c>
      <c r="B781" s="1">
        <v>43947</v>
      </c>
      <c r="C781" t="s">
        <v>28</v>
      </c>
      <c r="D781" t="s">
        <v>94</v>
      </c>
      <c r="E781" t="s">
        <v>30</v>
      </c>
      <c r="F781" t="s">
        <v>55</v>
      </c>
      <c r="G781" t="s">
        <v>45</v>
      </c>
      <c r="H781" t="s">
        <v>46</v>
      </c>
      <c r="I781" t="s">
        <v>34</v>
      </c>
      <c r="J781" t="s">
        <v>58</v>
      </c>
      <c r="K781" s="2">
        <v>18948</v>
      </c>
      <c r="L781" t="s">
        <v>36</v>
      </c>
      <c r="M781" t="s">
        <v>37</v>
      </c>
      <c r="N781" t="s">
        <v>84</v>
      </c>
      <c r="O781" t="s">
        <v>39</v>
      </c>
      <c r="P781" t="s">
        <v>40</v>
      </c>
      <c r="Q781">
        <v>3</v>
      </c>
      <c r="R781" s="2">
        <v>44939</v>
      </c>
      <c r="S781">
        <v>3</v>
      </c>
      <c r="T781">
        <v>1</v>
      </c>
      <c r="U781">
        <v>5</v>
      </c>
      <c r="V781" s="1">
        <v>44972</v>
      </c>
      <c r="W781" t="s">
        <v>50</v>
      </c>
      <c r="X781" t="s">
        <v>42</v>
      </c>
      <c r="Y781" t="s">
        <v>63</v>
      </c>
      <c r="Z781">
        <v>3</v>
      </c>
      <c r="AA781">
        <v>692.71</v>
      </c>
      <c r="AB781">
        <v>69</v>
      </c>
    </row>
    <row r="782" spans="1:28" x14ac:dyDescent="0.2">
      <c r="A782">
        <v>1272</v>
      </c>
      <c r="B782" s="1">
        <v>44235</v>
      </c>
      <c r="C782" t="s">
        <v>28</v>
      </c>
      <c r="D782" t="s">
        <v>74</v>
      </c>
      <c r="E782" t="s">
        <v>30</v>
      </c>
      <c r="F782" t="s">
        <v>55</v>
      </c>
      <c r="G782" t="s">
        <v>32</v>
      </c>
      <c r="H782" t="s">
        <v>33</v>
      </c>
      <c r="I782" t="s">
        <v>34</v>
      </c>
      <c r="J782" t="s">
        <v>75</v>
      </c>
      <c r="K782" s="2">
        <v>26080</v>
      </c>
      <c r="L782" t="s">
        <v>36</v>
      </c>
      <c r="M782" t="s">
        <v>37</v>
      </c>
      <c r="N782" t="s">
        <v>72</v>
      </c>
      <c r="O782" t="s">
        <v>61</v>
      </c>
      <c r="P782" t="s">
        <v>40</v>
      </c>
      <c r="Q782">
        <v>3</v>
      </c>
      <c r="R782" s="2">
        <v>44865</v>
      </c>
      <c r="S782">
        <v>4</v>
      </c>
      <c r="T782">
        <v>2</v>
      </c>
      <c r="U782">
        <v>3</v>
      </c>
      <c r="V782" s="1">
        <v>44981</v>
      </c>
      <c r="W782" t="s">
        <v>68</v>
      </c>
      <c r="X782" t="s">
        <v>42</v>
      </c>
      <c r="Y782" t="s">
        <v>43</v>
      </c>
      <c r="Z782">
        <v>3</v>
      </c>
      <c r="AA782">
        <v>233.12</v>
      </c>
      <c r="AB782">
        <v>50</v>
      </c>
    </row>
    <row r="783" spans="1:28" x14ac:dyDescent="0.2">
      <c r="A783">
        <v>1273</v>
      </c>
      <c r="B783" s="1">
        <v>44133</v>
      </c>
      <c r="C783" t="s">
        <v>133</v>
      </c>
      <c r="D783" t="s">
        <v>81</v>
      </c>
      <c r="E783" t="s">
        <v>30</v>
      </c>
      <c r="F783" t="s">
        <v>31</v>
      </c>
      <c r="G783" t="s">
        <v>45</v>
      </c>
      <c r="H783" t="s">
        <v>46</v>
      </c>
      <c r="I783" t="s">
        <v>34</v>
      </c>
      <c r="J783" t="s">
        <v>58</v>
      </c>
      <c r="K783" s="2">
        <v>20893</v>
      </c>
      <c r="L783" t="s">
        <v>36</v>
      </c>
      <c r="M783" t="s">
        <v>37</v>
      </c>
      <c r="N783" t="s">
        <v>84</v>
      </c>
      <c r="O783" t="s">
        <v>61</v>
      </c>
      <c r="P783" t="s">
        <v>40</v>
      </c>
      <c r="Q783">
        <v>3</v>
      </c>
      <c r="R783" s="2">
        <v>44983</v>
      </c>
      <c r="S783">
        <v>1</v>
      </c>
      <c r="T783">
        <v>4</v>
      </c>
      <c r="U783">
        <v>2</v>
      </c>
      <c r="V783" s="1">
        <v>45070</v>
      </c>
      <c r="W783" t="s">
        <v>68</v>
      </c>
      <c r="X783" t="s">
        <v>51</v>
      </c>
      <c r="Y783" t="s">
        <v>52</v>
      </c>
      <c r="Z783">
        <v>1</v>
      </c>
      <c r="AA783">
        <v>881.48</v>
      </c>
      <c r="AB783">
        <v>63</v>
      </c>
    </row>
    <row r="784" spans="1:28" x14ac:dyDescent="0.2">
      <c r="A784">
        <v>1274</v>
      </c>
      <c r="B784" s="1">
        <v>44887</v>
      </c>
      <c r="C784" t="s">
        <v>133</v>
      </c>
      <c r="D784" t="s">
        <v>54</v>
      </c>
      <c r="E784" t="s">
        <v>30</v>
      </c>
      <c r="F784" t="s">
        <v>31</v>
      </c>
      <c r="G784" t="s">
        <v>45</v>
      </c>
      <c r="H784" t="s">
        <v>55</v>
      </c>
      <c r="I784" t="s">
        <v>34</v>
      </c>
      <c r="J784" t="s">
        <v>79</v>
      </c>
      <c r="K784" s="2">
        <v>27704</v>
      </c>
      <c r="L784" t="s">
        <v>36</v>
      </c>
      <c r="M784" t="s">
        <v>37</v>
      </c>
      <c r="N784" t="s">
        <v>72</v>
      </c>
      <c r="O784" t="s">
        <v>61</v>
      </c>
      <c r="P784" t="s">
        <v>40</v>
      </c>
      <c r="Q784">
        <v>3</v>
      </c>
      <c r="R784" s="2">
        <v>45004</v>
      </c>
      <c r="S784">
        <v>2</v>
      </c>
      <c r="T784">
        <v>1</v>
      </c>
      <c r="U784">
        <v>5</v>
      </c>
      <c r="V784" s="1">
        <v>45068</v>
      </c>
      <c r="W784" t="s">
        <v>62</v>
      </c>
      <c r="X784" t="s">
        <v>42</v>
      </c>
      <c r="Y784" t="s">
        <v>73</v>
      </c>
      <c r="Z784">
        <v>2</v>
      </c>
      <c r="AA784">
        <v>448.48</v>
      </c>
      <c r="AB784">
        <v>47</v>
      </c>
    </row>
    <row r="785" spans="1:28" x14ac:dyDescent="0.2">
      <c r="A785">
        <v>1275</v>
      </c>
      <c r="B785" s="1">
        <v>44845</v>
      </c>
      <c r="C785" t="s">
        <v>106</v>
      </c>
      <c r="D785" t="s">
        <v>29</v>
      </c>
      <c r="E785" t="s">
        <v>30</v>
      </c>
      <c r="F785" t="s">
        <v>55</v>
      </c>
      <c r="G785" t="s">
        <v>56</v>
      </c>
      <c r="H785" t="s">
        <v>46</v>
      </c>
      <c r="I785" t="s">
        <v>34</v>
      </c>
      <c r="J785" t="s">
        <v>47</v>
      </c>
      <c r="K785" s="2">
        <v>30121</v>
      </c>
      <c r="L785" t="s">
        <v>36</v>
      </c>
      <c r="M785" t="s">
        <v>37</v>
      </c>
      <c r="N785" t="s">
        <v>60</v>
      </c>
      <c r="O785" t="s">
        <v>61</v>
      </c>
      <c r="P785" t="s">
        <v>40</v>
      </c>
      <c r="Q785">
        <v>3</v>
      </c>
      <c r="R785" s="2">
        <v>44792</v>
      </c>
      <c r="S785">
        <v>2</v>
      </c>
      <c r="T785">
        <v>5</v>
      </c>
      <c r="U785">
        <v>3</v>
      </c>
      <c r="V785" s="1">
        <v>45090</v>
      </c>
      <c r="W785" t="s">
        <v>92</v>
      </c>
      <c r="X785" t="s">
        <v>51</v>
      </c>
      <c r="Y785" t="s">
        <v>52</v>
      </c>
      <c r="Z785">
        <v>3</v>
      </c>
      <c r="AA785">
        <v>288.88</v>
      </c>
      <c r="AB785">
        <v>40</v>
      </c>
    </row>
    <row r="786" spans="1:28" x14ac:dyDescent="0.2">
      <c r="A786">
        <v>1276</v>
      </c>
      <c r="B786" s="1">
        <v>43827</v>
      </c>
      <c r="C786" t="s">
        <v>106</v>
      </c>
      <c r="D786" t="s">
        <v>44</v>
      </c>
      <c r="E786" t="s">
        <v>30</v>
      </c>
      <c r="F786" t="s">
        <v>55</v>
      </c>
      <c r="G786" t="s">
        <v>45</v>
      </c>
      <c r="H786" t="s">
        <v>55</v>
      </c>
      <c r="I786" t="s">
        <v>34</v>
      </c>
      <c r="J786" t="s">
        <v>58</v>
      </c>
      <c r="K786" s="2">
        <v>28601</v>
      </c>
      <c r="L786" t="s">
        <v>36</v>
      </c>
      <c r="M786" t="s">
        <v>37</v>
      </c>
      <c r="N786" t="s">
        <v>38</v>
      </c>
      <c r="O786" t="s">
        <v>67</v>
      </c>
      <c r="P786" t="s">
        <v>40</v>
      </c>
      <c r="Q786">
        <v>3</v>
      </c>
      <c r="R786" s="2">
        <v>45078</v>
      </c>
      <c r="S786">
        <v>1</v>
      </c>
      <c r="T786">
        <v>4</v>
      </c>
      <c r="U786">
        <v>5</v>
      </c>
      <c r="V786" s="1">
        <v>45122</v>
      </c>
      <c r="W786" t="s">
        <v>92</v>
      </c>
      <c r="X786" t="s">
        <v>42</v>
      </c>
      <c r="Y786" t="s">
        <v>43</v>
      </c>
      <c r="Z786">
        <v>1</v>
      </c>
      <c r="AA786">
        <v>572.45000000000005</v>
      </c>
      <c r="AB786">
        <v>41</v>
      </c>
    </row>
    <row r="787" spans="1:28" x14ac:dyDescent="0.2">
      <c r="A787">
        <v>1277</v>
      </c>
      <c r="B787" s="1">
        <v>43566</v>
      </c>
      <c r="C787" t="s">
        <v>106</v>
      </c>
      <c r="D787" t="s">
        <v>87</v>
      </c>
      <c r="E787" t="s">
        <v>30</v>
      </c>
      <c r="F787" t="s">
        <v>55</v>
      </c>
      <c r="G787" t="s">
        <v>32</v>
      </c>
      <c r="H787" t="s">
        <v>46</v>
      </c>
      <c r="I787" t="s">
        <v>34</v>
      </c>
      <c r="J787" t="s">
        <v>89</v>
      </c>
      <c r="K787" s="2">
        <v>30812</v>
      </c>
      <c r="L787" t="s">
        <v>36</v>
      </c>
      <c r="M787" t="s">
        <v>37</v>
      </c>
      <c r="N787" t="s">
        <v>60</v>
      </c>
      <c r="O787" t="s">
        <v>61</v>
      </c>
      <c r="P787" t="s">
        <v>40</v>
      </c>
      <c r="Q787">
        <v>3</v>
      </c>
      <c r="R787" s="2">
        <v>45139</v>
      </c>
      <c r="S787">
        <v>4</v>
      </c>
      <c r="T787">
        <v>3</v>
      </c>
      <c r="U787">
        <v>3</v>
      </c>
      <c r="V787" s="1">
        <v>45012</v>
      </c>
      <c r="W787" t="s">
        <v>92</v>
      </c>
      <c r="X787" t="s">
        <v>42</v>
      </c>
      <c r="Y787" t="s">
        <v>73</v>
      </c>
      <c r="Z787">
        <v>3</v>
      </c>
      <c r="AA787">
        <v>141.38</v>
      </c>
      <c r="AB787">
        <v>35</v>
      </c>
    </row>
    <row r="788" spans="1:28" x14ac:dyDescent="0.2">
      <c r="A788">
        <v>1278</v>
      </c>
      <c r="B788" s="1">
        <v>44130</v>
      </c>
      <c r="C788" t="s">
        <v>106</v>
      </c>
      <c r="D788" t="s">
        <v>81</v>
      </c>
      <c r="E788" t="s">
        <v>30</v>
      </c>
      <c r="F788" t="s">
        <v>55</v>
      </c>
      <c r="G788" t="s">
        <v>45</v>
      </c>
      <c r="H788" t="s">
        <v>46</v>
      </c>
      <c r="I788" t="s">
        <v>34</v>
      </c>
      <c r="J788" t="s">
        <v>70</v>
      </c>
      <c r="K788" s="2">
        <v>20314</v>
      </c>
      <c r="L788" t="s">
        <v>36</v>
      </c>
      <c r="M788" t="s">
        <v>37</v>
      </c>
      <c r="N788" t="s">
        <v>38</v>
      </c>
      <c r="O788" t="s">
        <v>77</v>
      </c>
      <c r="P788" t="s">
        <v>40</v>
      </c>
      <c r="Q788">
        <v>3</v>
      </c>
      <c r="R788" s="2">
        <v>45074</v>
      </c>
      <c r="S788">
        <v>2</v>
      </c>
      <c r="T788">
        <v>4</v>
      </c>
      <c r="U788">
        <v>5</v>
      </c>
      <c r="V788" s="1">
        <v>44961</v>
      </c>
      <c r="W788" t="s">
        <v>68</v>
      </c>
      <c r="X788" t="s">
        <v>42</v>
      </c>
      <c r="Y788" t="s">
        <v>52</v>
      </c>
      <c r="Z788">
        <v>1</v>
      </c>
      <c r="AA788">
        <v>331.46</v>
      </c>
      <c r="AB788">
        <v>65</v>
      </c>
    </row>
    <row r="789" spans="1:28" x14ac:dyDescent="0.2">
      <c r="A789">
        <v>1279</v>
      </c>
      <c r="B789" s="1">
        <v>44386</v>
      </c>
      <c r="C789" t="s">
        <v>106</v>
      </c>
      <c r="D789" t="s">
        <v>54</v>
      </c>
      <c r="E789" t="s">
        <v>108</v>
      </c>
      <c r="F789" t="s">
        <v>46</v>
      </c>
      <c r="G789" t="s">
        <v>56</v>
      </c>
      <c r="H789" t="s">
        <v>55</v>
      </c>
      <c r="I789" t="s">
        <v>34</v>
      </c>
      <c r="J789" t="s">
        <v>70</v>
      </c>
      <c r="K789" s="2">
        <v>34531</v>
      </c>
      <c r="L789" t="s">
        <v>36</v>
      </c>
      <c r="M789" t="s">
        <v>37</v>
      </c>
      <c r="N789" t="s">
        <v>38</v>
      </c>
      <c r="O789" t="s">
        <v>67</v>
      </c>
      <c r="P789" t="s">
        <v>40</v>
      </c>
      <c r="Q789">
        <v>3</v>
      </c>
      <c r="R789" s="2">
        <v>44845</v>
      </c>
      <c r="S789">
        <v>3</v>
      </c>
      <c r="T789">
        <v>3</v>
      </c>
      <c r="U789">
        <v>5</v>
      </c>
      <c r="V789" s="1">
        <v>44888</v>
      </c>
      <c r="W789" t="s">
        <v>68</v>
      </c>
      <c r="X789" t="s">
        <v>42</v>
      </c>
      <c r="Y789" t="s">
        <v>52</v>
      </c>
      <c r="Z789">
        <v>4</v>
      </c>
      <c r="AA789">
        <v>704.93</v>
      </c>
      <c r="AB789">
        <v>27</v>
      </c>
    </row>
    <row r="790" spans="1:28" x14ac:dyDescent="0.2">
      <c r="A790">
        <v>1280</v>
      </c>
      <c r="B790" s="1">
        <v>44573</v>
      </c>
      <c r="C790" t="s">
        <v>28</v>
      </c>
      <c r="D790" t="s">
        <v>87</v>
      </c>
      <c r="E790" t="s">
        <v>30</v>
      </c>
      <c r="F790" t="s">
        <v>55</v>
      </c>
      <c r="G790" t="s">
        <v>32</v>
      </c>
      <c r="H790" t="s">
        <v>33</v>
      </c>
      <c r="I790" t="s">
        <v>34</v>
      </c>
      <c r="J790" t="s">
        <v>58</v>
      </c>
      <c r="K790" s="2">
        <v>16181</v>
      </c>
      <c r="L790" t="s">
        <v>36</v>
      </c>
      <c r="M790" t="s">
        <v>48</v>
      </c>
      <c r="N790" t="s">
        <v>72</v>
      </c>
      <c r="O790" t="s">
        <v>61</v>
      </c>
      <c r="P790" t="s">
        <v>40</v>
      </c>
      <c r="Q790">
        <v>3</v>
      </c>
      <c r="R790" s="2">
        <v>44877</v>
      </c>
      <c r="S790">
        <v>3</v>
      </c>
      <c r="T790">
        <v>2</v>
      </c>
      <c r="U790">
        <v>2</v>
      </c>
      <c r="V790" s="1">
        <v>45085</v>
      </c>
      <c r="W790" t="s">
        <v>41</v>
      </c>
      <c r="X790" t="s">
        <v>51</v>
      </c>
      <c r="Y790" t="s">
        <v>63</v>
      </c>
      <c r="Z790">
        <v>4</v>
      </c>
      <c r="AA790">
        <v>450.65</v>
      </c>
      <c r="AB790">
        <v>78</v>
      </c>
    </row>
    <row r="791" spans="1:28" x14ac:dyDescent="0.2">
      <c r="A791">
        <v>1281</v>
      </c>
      <c r="B791" s="1">
        <v>44050</v>
      </c>
      <c r="C791" t="s">
        <v>28</v>
      </c>
      <c r="D791" t="s">
        <v>64</v>
      </c>
      <c r="E791" t="s">
        <v>108</v>
      </c>
      <c r="F791" t="s">
        <v>46</v>
      </c>
      <c r="G791" t="s">
        <v>45</v>
      </c>
      <c r="H791" t="s">
        <v>46</v>
      </c>
      <c r="I791" t="s">
        <v>34</v>
      </c>
      <c r="J791" t="s">
        <v>35</v>
      </c>
      <c r="K791" s="2">
        <v>25191</v>
      </c>
      <c r="L791" t="s">
        <v>36</v>
      </c>
      <c r="M791" t="s">
        <v>37</v>
      </c>
      <c r="N791" t="s">
        <v>38</v>
      </c>
      <c r="O791" t="s">
        <v>39</v>
      </c>
      <c r="P791" t="s">
        <v>40</v>
      </c>
      <c r="Q791">
        <v>3</v>
      </c>
      <c r="R791" s="2">
        <v>45077</v>
      </c>
      <c r="S791">
        <v>4</v>
      </c>
      <c r="T791">
        <v>2</v>
      </c>
      <c r="U791">
        <v>1</v>
      </c>
      <c r="V791" s="1">
        <v>44957</v>
      </c>
      <c r="W791" t="s">
        <v>62</v>
      </c>
      <c r="X791" t="s">
        <v>51</v>
      </c>
      <c r="Y791" t="s">
        <v>63</v>
      </c>
      <c r="Z791">
        <v>3</v>
      </c>
      <c r="AA791">
        <v>775.97</v>
      </c>
      <c r="AB791">
        <v>52</v>
      </c>
    </row>
    <row r="792" spans="1:28" x14ac:dyDescent="0.2">
      <c r="A792">
        <v>1282</v>
      </c>
      <c r="B792" s="1">
        <v>44296</v>
      </c>
      <c r="C792" t="s">
        <v>28</v>
      </c>
      <c r="D792" t="s">
        <v>69</v>
      </c>
      <c r="E792" t="s">
        <v>108</v>
      </c>
      <c r="F792" t="s">
        <v>46</v>
      </c>
      <c r="G792" t="s">
        <v>45</v>
      </c>
      <c r="H792" t="s">
        <v>33</v>
      </c>
      <c r="I792" t="s">
        <v>34</v>
      </c>
      <c r="J792" t="s">
        <v>102</v>
      </c>
      <c r="K792" s="2">
        <v>29583</v>
      </c>
      <c r="L792" t="s">
        <v>36</v>
      </c>
      <c r="M792" t="s">
        <v>37</v>
      </c>
      <c r="N792" t="s">
        <v>72</v>
      </c>
      <c r="O792" t="s">
        <v>39</v>
      </c>
      <c r="P792" t="s">
        <v>40</v>
      </c>
      <c r="Q792">
        <v>3</v>
      </c>
      <c r="R792" s="2">
        <v>44838</v>
      </c>
      <c r="S792">
        <v>3</v>
      </c>
      <c r="T792">
        <v>3</v>
      </c>
      <c r="U792">
        <v>1</v>
      </c>
      <c r="V792" s="1">
        <v>44977</v>
      </c>
      <c r="W792" t="s">
        <v>41</v>
      </c>
      <c r="X792" t="s">
        <v>51</v>
      </c>
      <c r="Y792" t="s">
        <v>73</v>
      </c>
      <c r="Z792">
        <v>4</v>
      </c>
      <c r="AA792">
        <v>376</v>
      </c>
      <c r="AB792">
        <v>41</v>
      </c>
    </row>
    <row r="793" spans="1:28" x14ac:dyDescent="0.2">
      <c r="A793">
        <v>1283</v>
      </c>
      <c r="B793" s="1">
        <v>44207</v>
      </c>
      <c r="C793" t="s">
        <v>28</v>
      </c>
      <c r="D793" t="s">
        <v>29</v>
      </c>
      <c r="E793" t="s">
        <v>30</v>
      </c>
      <c r="F793" t="s">
        <v>55</v>
      </c>
      <c r="G793" t="s">
        <v>32</v>
      </c>
      <c r="H793" t="s">
        <v>55</v>
      </c>
      <c r="I793" t="s">
        <v>34</v>
      </c>
      <c r="J793" t="s">
        <v>75</v>
      </c>
      <c r="K793" s="2">
        <v>36574</v>
      </c>
      <c r="L793" t="s">
        <v>36</v>
      </c>
      <c r="M793" t="s">
        <v>37</v>
      </c>
      <c r="N793" t="s">
        <v>84</v>
      </c>
      <c r="O793" t="s">
        <v>67</v>
      </c>
      <c r="P793" t="s">
        <v>40</v>
      </c>
      <c r="Q793">
        <v>3</v>
      </c>
      <c r="R793" s="2">
        <v>44884</v>
      </c>
      <c r="S793">
        <v>2</v>
      </c>
      <c r="T793">
        <v>1</v>
      </c>
      <c r="U793">
        <v>2</v>
      </c>
      <c r="V793" s="1">
        <v>44943</v>
      </c>
      <c r="W793" t="s">
        <v>50</v>
      </c>
      <c r="X793" t="s">
        <v>51</v>
      </c>
      <c r="Y793" t="s">
        <v>43</v>
      </c>
      <c r="Z793">
        <v>2</v>
      </c>
      <c r="AA793">
        <v>106.54</v>
      </c>
      <c r="AB793">
        <v>21</v>
      </c>
    </row>
    <row r="794" spans="1:28" x14ac:dyDescent="0.2">
      <c r="A794">
        <v>1284</v>
      </c>
      <c r="B794" s="1">
        <v>43807</v>
      </c>
      <c r="C794" t="s">
        <v>28</v>
      </c>
      <c r="D794" t="s">
        <v>44</v>
      </c>
      <c r="E794" t="s">
        <v>30</v>
      </c>
      <c r="F794" t="s">
        <v>31</v>
      </c>
      <c r="G794" t="s">
        <v>56</v>
      </c>
      <c r="H794" t="s">
        <v>55</v>
      </c>
      <c r="I794" t="s">
        <v>34</v>
      </c>
      <c r="J794" t="s">
        <v>75</v>
      </c>
      <c r="K794" s="2">
        <v>31075</v>
      </c>
      <c r="L794" t="s">
        <v>36</v>
      </c>
      <c r="M794" t="s">
        <v>37</v>
      </c>
      <c r="N794" t="s">
        <v>60</v>
      </c>
      <c r="O794" t="s">
        <v>67</v>
      </c>
      <c r="P794" t="s">
        <v>40</v>
      </c>
      <c r="Q794">
        <v>3</v>
      </c>
      <c r="R794" s="2">
        <v>44889</v>
      </c>
      <c r="S794">
        <v>5</v>
      </c>
      <c r="T794">
        <v>1</v>
      </c>
      <c r="U794">
        <v>5</v>
      </c>
      <c r="V794" s="1">
        <v>44875</v>
      </c>
      <c r="W794" t="s">
        <v>92</v>
      </c>
      <c r="X794" t="s">
        <v>51</v>
      </c>
      <c r="Y794" t="s">
        <v>63</v>
      </c>
      <c r="Z794">
        <v>1</v>
      </c>
      <c r="AA794">
        <v>852.87</v>
      </c>
      <c r="AB794">
        <v>34</v>
      </c>
    </row>
    <row r="795" spans="1:28" x14ac:dyDescent="0.2">
      <c r="A795">
        <v>1285</v>
      </c>
      <c r="B795" s="1">
        <v>44465</v>
      </c>
      <c r="C795" t="s">
        <v>28</v>
      </c>
      <c r="D795" t="s">
        <v>87</v>
      </c>
      <c r="E795" t="s">
        <v>30</v>
      </c>
      <c r="F795" t="s">
        <v>46</v>
      </c>
      <c r="G795" t="s">
        <v>32</v>
      </c>
      <c r="H795" t="s">
        <v>55</v>
      </c>
      <c r="I795" t="s">
        <v>34</v>
      </c>
      <c r="J795" t="s">
        <v>75</v>
      </c>
      <c r="K795" s="2">
        <v>34536</v>
      </c>
      <c r="L795" t="s">
        <v>36</v>
      </c>
      <c r="M795" t="s">
        <v>48</v>
      </c>
      <c r="N795" t="s">
        <v>49</v>
      </c>
      <c r="O795" t="s">
        <v>39</v>
      </c>
      <c r="P795" t="s">
        <v>40</v>
      </c>
      <c r="Q795">
        <v>3</v>
      </c>
      <c r="R795" s="2">
        <v>45112</v>
      </c>
      <c r="S795">
        <v>3</v>
      </c>
      <c r="T795">
        <v>2</v>
      </c>
      <c r="U795">
        <v>2</v>
      </c>
      <c r="V795" s="1">
        <v>44873</v>
      </c>
      <c r="W795" t="s">
        <v>62</v>
      </c>
      <c r="X795" t="s">
        <v>51</v>
      </c>
      <c r="Y795" t="s">
        <v>63</v>
      </c>
      <c r="Z795">
        <v>4</v>
      </c>
      <c r="AA795">
        <v>469.03</v>
      </c>
      <c r="AB795">
        <v>27</v>
      </c>
    </row>
    <row r="796" spans="1:28" x14ac:dyDescent="0.2">
      <c r="A796">
        <v>1286</v>
      </c>
      <c r="B796" s="1">
        <v>44448</v>
      </c>
      <c r="C796" t="s">
        <v>28</v>
      </c>
      <c r="D796" t="s">
        <v>81</v>
      </c>
      <c r="E796" t="s">
        <v>108</v>
      </c>
      <c r="F796" t="s">
        <v>55</v>
      </c>
      <c r="G796" t="s">
        <v>56</v>
      </c>
      <c r="H796" t="s">
        <v>33</v>
      </c>
      <c r="I796" t="s">
        <v>34</v>
      </c>
      <c r="J796" t="s">
        <v>70</v>
      </c>
      <c r="K796" s="2">
        <v>36305</v>
      </c>
      <c r="L796" t="s">
        <v>36</v>
      </c>
      <c r="M796" t="s">
        <v>48</v>
      </c>
      <c r="N796" t="s">
        <v>84</v>
      </c>
      <c r="O796" t="s">
        <v>77</v>
      </c>
      <c r="P796" t="s">
        <v>40</v>
      </c>
      <c r="Q796">
        <v>3</v>
      </c>
      <c r="R796" s="2">
        <v>45029</v>
      </c>
      <c r="S796">
        <v>1</v>
      </c>
      <c r="T796">
        <v>5</v>
      </c>
      <c r="U796">
        <v>1</v>
      </c>
      <c r="V796" s="1">
        <v>45074</v>
      </c>
      <c r="W796" t="s">
        <v>50</v>
      </c>
      <c r="X796" t="s">
        <v>42</v>
      </c>
      <c r="Y796" t="s">
        <v>52</v>
      </c>
      <c r="Z796">
        <v>2</v>
      </c>
      <c r="AA796">
        <v>274.85000000000002</v>
      </c>
      <c r="AB796">
        <v>22</v>
      </c>
    </row>
    <row r="797" spans="1:28" x14ac:dyDescent="0.2">
      <c r="A797">
        <v>1287</v>
      </c>
      <c r="B797" s="1">
        <v>44093</v>
      </c>
      <c r="C797" t="s">
        <v>28</v>
      </c>
      <c r="D797" t="s">
        <v>54</v>
      </c>
      <c r="E797" t="s">
        <v>108</v>
      </c>
      <c r="F797" t="s">
        <v>55</v>
      </c>
      <c r="G797" t="s">
        <v>45</v>
      </c>
      <c r="H797" t="s">
        <v>55</v>
      </c>
      <c r="I797" t="s">
        <v>34</v>
      </c>
      <c r="J797" t="s">
        <v>65</v>
      </c>
      <c r="K797" s="2">
        <v>15967</v>
      </c>
      <c r="L797" t="s">
        <v>36</v>
      </c>
      <c r="M797" t="s">
        <v>37</v>
      </c>
      <c r="N797" t="s">
        <v>72</v>
      </c>
      <c r="O797" t="s">
        <v>39</v>
      </c>
      <c r="P797" t="s">
        <v>40</v>
      </c>
      <c r="Q797">
        <v>3</v>
      </c>
      <c r="R797" s="2">
        <v>45137</v>
      </c>
      <c r="S797">
        <v>3</v>
      </c>
      <c r="T797">
        <v>5</v>
      </c>
      <c r="U797">
        <v>2</v>
      </c>
      <c r="V797" s="1">
        <v>45016</v>
      </c>
      <c r="W797" t="s">
        <v>68</v>
      </c>
      <c r="X797" t="s">
        <v>51</v>
      </c>
      <c r="Y797" t="s">
        <v>63</v>
      </c>
      <c r="Z797">
        <v>1</v>
      </c>
      <c r="AA797">
        <v>342.57</v>
      </c>
      <c r="AB797">
        <v>77</v>
      </c>
    </row>
    <row r="798" spans="1:28" x14ac:dyDescent="0.2">
      <c r="A798">
        <v>1288</v>
      </c>
      <c r="B798" s="1">
        <v>44572</v>
      </c>
      <c r="C798" t="s">
        <v>28</v>
      </c>
      <c r="D798" t="s">
        <v>94</v>
      </c>
      <c r="E798" t="s">
        <v>30</v>
      </c>
      <c r="F798" t="s">
        <v>55</v>
      </c>
      <c r="G798" t="s">
        <v>32</v>
      </c>
      <c r="H798" t="s">
        <v>46</v>
      </c>
      <c r="I798" t="s">
        <v>34</v>
      </c>
      <c r="J798" t="s">
        <v>47</v>
      </c>
      <c r="K798" s="2">
        <v>35944</v>
      </c>
      <c r="L798" t="s">
        <v>36</v>
      </c>
      <c r="M798" t="s">
        <v>37</v>
      </c>
      <c r="N798" t="s">
        <v>49</v>
      </c>
      <c r="O798" t="s">
        <v>61</v>
      </c>
      <c r="P798" t="s">
        <v>40</v>
      </c>
      <c r="Q798">
        <v>3</v>
      </c>
      <c r="R798" s="2">
        <v>45122</v>
      </c>
      <c r="S798">
        <v>2</v>
      </c>
      <c r="T798">
        <v>4</v>
      </c>
      <c r="U798">
        <v>5</v>
      </c>
      <c r="V798" s="1">
        <v>45059</v>
      </c>
      <c r="W798" t="s">
        <v>68</v>
      </c>
      <c r="X798" t="s">
        <v>51</v>
      </c>
      <c r="Y798" t="s">
        <v>52</v>
      </c>
      <c r="Z798">
        <v>5</v>
      </c>
      <c r="AA798">
        <v>948.31</v>
      </c>
      <c r="AB798">
        <v>24</v>
      </c>
    </row>
    <row r="799" spans="1:28" x14ac:dyDescent="0.2">
      <c r="A799">
        <v>1289</v>
      </c>
      <c r="B799" s="1">
        <v>43664</v>
      </c>
      <c r="C799" t="s">
        <v>28</v>
      </c>
      <c r="D799" t="s">
        <v>85</v>
      </c>
      <c r="E799" t="s">
        <v>30</v>
      </c>
      <c r="F799" t="s">
        <v>55</v>
      </c>
      <c r="G799" t="s">
        <v>32</v>
      </c>
      <c r="H799" t="s">
        <v>55</v>
      </c>
      <c r="I799" t="s">
        <v>34</v>
      </c>
      <c r="J799" t="s">
        <v>65</v>
      </c>
      <c r="K799" s="2">
        <v>15523</v>
      </c>
      <c r="L799" t="s">
        <v>36</v>
      </c>
      <c r="M799" t="s">
        <v>37</v>
      </c>
      <c r="N799" t="s">
        <v>60</v>
      </c>
      <c r="O799" t="s">
        <v>61</v>
      </c>
      <c r="P799" t="s">
        <v>40</v>
      </c>
      <c r="Q799">
        <v>3</v>
      </c>
      <c r="R799" s="2">
        <v>45055</v>
      </c>
      <c r="S799">
        <v>5</v>
      </c>
      <c r="T799">
        <v>3</v>
      </c>
      <c r="U799">
        <v>1</v>
      </c>
      <c r="V799" s="1">
        <v>44842</v>
      </c>
      <c r="W799" t="s">
        <v>41</v>
      </c>
      <c r="X799" t="s">
        <v>42</v>
      </c>
      <c r="Y799" t="s">
        <v>52</v>
      </c>
      <c r="Z799">
        <v>3</v>
      </c>
      <c r="AA799">
        <v>900.52</v>
      </c>
      <c r="AB799">
        <v>77</v>
      </c>
    </row>
    <row r="800" spans="1:28" x14ac:dyDescent="0.2">
      <c r="A800">
        <v>1290</v>
      </c>
      <c r="B800" s="1">
        <v>44299</v>
      </c>
      <c r="C800" t="s">
        <v>28</v>
      </c>
      <c r="D800" t="s">
        <v>64</v>
      </c>
      <c r="E800" t="s">
        <v>30</v>
      </c>
      <c r="F800" t="s">
        <v>55</v>
      </c>
      <c r="G800" t="s">
        <v>45</v>
      </c>
      <c r="H800" t="s">
        <v>55</v>
      </c>
      <c r="I800" t="s">
        <v>34</v>
      </c>
      <c r="J800" t="s">
        <v>58</v>
      </c>
      <c r="K800" s="2">
        <v>35199</v>
      </c>
      <c r="L800" t="s">
        <v>36</v>
      </c>
      <c r="M800" t="s">
        <v>37</v>
      </c>
      <c r="N800" t="s">
        <v>38</v>
      </c>
      <c r="O800" t="s">
        <v>67</v>
      </c>
      <c r="P800" t="s">
        <v>40</v>
      </c>
      <c r="Q800">
        <v>3</v>
      </c>
      <c r="R800" s="2">
        <v>45028</v>
      </c>
      <c r="S800">
        <v>5</v>
      </c>
      <c r="T800">
        <v>4</v>
      </c>
      <c r="U800">
        <v>2</v>
      </c>
      <c r="V800" s="1">
        <v>45060</v>
      </c>
      <c r="W800" t="s">
        <v>41</v>
      </c>
      <c r="X800" t="s">
        <v>51</v>
      </c>
      <c r="Y800" t="s">
        <v>63</v>
      </c>
      <c r="Z800">
        <v>4</v>
      </c>
      <c r="AA800">
        <v>140.72</v>
      </c>
      <c r="AB800">
        <v>25</v>
      </c>
    </row>
    <row r="801" spans="1:28" x14ac:dyDescent="0.2">
      <c r="A801">
        <v>1291</v>
      </c>
      <c r="B801" s="1">
        <v>45094</v>
      </c>
      <c r="C801" t="s">
        <v>28</v>
      </c>
      <c r="D801" t="s">
        <v>74</v>
      </c>
      <c r="E801" t="s">
        <v>30</v>
      </c>
      <c r="F801" t="s">
        <v>31</v>
      </c>
      <c r="G801" t="s">
        <v>56</v>
      </c>
      <c r="H801" t="s">
        <v>33</v>
      </c>
      <c r="I801" t="s">
        <v>34</v>
      </c>
      <c r="J801" t="s">
        <v>79</v>
      </c>
      <c r="K801" s="2">
        <v>32214</v>
      </c>
      <c r="L801" t="s">
        <v>36</v>
      </c>
      <c r="M801" t="s">
        <v>37</v>
      </c>
      <c r="N801" t="s">
        <v>72</v>
      </c>
      <c r="O801" t="s">
        <v>77</v>
      </c>
      <c r="P801" t="s">
        <v>40</v>
      </c>
      <c r="Q801">
        <v>3</v>
      </c>
      <c r="R801" s="2">
        <v>45070</v>
      </c>
      <c r="S801">
        <v>5</v>
      </c>
      <c r="T801">
        <v>4</v>
      </c>
      <c r="U801">
        <v>5</v>
      </c>
      <c r="V801" s="1">
        <v>44816</v>
      </c>
      <c r="W801" t="s">
        <v>68</v>
      </c>
      <c r="X801" t="s">
        <v>42</v>
      </c>
      <c r="Y801" t="s">
        <v>73</v>
      </c>
      <c r="Z801">
        <v>3</v>
      </c>
      <c r="AA801">
        <v>913.62</v>
      </c>
      <c r="AB801">
        <v>35</v>
      </c>
    </row>
    <row r="802" spans="1:28" x14ac:dyDescent="0.2">
      <c r="A802">
        <v>1292</v>
      </c>
      <c r="B802" s="1">
        <v>43400</v>
      </c>
      <c r="C802" t="s">
        <v>28</v>
      </c>
      <c r="D802" t="s">
        <v>69</v>
      </c>
      <c r="E802" t="s">
        <v>30</v>
      </c>
      <c r="F802" t="s">
        <v>55</v>
      </c>
      <c r="G802" t="s">
        <v>45</v>
      </c>
      <c r="H802" t="s">
        <v>46</v>
      </c>
      <c r="I802" t="s">
        <v>34</v>
      </c>
      <c r="J802" t="s">
        <v>79</v>
      </c>
      <c r="K802" s="2">
        <v>15884</v>
      </c>
      <c r="L802" t="s">
        <v>36</v>
      </c>
      <c r="M802" t="s">
        <v>37</v>
      </c>
      <c r="N802" t="s">
        <v>38</v>
      </c>
      <c r="O802" t="s">
        <v>77</v>
      </c>
      <c r="P802" t="s">
        <v>40</v>
      </c>
      <c r="Q802">
        <v>3</v>
      </c>
      <c r="R802" s="2">
        <v>45006</v>
      </c>
      <c r="S802">
        <v>1</v>
      </c>
      <c r="T802">
        <v>4</v>
      </c>
      <c r="U802">
        <v>3</v>
      </c>
      <c r="V802" s="1">
        <v>44979</v>
      </c>
      <c r="W802" t="s">
        <v>50</v>
      </c>
      <c r="X802" t="s">
        <v>42</v>
      </c>
      <c r="Y802" t="s">
        <v>63</v>
      </c>
      <c r="Z802">
        <v>5</v>
      </c>
      <c r="AA802">
        <v>950.3</v>
      </c>
      <c r="AB802">
        <v>75</v>
      </c>
    </row>
    <row r="803" spans="1:28" x14ac:dyDescent="0.2">
      <c r="A803">
        <v>1293</v>
      </c>
      <c r="B803" s="1">
        <v>44348</v>
      </c>
      <c r="C803" t="s">
        <v>28</v>
      </c>
      <c r="D803" t="s">
        <v>29</v>
      </c>
      <c r="E803" t="s">
        <v>30</v>
      </c>
      <c r="F803" t="s">
        <v>31</v>
      </c>
      <c r="G803" t="s">
        <v>56</v>
      </c>
      <c r="H803" t="s">
        <v>55</v>
      </c>
      <c r="I803" t="s">
        <v>34</v>
      </c>
      <c r="J803" t="s">
        <v>101</v>
      </c>
      <c r="K803" s="2">
        <v>34263</v>
      </c>
      <c r="L803" t="s">
        <v>36</v>
      </c>
      <c r="M803" t="s">
        <v>37</v>
      </c>
      <c r="N803" t="s">
        <v>84</v>
      </c>
      <c r="O803" t="s">
        <v>61</v>
      </c>
      <c r="P803" t="s">
        <v>40</v>
      </c>
      <c r="Q803">
        <v>3</v>
      </c>
      <c r="R803" s="2">
        <v>45000</v>
      </c>
      <c r="S803">
        <v>2</v>
      </c>
      <c r="T803">
        <v>3</v>
      </c>
      <c r="U803">
        <v>2</v>
      </c>
      <c r="V803" s="1">
        <v>44997</v>
      </c>
      <c r="W803" t="s">
        <v>62</v>
      </c>
      <c r="X803" t="s">
        <v>42</v>
      </c>
      <c r="Y803" t="s">
        <v>73</v>
      </c>
      <c r="Z803">
        <v>2</v>
      </c>
      <c r="AA803">
        <v>668.77</v>
      </c>
      <c r="AB803">
        <v>28</v>
      </c>
    </row>
    <row r="804" spans="1:28" x14ac:dyDescent="0.2">
      <c r="A804">
        <v>1294</v>
      </c>
      <c r="B804" s="1">
        <v>45023</v>
      </c>
      <c r="C804" t="s">
        <v>133</v>
      </c>
      <c r="D804" t="s">
        <v>44</v>
      </c>
      <c r="E804" t="s">
        <v>30</v>
      </c>
      <c r="F804" t="s">
        <v>46</v>
      </c>
      <c r="G804" t="s">
        <v>56</v>
      </c>
      <c r="H804" t="s">
        <v>46</v>
      </c>
      <c r="I804" t="s">
        <v>34</v>
      </c>
      <c r="J804" t="s">
        <v>101</v>
      </c>
      <c r="K804" s="2">
        <v>25839</v>
      </c>
      <c r="L804" t="s">
        <v>36</v>
      </c>
      <c r="M804" t="s">
        <v>37</v>
      </c>
      <c r="N804" t="s">
        <v>49</v>
      </c>
      <c r="O804" t="s">
        <v>61</v>
      </c>
      <c r="P804" t="s">
        <v>40</v>
      </c>
      <c r="Q804">
        <v>3</v>
      </c>
      <c r="R804" s="2">
        <v>45141</v>
      </c>
      <c r="S804">
        <v>5</v>
      </c>
      <c r="T804">
        <v>4</v>
      </c>
      <c r="U804">
        <v>2</v>
      </c>
      <c r="V804" s="1">
        <v>44788</v>
      </c>
      <c r="W804" t="s">
        <v>68</v>
      </c>
      <c r="X804" t="s">
        <v>42</v>
      </c>
      <c r="Y804" t="s">
        <v>73</v>
      </c>
      <c r="Z804">
        <v>3</v>
      </c>
      <c r="AA804">
        <v>906.05</v>
      </c>
      <c r="AB804">
        <v>53</v>
      </c>
    </row>
    <row r="805" spans="1:28" x14ac:dyDescent="0.2">
      <c r="A805">
        <v>1295</v>
      </c>
      <c r="B805" s="1">
        <v>44360</v>
      </c>
      <c r="C805" t="s">
        <v>106</v>
      </c>
      <c r="D805" t="s">
        <v>94</v>
      </c>
      <c r="E805" t="s">
        <v>30</v>
      </c>
      <c r="F805" t="s">
        <v>55</v>
      </c>
      <c r="G805" t="s">
        <v>45</v>
      </c>
      <c r="H805" t="s">
        <v>55</v>
      </c>
      <c r="I805" t="s">
        <v>34</v>
      </c>
      <c r="J805" t="s">
        <v>65</v>
      </c>
      <c r="K805" s="2">
        <v>25865</v>
      </c>
      <c r="L805" t="s">
        <v>36</v>
      </c>
      <c r="M805" t="s">
        <v>37</v>
      </c>
      <c r="N805" t="s">
        <v>60</v>
      </c>
      <c r="O805" t="s">
        <v>67</v>
      </c>
      <c r="P805" t="s">
        <v>40</v>
      </c>
      <c r="Q805">
        <v>3</v>
      </c>
      <c r="R805" s="2">
        <v>44975</v>
      </c>
      <c r="S805">
        <v>3</v>
      </c>
      <c r="T805">
        <v>3</v>
      </c>
      <c r="U805">
        <v>3</v>
      </c>
      <c r="V805" s="1">
        <v>44929</v>
      </c>
      <c r="W805" t="s">
        <v>92</v>
      </c>
      <c r="X805" t="s">
        <v>42</v>
      </c>
      <c r="Y805" t="s">
        <v>52</v>
      </c>
      <c r="Z805">
        <v>5</v>
      </c>
      <c r="AA805">
        <v>689.77</v>
      </c>
      <c r="AB805">
        <v>51</v>
      </c>
    </row>
    <row r="806" spans="1:28" x14ac:dyDescent="0.2">
      <c r="A806">
        <v>1296</v>
      </c>
      <c r="B806" s="1">
        <v>43537</v>
      </c>
      <c r="C806" t="s">
        <v>106</v>
      </c>
      <c r="D806" t="s">
        <v>74</v>
      </c>
      <c r="E806" t="s">
        <v>108</v>
      </c>
      <c r="F806" t="s">
        <v>55</v>
      </c>
      <c r="G806" t="s">
        <v>56</v>
      </c>
      <c r="H806" t="s">
        <v>46</v>
      </c>
      <c r="I806" t="s">
        <v>34</v>
      </c>
      <c r="J806" t="s">
        <v>70</v>
      </c>
      <c r="K806" s="2">
        <v>31074</v>
      </c>
      <c r="L806" t="s">
        <v>36</v>
      </c>
      <c r="M806" t="s">
        <v>37</v>
      </c>
      <c r="N806" t="s">
        <v>84</v>
      </c>
      <c r="O806" t="s">
        <v>39</v>
      </c>
      <c r="P806" t="s">
        <v>40</v>
      </c>
      <c r="Q806">
        <v>3</v>
      </c>
      <c r="R806" s="2">
        <v>44964</v>
      </c>
      <c r="S806">
        <v>1</v>
      </c>
      <c r="T806">
        <v>1</v>
      </c>
      <c r="U806">
        <v>5</v>
      </c>
      <c r="V806" s="1">
        <v>44990</v>
      </c>
      <c r="W806" t="s">
        <v>92</v>
      </c>
      <c r="X806" t="s">
        <v>51</v>
      </c>
      <c r="Y806" t="s">
        <v>73</v>
      </c>
      <c r="Z806">
        <v>2</v>
      </c>
      <c r="AA806">
        <v>694.27</v>
      </c>
      <c r="AB806">
        <v>34</v>
      </c>
    </row>
    <row r="807" spans="1:28" x14ac:dyDescent="0.2">
      <c r="A807">
        <v>1297</v>
      </c>
      <c r="B807" s="1">
        <v>43609</v>
      </c>
      <c r="C807" t="s">
        <v>106</v>
      </c>
      <c r="D807" t="s">
        <v>81</v>
      </c>
      <c r="E807" t="s">
        <v>108</v>
      </c>
      <c r="F807" t="s">
        <v>46</v>
      </c>
      <c r="G807" t="s">
        <v>45</v>
      </c>
      <c r="H807" t="s">
        <v>33</v>
      </c>
      <c r="I807" t="s">
        <v>34</v>
      </c>
      <c r="J807" t="s">
        <v>134</v>
      </c>
      <c r="K807" s="2">
        <v>25058</v>
      </c>
      <c r="L807" t="s">
        <v>36</v>
      </c>
      <c r="M807" t="s">
        <v>37</v>
      </c>
      <c r="N807" t="s">
        <v>60</v>
      </c>
      <c r="O807" t="s">
        <v>67</v>
      </c>
      <c r="P807" t="s">
        <v>40</v>
      </c>
      <c r="Q807">
        <v>3</v>
      </c>
      <c r="R807" s="2">
        <v>44783</v>
      </c>
      <c r="S807">
        <v>2</v>
      </c>
      <c r="T807">
        <v>4</v>
      </c>
      <c r="U807">
        <v>4</v>
      </c>
      <c r="V807" s="1">
        <v>45091</v>
      </c>
      <c r="W807" t="s">
        <v>62</v>
      </c>
      <c r="X807" t="s">
        <v>51</v>
      </c>
      <c r="Y807" t="s">
        <v>73</v>
      </c>
      <c r="Z807">
        <v>3</v>
      </c>
      <c r="AA807">
        <v>352.75</v>
      </c>
      <c r="AB807">
        <v>51</v>
      </c>
    </row>
    <row r="808" spans="1:28" x14ac:dyDescent="0.2">
      <c r="A808">
        <v>1298</v>
      </c>
      <c r="B808" s="1">
        <v>44982</v>
      </c>
      <c r="C808" t="s">
        <v>106</v>
      </c>
      <c r="D808" t="s">
        <v>54</v>
      </c>
      <c r="E808" t="s">
        <v>30</v>
      </c>
      <c r="F808" t="s">
        <v>46</v>
      </c>
      <c r="G808" t="s">
        <v>56</v>
      </c>
      <c r="H808" t="s">
        <v>33</v>
      </c>
      <c r="I808" t="s">
        <v>34</v>
      </c>
      <c r="J808" t="s">
        <v>65</v>
      </c>
      <c r="K808" s="2">
        <v>30385</v>
      </c>
      <c r="L808" t="s">
        <v>36</v>
      </c>
      <c r="M808" t="s">
        <v>37</v>
      </c>
      <c r="N808" t="s">
        <v>72</v>
      </c>
      <c r="O808" t="s">
        <v>67</v>
      </c>
      <c r="P808" t="s">
        <v>40</v>
      </c>
      <c r="Q808">
        <v>3</v>
      </c>
      <c r="R808" s="2">
        <v>44901</v>
      </c>
      <c r="S808">
        <v>1</v>
      </c>
      <c r="T808">
        <v>2</v>
      </c>
      <c r="U808">
        <v>1</v>
      </c>
      <c r="V808" s="1">
        <v>45062</v>
      </c>
      <c r="W808" t="s">
        <v>62</v>
      </c>
      <c r="X808" t="s">
        <v>42</v>
      </c>
      <c r="Y808" t="s">
        <v>73</v>
      </c>
      <c r="Z808">
        <v>3</v>
      </c>
      <c r="AA808">
        <v>411.17</v>
      </c>
      <c r="AB808">
        <v>40</v>
      </c>
    </row>
    <row r="809" spans="1:28" x14ac:dyDescent="0.2">
      <c r="A809">
        <v>1299</v>
      </c>
      <c r="B809" s="1">
        <v>43914</v>
      </c>
      <c r="C809" t="s">
        <v>106</v>
      </c>
      <c r="D809" t="s">
        <v>69</v>
      </c>
      <c r="E809" t="s">
        <v>30</v>
      </c>
      <c r="F809" t="s">
        <v>31</v>
      </c>
      <c r="G809" t="s">
        <v>56</v>
      </c>
      <c r="H809" t="s">
        <v>55</v>
      </c>
      <c r="I809" t="s">
        <v>34</v>
      </c>
      <c r="J809" t="s">
        <v>47</v>
      </c>
      <c r="K809" s="2">
        <v>19642</v>
      </c>
      <c r="L809" t="s">
        <v>36</v>
      </c>
      <c r="M809" t="s">
        <v>37</v>
      </c>
      <c r="N809" t="s">
        <v>84</v>
      </c>
      <c r="O809" t="s">
        <v>39</v>
      </c>
      <c r="P809" t="s">
        <v>40</v>
      </c>
      <c r="Q809">
        <v>3</v>
      </c>
      <c r="R809" s="2">
        <v>45109</v>
      </c>
      <c r="S809">
        <v>1</v>
      </c>
      <c r="T809">
        <v>2</v>
      </c>
      <c r="U809">
        <v>2</v>
      </c>
      <c r="V809" s="1">
        <v>44947</v>
      </c>
      <c r="W809" t="s">
        <v>62</v>
      </c>
      <c r="X809" t="s">
        <v>51</v>
      </c>
      <c r="Y809" t="s">
        <v>63</v>
      </c>
      <c r="Z809">
        <v>3</v>
      </c>
      <c r="AA809">
        <v>358.81</v>
      </c>
      <c r="AB809">
        <v>67</v>
      </c>
    </row>
    <row r="810" spans="1:28" x14ac:dyDescent="0.2">
      <c r="A810">
        <v>1300</v>
      </c>
      <c r="B810" s="1">
        <v>44359</v>
      </c>
      <c r="C810" t="s">
        <v>106</v>
      </c>
      <c r="D810" t="s">
        <v>29</v>
      </c>
      <c r="E810" t="s">
        <v>30</v>
      </c>
      <c r="F810" t="s">
        <v>31</v>
      </c>
      <c r="G810" t="s">
        <v>56</v>
      </c>
      <c r="H810" t="s">
        <v>33</v>
      </c>
      <c r="I810" t="s">
        <v>34</v>
      </c>
      <c r="J810" t="s">
        <v>70</v>
      </c>
      <c r="K810" s="2">
        <v>24720</v>
      </c>
      <c r="L810" t="s">
        <v>36</v>
      </c>
      <c r="M810" t="s">
        <v>37</v>
      </c>
      <c r="N810" t="s">
        <v>72</v>
      </c>
      <c r="O810" t="s">
        <v>67</v>
      </c>
      <c r="P810" t="s">
        <v>40</v>
      </c>
      <c r="Q810">
        <v>3</v>
      </c>
      <c r="R810" s="2">
        <v>44841</v>
      </c>
      <c r="S810">
        <v>1</v>
      </c>
      <c r="T810">
        <v>3</v>
      </c>
      <c r="U810">
        <v>1</v>
      </c>
      <c r="V810" s="1">
        <v>45045</v>
      </c>
      <c r="W810" t="s">
        <v>68</v>
      </c>
      <c r="X810" t="s">
        <v>42</v>
      </c>
      <c r="Y810" t="s">
        <v>73</v>
      </c>
      <c r="Z810">
        <v>4</v>
      </c>
      <c r="AA810">
        <v>588.64</v>
      </c>
      <c r="AB810">
        <v>54</v>
      </c>
    </row>
    <row r="811" spans="1:28" x14ac:dyDescent="0.2">
      <c r="A811">
        <v>1301</v>
      </c>
      <c r="B811" s="1">
        <v>43546</v>
      </c>
      <c r="C811" t="s">
        <v>28</v>
      </c>
      <c r="D811" t="s">
        <v>87</v>
      </c>
      <c r="E811" t="s">
        <v>108</v>
      </c>
      <c r="F811" t="s">
        <v>46</v>
      </c>
      <c r="G811" t="s">
        <v>56</v>
      </c>
      <c r="H811" t="s">
        <v>33</v>
      </c>
      <c r="I811" t="s">
        <v>34</v>
      </c>
      <c r="J811" t="s">
        <v>70</v>
      </c>
      <c r="K811" s="2">
        <v>18350</v>
      </c>
      <c r="L811" t="s">
        <v>36</v>
      </c>
      <c r="M811" t="s">
        <v>37</v>
      </c>
      <c r="N811" t="s">
        <v>84</v>
      </c>
      <c r="O811" t="s">
        <v>39</v>
      </c>
      <c r="P811" t="s">
        <v>40</v>
      </c>
      <c r="Q811">
        <v>3</v>
      </c>
      <c r="R811" s="2">
        <v>44947</v>
      </c>
      <c r="S811">
        <v>1</v>
      </c>
      <c r="T811">
        <v>4</v>
      </c>
      <c r="U811">
        <v>2</v>
      </c>
      <c r="V811" s="1">
        <v>44826</v>
      </c>
      <c r="W811" t="s">
        <v>92</v>
      </c>
      <c r="X811" t="s">
        <v>42</v>
      </c>
      <c r="Y811" t="s">
        <v>52</v>
      </c>
      <c r="Z811">
        <v>1</v>
      </c>
      <c r="AA811">
        <v>472.18</v>
      </c>
      <c r="AB811">
        <v>69</v>
      </c>
    </row>
    <row r="812" spans="1:28" x14ac:dyDescent="0.2">
      <c r="A812">
        <v>1302</v>
      </c>
      <c r="B812" s="1">
        <v>44263</v>
      </c>
      <c r="C812" t="s">
        <v>28</v>
      </c>
      <c r="D812" t="s">
        <v>64</v>
      </c>
      <c r="E812" t="s">
        <v>108</v>
      </c>
      <c r="F812" t="s">
        <v>55</v>
      </c>
      <c r="G812" t="s">
        <v>45</v>
      </c>
      <c r="H812" t="s">
        <v>55</v>
      </c>
      <c r="I812" t="s">
        <v>34</v>
      </c>
      <c r="J812" t="s">
        <v>70</v>
      </c>
      <c r="K812" s="2">
        <v>36709</v>
      </c>
      <c r="L812" t="s">
        <v>36</v>
      </c>
      <c r="M812" t="s">
        <v>37</v>
      </c>
      <c r="N812" t="s">
        <v>60</v>
      </c>
      <c r="O812" t="s">
        <v>67</v>
      </c>
      <c r="P812" t="s">
        <v>40</v>
      </c>
      <c r="Q812">
        <v>3</v>
      </c>
      <c r="R812" s="2">
        <v>45081</v>
      </c>
      <c r="S812">
        <v>1</v>
      </c>
      <c r="T812">
        <v>2</v>
      </c>
      <c r="U812">
        <v>4</v>
      </c>
      <c r="V812" s="1">
        <v>44793</v>
      </c>
      <c r="W812" t="s">
        <v>62</v>
      </c>
      <c r="X812" t="s">
        <v>42</v>
      </c>
      <c r="Y812" t="s">
        <v>73</v>
      </c>
      <c r="Z812">
        <v>2</v>
      </c>
      <c r="AA812">
        <v>758.79</v>
      </c>
      <c r="AB812">
        <v>21</v>
      </c>
    </row>
    <row r="813" spans="1:28" x14ac:dyDescent="0.2">
      <c r="A813">
        <v>1303</v>
      </c>
      <c r="B813" s="1">
        <v>43966</v>
      </c>
      <c r="C813" t="s">
        <v>28</v>
      </c>
      <c r="D813" t="s">
        <v>94</v>
      </c>
      <c r="E813" t="s">
        <v>30</v>
      </c>
      <c r="F813" t="s">
        <v>31</v>
      </c>
      <c r="G813" t="s">
        <v>45</v>
      </c>
      <c r="H813" t="s">
        <v>55</v>
      </c>
      <c r="I813" t="s">
        <v>34</v>
      </c>
      <c r="J813" t="s">
        <v>35</v>
      </c>
      <c r="K813" s="2">
        <v>20852</v>
      </c>
      <c r="L813" t="s">
        <v>36</v>
      </c>
      <c r="M813" t="s">
        <v>37</v>
      </c>
      <c r="N813" t="s">
        <v>49</v>
      </c>
      <c r="O813" t="s">
        <v>61</v>
      </c>
      <c r="P813" t="s">
        <v>40</v>
      </c>
      <c r="Q813">
        <v>3</v>
      </c>
      <c r="R813" s="2">
        <v>44927</v>
      </c>
      <c r="S813">
        <v>5</v>
      </c>
      <c r="T813">
        <v>3</v>
      </c>
      <c r="U813">
        <v>5</v>
      </c>
      <c r="V813" s="1">
        <v>45079</v>
      </c>
      <c r="W813" t="s">
        <v>41</v>
      </c>
      <c r="X813" t="s">
        <v>42</v>
      </c>
      <c r="Y813" t="s">
        <v>43</v>
      </c>
      <c r="Z813">
        <v>3</v>
      </c>
      <c r="AA813">
        <v>921.81</v>
      </c>
      <c r="AB813">
        <v>63</v>
      </c>
    </row>
    <row r="814" spans="1:28" x14ac:dyDescent="0.2">
      <c r="A814">
        <v>1304</v>
      </c>
      <c r="B814" s="1">
        <v>44950</v>
      </c>
      <c r="C814" t="s">
        <v>28</v>
      </c>
      <c r="D814" t="s">
        <v>74</v>
      </c>
      <c r="E814" t="s">
        <v>30</v>
      </c>
      <c r="F814" t="s">
        <v>55</v>
      </c>
      <c r="G814" t="s">
        <v>56</v>
      </c>
      <c r="H814" t="s">
        <v>46</v>
      </c>
      <c r="I814" t="s">
        <v>34</v>
      </c>
      <c r="J814" t="s">
        <v>135</v>
      </c>
      <c r="K814" s="2">
        <v>35108</v>
      </c>
      <c r="L814" t="s">
        <v>36</v>
      </c>
      <c r="M814" t="s">
        <v>37</v>
      </c>
      <c r="N814" t="s">
        <v>84</v>
      </c>
      <c r="O814" t="s">
        <v>39</v>
      </c>
      <c r="P814" t="s">
        <v>40</v>
      </c>
      <c r="Q814">
        <v>3</v>
      </c>
      <c r="R814" s="2">
        <v>45027</v>
      </c>
      <c r="S814">
        <v>3</v>
      </c>
      <c r="T814">
        <v>5</v>
      </c>
      <c r="U814">
        <v>1</v>
      </c>
      <c r="V814" s="1">
        <v>44942</v>
      </c>
      <c r="W814" t="s">
        <v>92</v>
      </c>
      <c r="X814" t="s">
        <v>51</v>
      </c>
      <c r="Y814" t="s">
        <v>63</v>
      </c>
      <c r="Z814">
        <v>3</v>
      </c>
      <c r="AA814">
        <v>405.08</v>
      </c>
      <c r="AB814">
        <v>27</v>
      </c>
    </row>
    <row r="815" spans="1:28" x14ac:dyDescent="0.2">
      <c r="A815">
        <v>1305</v>
      </c>
      <c r="B815" s="1">
        <v>44202</v>
      </c>
      <c r="C815" t="s">
        <v>28</v>
      </c>
      <c r="D815" t="s">
        <v>81</v>
      </c>
      <c r="E815" t="s">
        <v>108</v>
      </c>
      <c r="F815" t="s">
        <v>55</v>
      </c>
      <c r="G815" t="s">
        <v>56</v>
      </c>
      <c r="H815" t="s">
        <v>33</v>
      </c>
      <c r="I815" t="s">
        <v>34</v>
      </c>
      <c r="J815" t="s">
        <v>70</v>
      </c>
      <c r="K815" s="2">
        <v>36113</v>
      </c>
      <c r="L815" t="s">
        <v>36</v>
      </c>
      <c r="M815" t="s">
        <v>48</v>
      </c>
      <c r="N815" t="s">
        <v>38</v>
      </c>
      <c r="O815" t="s">
        <v>67</v>
      </c>
      <c r="P815" t="s">
        <v>40</v>
      </c>
      <c r="Q815">
        <v>3</v>
      </c>
      <c r="R815" s="2">
        <v>44979</v>
      </c>
      <c r="S815">
        <v>2</v>
      </c>
      <c r="T815">
        <v>5</v>
      </c>
      <c r="U815">
        <v>2</v>
      </c>
      <c r="V815" s="1">
        <v>45115</v>
      </c>
      <c r="W815" t="s">
        <v>68</v>
      </c>
      <c r="X815" t="s">
        <v>42</v>
      </c>
      <c r="Y815" t="s">
        <v>43</v>
      </c>
      <c r="Z815">
        <v>3</v>
      </c>
      <c r="AA815">
        <v>784.22</v>
      </c>
      <c r="AB815">
        <v>23</v>
      </c>
    </row>
    <row r="816" spans="1:28" x14ac:dyDescent="0.2">
      <c r="A816">
        <v>1306</v>
      </c>
      <c r="B816" s="1">
        <v>44302</v>
      </c>
      <c r="C816" t="s">
        <v>28</v>
      </c>
      <c r="D816" t="s">
        <v>54</v>
      </c>
      <c r="E816" t="s">
        <v>30</v>
      </c>
      <c r="F816" t="s">
        <v>46</v>
      </c>
      <c r="G816" t="s">
        <v>56</v>
      </c>
      <c r="H816" t="s">
        <v>46</v>
      </c>
      <c r="I816" t="s">
        <v>34</v>
      </c>
      <c r="J816" t="s">
        <v>96</v>
      </c>
      <c r="K816" s="2">
        <v>35649</v>
      </c>
      <c r="L816" t="s">
        <v>36</v>
      </c>
      <c r="M816" t="s">
        <v>48</v>
      </c>
      <c r="N816" t="s">
        <v>49</v>
      </c>
      <c r="O816" t="s">
        <v>61</v>
      </c>
      <c r="P816" t="s">
        <v>40</v>
      </c>
      <c r="Q816">
        <v>3</v>
      </c>
      <c r="R816" s="2">
        <v>44877</v>
      </c>
      <c r="S816">
        <v>1</v>
      </c>
      <c r="T816">
        <v>3</v>
      </c>
      <c r="U816">
        <v>5</v>
      </c>
      <c r="V816" s="1">
        <v>45120</v>
      </c>
      <c r="W816" t="s">
        <v>68</v>
      </c>
      <c r="X816" t="s">
        <v>51</v>
      </c>
      <c r="Y816" t="s">
        <v>43</v>
      </c>
      <c r="Z816">
        <v>4</v>
      </c>
      <c r="AA816">
        <v>443.99</v>
      </c>
      <c r="AB816">
        <v>24</v>
      </c>
    </row>
    <row r="817" spans="1:28" x14ac:dyDescent="0.2">
      <c r="A817">
        <v>1307</v>
      </c>
      <c r="B817" s="1">
        <v>44461</v>
      </c>
      <c r="C817" t="s">
        <v>28</v>
      </c>
      <c r="D817" t="s">
        <v>69</v>
      </c>
      <c r="E817" t="s">
        <v>108</v>
      </c>
      <c r="F817" t="s">
        <v>31</v>
      </c>
      <c r="G817" t="s">
        <v>45</v>
      </c>
      <c r="H817" t="s">
        <v>55</v>
      </c>
      <c r="I817" t="s">
        <v>34</v>
      </c>
      <c r="J817" t="s">
        <v>79</v>
      </c>
      <c r="K817" s="2">
        <v>29641</v>
      </c>
      <c r="L817" t="s">
        <v>36</v>
      </c>
      <c r="M817" t="s">
        <v>48</v>
      </c>
      <c r="N817" t="s">
        <v>72</v>
      </c>
      <c r="O817" t="s">
        <v>67</v>
      </c>
      <c r="P817" t="s">
        <v>40</v>
      </c>
      <c r="Q817">
        <v>3</v>
      </c>
      <c r="R817" s="2">
        <v>44883</v>
      </c>
      <c r="S817">
        <v>1</v>
      </c>
      <c r="T817">
        <v>5</v>
      </c>
      <c r="U817">
        <v>1</v>
      </c>
      <c r="V817" s="1">
        <v>44881</v>
      </c>
      <c r="W817" t="s">
        <v>68</v>
      </c>
      <c r="X817" t="s">
        <v>42</v>
      </c>
      <c r="Y817" t="s">
        <v>52</v>
      </c>
      <c r="Z817">
        <v>3</v>
      </c>
      <c r="AA817">
        <v>609.9</v>
      </c>
      <c r="AB817">
        <v>40</v>
      </c>
    </row>
    <row r="818" spans="1:28" x14ac:dyDescent="0.2">
      <c r="A818">
        <v>1308</v>
      </c>
      <c r="B818" s="1">
        <v>44740</v>
      </c>
      <c r="C818" t="s">
        <v>28</v>
      </c>
      <c r="D818" t="s">
        <v>29</v>
      </c>
      <c r="E818" t="s">
        <v>30</v>
      </c>
      <c r="F818" t="s">
        <v>55</v>
      </c>
      <c r="G818" t="s">
        <v>32</v>
      </c>
      <c r="H818" t="s">
        <v>55</v>
      </c>
      <c r="I818" t="s">
        <v>34</v>
      </c>
      <c r="J818" t="s">
        <v>96</v>
      </c>
      <c r="K818" s="2">
        <v>29497</v>
      </c>
      <c r="L818" t="s">
        <v>36</v>
      </c>
      <c r="M818" t="s">
        <v>37</v>
      </c>
      <c r="N818" t="s">
        <v>84</v>
      </c>
      <c r="O818" t="s">
        <v>77</v>
      </c>
      <c r="P818" t="s">
        <v>40</v>
      </c>
      <c r="Q818">
        <v>3</v>
      </c>
      <c r="R818" s="2">
        <v>44801</v>
      </c>
      <c r="S818">
        <v>4</v>
      </c>
      <c r="T818">
        <v>5</v>
      </c>
      <c r="U818">
        <v>2</v>
      </c>
      <c r="V818" s="1">
        <v>44844</v>
      </c>
      <c r="W818" t="s">
        <v>41</v>
      </c>
      <c r="X818" t="s">
        <v>51</v>
      </c>
      <c r="Y818" t="s">
        <v>43</v>
      </c>
      <c r="Z818">
        <v>5</v>
      </c>
      <c r="AA818">
        <v>742.16</v>
      </c>
      <c r="AB818">
        <v>42</v>
      </c>
    </row>
    <row r="819" spans="1:28" x14ac:dyDescent="0.2">
      <c r="A819">
        <v>1309</v>
      </c>
      <c r="B819" s="1">
        <v>44060</v>
      </c>
      <c r="C819" t="s">
        <v>28</v>
      </c>
      <c r="D819" t="s">
        <v>85</v>
      </c>
      <c r="E819" t="s">
        <v>30</v>
      </c>
      <c r="F819" t="s">
        <v>46</v>
      </c>
      <c r="G819" t="s">
        <v>32</v>
      </c>
      <c r="H819" t="s">
        <v>46</v>
      </c>
      <c r="I819" t="s">
        <v>34</v>
      </c>
      <c r="J819" t="s">
        <v>70</v>
      </c>
      <c r="K819" s="2">
        <v>29356</v>
      </c>
      <c r="L819" t="s">
        <v>36</v>
      </c>
      <c r="M819" t="s">
        <v>37</v>
      </c>
      <c r="N819" t="s">
        <v>60</v>
      </c>
      <c r="O819" t="s">
        <v>39</v>
      </c>
      <c r="P819" t="s">
        <v>40</v>
      </c>
      <c r="Q819">
        <v>3</v>
      </c>
      <c r="R819" s="2">
        <v>44811</v>
      </c>
      <c r="S819">
        <v>1</v>
      </c>
      <c r="T819">
        <v>1</v>
      </c>
      <c r="U819">
        <v>3</v>
      </c>
      <c r="V819" s="1">
        <v>44813</v>
      </c>
      <c r="W819" t="s">
        <v>68</v>
      </c>
      <c r="X819" t="s">
        <v>51</v>
      </c>
      <c r="Y819" t="s">
        <v>43</v>
      </c>
      <c r="Z819">
        <v>3</v>
      </c>
      <c r="AA819">
        <v>517.74</v>
      </c>
      <c r="AB819">
        <v>40</v>
      </c>
    </row>
    <row r="820" spans="1:28" x14ac:dyDescent="0.2">
      <c r="A820">
        <v>1310</v>
      </c>
      <c r="B820" s="1">
        <v>45019</v>
      </c>
      <c r="C820" t="s">
        <v>28</v>
      </c>
      <c r="D820" t="s">
        <v>44</v>
      </c>
      <c r="E820" t="s">
        <v>30</v>
      </c>
      <c r="F820" t="s">
        <v>46</v>
      </c>
      <c r="G820" t="s">
        <v>56</v>
      </c>
      <c r="H820" t="s">
        <v>55</v>
      </c>
      <c r="I820" t="s">
        <v>34</v>
      </c>
      <c r="J820" t="s">
        <v>65</v>
      </c>
      <c r="K820" s="2">
        <v>32184</v>
      </c>
      <c r="L820" t="s">
        <v>36</v>
      </c>
      <c r="M820" t="s">
        <v>37</v>
      </c>
      <c r="N820" t="s">
        <v>84</v>
      </c>
      <c r="O820" t="s">
        <v>61</v>
      </c>
      <c r="P820" t="s">
        <v>40</v>
      </c>
      <c r="Q820">
        <v>3</v>
      </c>
      <c r="R820" s="2">
        <v>45040</v>
      </c>
      <c r="S820">
        <v>3</v>
      </c>
      <c r="T820">
        <v>4</v>
      </c>
      <c r="U820">
        <v>3</v>
      </c>
      <c r="V820" s="1">
        <v>44850</v>
      </c>
      <c r="W820" t="s">
        <v>62</v>
      </c>
      <c r="X820" t="s">
        <v>42</v>
      </c>
      <c r="Y820" t="s">
        <v>52</v>
      </c>
      <c r="Z820">
        <v>4</v>
      </c>
      <c r="AA820">
        <v>350.59</v>
      </c>
      <c r="AB820">
        <v>35</v>
      </c>
    </row>
    <row r="821" spans="1:28" x14ac:dyDescent="0.2">
      <c r="A821">
        <v>1311</v>
      </c>
      <c r="B821" s="1">
        <v>45072</v>
      </c>
      <c r="C821" t="s">
        <v>28</v>
      </c>
      <c r="D821" t="s">
        <v>87</v>
      </c>
      <c r="E821" t="s">
        <v>30</v>
      </c>
      <c r="F821" t="s">
        <v>55</v>
      </c>
      <c r="G821" t="s">
        <v>32</v>
      </c>
      <c r="H821" t="s">
        <v>46</v>
      </c>
      <c r="I821" t="s">
        <v>34</v>
      </c>
      <c r="J821" t="s">
        <v>79</v>
      </c>
      <c r="K821" s="2">
        <v>31830</v>
      </c>
      <c r="L821" t="s">
        <v>36</v>
      </c>
      <c r="M821" t="s">
        <v>48</v>
      </c>
      <c r="N821" t="s">
        <v>84</v>
      </c>
      <c r="O821" t="s">
        <v>61</v>
      </c>
      <c r="P821" t="s">
        <v>40</v>
      </c>
      <c r="Q821">
        <v>3</v>
      </c>
      <c r="R821" s="2">
        <v>44994</v>
      </c>
      <c r="S821">
        <v>5</v>
      </c>
      <c r="T821">
        <v>2</v>
      </c>
      <c r="U821">
        <v>3</v>
      </c>
      <c r="V821" s="1">
        <v>44851</v>
      </c>
      <c r="W821" t="s">
        <v>41</v>
      </c>
      <c r="X821" t="s">
        <v>42</v>
      </c>
      <c r="Y821" t="s">
        <v>52</v>
      </c>
      <c r="Z821">
        <v>1</v>
      </c>
      <c r="AA821">
        <v>546.94000000000005</v>
      </c>
      <c r="AB821">
        <v>36</v>
      </c>
    </row>
    <row r="822" spans="1:28" x14ac:dyDescent="0.2">
      <c r="A822">
        <v>1312</v>
      </c>
      <c r="B822" s="1">
        <v>44296</v>
      </c>
      <c r="C822" t="s">
        <v>28</v>
      </c>
      <c r="D822" t="s">
        <v>64</v>
      </c>
      <c r="E822" t="s">
        <v>30</v>
      </c>
      <c r="F822" t="s">
        <v>55</v>
      </c>
      <c r="G822" t="s">
        <v>56</v>
      </c>
      <c r="H822" t="s">
        <v>55</v>
      </c>
      <c r="I822" t="s">
        <v>34</v>
      </c>
      <c r="J822" t="s">
        <v>75</v>
      </c>
      <c r="K822" s="2">
        <v>35651</v>
      </c>
      <c r="L822" t="s">
        <v>36</v>
      </c>
      <c r="M822" t="s">
        <v>37</v>
      </c>
      <c r="N822" t="s">
        <v>72</v>
      </c>
      <c r="O822" t="s">
        <v>39</v>
      </c>
      <c r="P822" t="s">
        <v>40</v>
      </c>
      <c r="Q822">
        <v>3</v>
      </c>
      <c r="R822" s="2">
        <v>44829</v>
      </c>
      <c r="S822">
        <v>2</v>
      </c>
      <c r="T822">
        <v>5</v>
      </c>
      <c r="U822">
        <v>2</v>
      </c>
      <c r="V822" s="1">
        <v>45045</v>
      </c>
      <c r="W822" t="s">
        <v>92</v>
      </c>
      <c r="X822" t="s">
        <v>42</v>
      </c>
      <c r="Y822" t="s">
        <v>63</v>
      </c>
      <c r="Z822">
        <v>4</v>
      </c>
      <c r="AA822">
        <v>514.37</v>
      </c>
      <c r="AB822">
        <v>24</v>
      </c>
    </row>
    <row r="823" spans="1:28" x14ac:dyDescent="0.2">
      <c r="A823">
        <v>1313</v>
      </c>
      <c r="B823" s="1">
        <v>45034</v>
      </c>
      <c r="C823" t="s">
        <v>28</v>
      </c>
      <c r="D823" t="s">
        <v>94</v>
      </c>
      <c r="E823" t="s">
        <v>30</v>
      </c>
      <c r="F823" t="s">
        <v>31</v>
      </c>
      <c r="G823" t="s">
        <v>32</v>
      </c>
      <c r="H823" t="s">
        <v>46</v>
      </c>
      <c r="I823" t="s">
        <v>34</v>
      </c>
      <c r="J823" t="s">
        <v>70</v>
      </c>
      <c r="K823" s="2">
        <v>21158</v>
      </c>
      <c r="L823" t="s">
        <v>36</v>
      </c>
      <c r="M823" t="s">
        <v>37</v>
      </c>
      <c r="N823" t="s">
        <v>49</v>
      </c>
      <c r="O823" t="s">
        <v>61</v>
      </c>
      <c r="P823" t="s">
        <v>40</v>
      </c>
      <c r="Q823">
        <v>3</v>
      </c>
      <c r="R823" s="2">
        <v>45125</v>
      </c>
      <c r="S823">
        <v>5</v>
      </c>
      <c r="T823">
        <v>4</v>
      </c>
      <c r="U823">
        <v>1</v>
      </c>
      <c r="V823" s="1">
        <v>44859</v>
      </c>
      <c r="W823" t="s">
        <v>41</v>
      </c>
      <c r="X823" t="s">
        <v>42</v>
      </c>
      <c r="Y823" t="s">
        <v>52</v>
      </c>
      <c r="Z823">
        <v>5</v>
      </c>
      <c r="AA823">
        <v>786.98</v>
      </c>
      <c r="AB823">
        <v>66</v>
      </c>
    </row>
    <row r="824" spans="1:28" x14ac:dyDescent="0.2">
      <c r="A824">
        <v>1314</v>
      </c>
      <c r="B824" s="1">
        <v>44482</v>
      </c>
      <c r="C824" t="s">
        <v>28</v>
      </c>
      <c r="D824" t="s">
        <v>74</v>
      </c>
      <c r="E824" t="s">
        <v>30</v>
      </c>
      <c r="F824" t="s">
        <v>31</v>
      </c>
      <c r="G824" t="s">
        <v>32</v>
      </c>
      <c r="H824" t="s">
        <v>55</v>
      </c>
      <c r="I824" t="s">
        <v>34</v>
      </c>
      <c r="J824" t="s">
        <v>65</v>
      </c>
      <c r="K824" s="2">
        <v>35307</v>
      </c>
      <c r="L824" t="s">
        <v>36</v>
      </c>
      <c r="M824" t="s">
        <v>37</v>
      </c>
      <c r="N824" t="s">
        <v>38</v>
      </c>
      <c r="O824" t="s">
        <v>77</v>
      </c>
      <c r="P824" t="s">
        <v>40</v>
      </c>
      <c r="Q824">
        <v>3</v>
      </c>
      <c r="R824" s="2">
        <v>45013</v>
      </c>
      <c r="S824">
        <v>5</v>
      </c>
      <c r="T824">
        <v>5</v>
      </c>
      <c r="U824">
        <v>3</v>
      </c>
      <c r="V824" s="1">
        <v>45003</v>
      </c>
      <c r="W824" t="s">
        <v>62</v>
      </c>
      <c r="X824" t="s">
        <v>42</v>
      </c>
      <c r="Y824" t="s">
        <v>73</v>
      </c>
      <c r="Z824">
        <v>4</v>
      </c>
      <c r="AA824">
        <v>852.21</v>
      </c>
      <c r="AB824">
        <v>25</v>
      </c>
    </row>
    <row r="825" spans="1:28" x14ac:dyDescent="0.2">
      <c r="A825">
        <v>1315</v>
      </c>
      <c r="B825" s="1">
        <v>44114</v>
      </c>
      <c r="C825" t="s">
        <v>126</v>
      </c>
      <c r="D825" t="s">
        <v>81</v>
      </c>
      <c r="E825" t="s">
        <v>30</v>
      </c>
      <c r="F825" t="s">
        <v>46</v>
      </c>
      <c r="G825" t="s">
        <v>45</v>
      </c>
      <c r="H825" t="s">
        <v>33</v>
      </c>
      <c r="I825" t="s">
        <v>132</v>
      </c>
      <c r="J825" t="s">
        <v>89</v>
      </c>
      <c r="K825" s="2">
        <v>20810</v>
      </c>
      <c r="L825" t="s">
        <v>36</v>
      </c>
      <c r="M825" t="s">
        <v>37</v>
      </c>
      <c r="N825" t="s">
        <v>84</v>
      </c>
      <c r="O825" t="s">
        <v>39</v>
      </c>
      <c r="P825" t="s">
        <v>40</v>
      </c>
      <c r="Q825">
        <v>3</v>
      </c>
      <c r="R825" s="2">
        <v>44894</v>
      </c>
      <c r="S825">
        <v>5</v>
      </c>
      <c r="T825">
        <v>1</v>
      </c>
      <c r="U825">
        <v>1</v>
      </c>
      <c r="V825" s="1">
        <v>45136</v>
      </c>
      <c r="W825" t="s">
        <v>92</v>
      </c>
      <c r="X825" t="s">
        <v>51</v>
      </c>
      <c r="Y825" t="s">
        <v>43</v>
      </c>
      <c r="Z825">
        <v>4</v>
      </c>
      <c r="AA825">
        <v>761.63</v>
      </c>
      <c r="AB825">
        <v>64</v>
      </c>
    </row>
    <row r="826" spans="1:28" x14ac:dyDescent="0.2">
      <c r="A826">
        <v>1316</v>
      </c>
      <c r="B826" s="1">
        <v>43485</v>
      </c>
      <c r="C826" t="s">
        <v>136</v>
      </c>
      <c r="D826" t="s">
        <v>29</v>
      </c>
      <c r="E826" t="s">
        <v>30</v>
      </c>
      <c r="F826" t="s">
        <v>46</v>
      </c>
      <c r="G826" t="s">
        <v>45</v>
      </c>
      <c r="H826" t="s">
        <v>55</v>
      </c>
      <c r="I826" t="s">
        <v>115</v>
      </c>
      <c r="J826" t="s">
        <v>47</v>
      </c>
      <c r="K826" s="2">
        <v>20386</v>
      </c>
      <c r="L826" t="s">
        <v>36</v>
      </c>
      <c r="M826" t="s">
        <v>37</v>
      </c>
      <c r="N826" t="s">
        <v>84</v>
      </c>
      <c r="O826" t="s">
        <v>61</v>
      </c>
      <c r="P826" t="s">
        <v>40</v>
      </c>
      <c r="Q826">
        <v>3</v>
      </c>
      <c r="R826" s="2">
        <v>45127</v>
      </c>
      <c r="S826">
        <v>3</v>
      </c>
      <c r="T826">
        <v>4</v>
      </c>
      <c r="U826">
        <v>3</v>
      </c>
      <c r="V826" s="1">
        <v>45036</v>
      </c>
      <c r="W826" t="s">
        <v>68</v>
      </c>
      <c r="X826" t="s">
        <v>51</v>
      </c>
      <c r="Y826" t="s">
        <v>73</v>
      </c>
      <c r="Z826">
        <v>5</v>
      </c>
      <c r="AA826">
        <v>202.62</v>
      </c>
      <c r="AB826">
        <v>64</v>
      </c>
    </row>
    <row r="827" spans="1:28" x14ac:dyDescent="0.2">
      <c r="A827">
        <v>1317</v>
      </c>
      <c r="B827" s="1">
        <v>44325</v>
      </c>
      <c r="C827" t="s">
        <v>126</v>
      </c>
      <c r="D827" t="s">
        <v>87</v>
      </c>
      <c r="E827" t="s">
        <v>30</v>
      </c>
      <c r="F827" t="s">
        <v>55</v>
      </c>
      <c r="G827" t="s">
        <v>45</v>
      </c>
      <c r="H827" t="s">
        <v>46</v>
      </c>
      <c r="I827" t="s">
        <v>132</v>
      </c>
      <c r="J827" t="s">
        <v>47</v>
      </c>
      <c r="K827" s="2">
        <v>18590</v>
      </c>
      <c r="L827" t="s">
        <v>36</v>
      </c>
      <c r="M827" t="s">
        <v>37</v>
      </c>
      <c r="N827" t="s">
        <v>72</v>
      </c>
      <c r="O827" t="s">
        <v>39</v>
      </c>
      <c r="P827" t="s">
        <v>40</v>
      </c>
      <c r="Q827">
        <v>3</v>
      </c>
      <c r="R827" s="2">
        <v>45051</v>
      </c>
      <c r="S827">
        <v>4</v>
      </c>
      <c r="T827">
        <v>2</v>
      </c>
      <c r="U827">
        <v>2</v>
      </c>
      <c r="V827" s="1">
        <v>44793</v>
      </c>
      <c r="W827" t="s">
        <v>92</v>
      </c>
      <c r="X827" t="s">
        <v>51</v>
      </c>
      <c r="Y827" t="s">
        <v>73</v>
      </c>
      <c r="Z827">
        <v>5</v>
      </c>
      <c r="AA827">
        <v>414.75</v>
      </c>
      <c r="AB827">
        <v>71</v>
      </c>
    </row>
    <row r="828" spans="1:28" x14ac:dyDescent="0.2">
      <c r="A828">
        <v>1318</v>
      </c>
      <c r="B828" s="1">
        <v>45136</v>
      </c>
      <c r="C828" t="s">
        <v>137</v>
      </c>
      <c r="D828" t="s">
        <v>74</v>
      </c>
      <c r="E828" t="s">
        <v>30</v>
      </c>
      <c r="F828" t="s">
        <v>31</v>
      </c>
      <c r="G828" t="s">
        <v>56</v>
      </c>
      <c r="H828" t="s">
        <v>33</v>
      </c>
      <c r="I828" t="s">
        <v>132</v>
      </c>
      <c r="J828" t="s">
        <v>70</v>
      </c>
      <c r="K828" s="2">
        <v>30816</v>
      </c>
      <c r="L828" t="s">
        <v>36</v>
      </c>
      <c r="M828" t="s">
        <v>37</v>
      </c>
      <c r="N828" t="s">
        <v>38</v>
      </c>
      <c r="O828" t="s">
        <v>77</v>
      </c>
      <c r="P828" t="s">
        <v>40</v>
      </c>
      <c r="Q828">
        <v>3</v>
      </c>
      <c r="R828" s="2">
        <v>45067</v>
      </c>
      <c r="S828">
        <v>5</v>
      </c>
      <c r="T828">
        <v>4</v>
      </c>
      <c r="U828">
        <v>2</v>
      </c>
      <c r="V828" s="1">
        <v>44851</v>
      </c>
      <c r="W828" t="s">
        <v>92</v>
      </c>
      <c r="X828" t="s">
        <v>51</v>
      </c>
      <c r="Y828" t="s">
        <v>63</v>
      </c>
      <c r="Z828">
        <v>4</v>
      </c>
      <c r="AA828">
        <v>344.55</v>
      </c>
      <c r="AB828">
        <v>39</v>
      </c>
    </row>
    <row r="829" spans="1:28" x14ac:dyDescent="0.2">
      <c r="A829">
        <v>1319</v>
      </c>
      <c r="B829" s="1">
        <v>43701</v>
      </c>
      <c r="C829" t="s">
        <v>138</v>
      </c>
      <c r="D829" t="s">
        <v>44</v>
      </c>
      <c r="E829" t="s">
        <v>30</v>
      </c>
      <c r="F829" t="s">
        <v>46</v>
      </c>
      <c r="G829" t="s">
        <v>32</v>
      </c>
      <c r="H829" t="s">
        <v>33</v>
      </c>
      <c r="I829" t="s">
        <v>132</v>
      </c>
      <c r="J829" t="s">
        <v>35</v>
      </c>
      <c r="K829" s="2">
        <v>23581</v>
      </c>
      <c r="L829" t="s">
        <v>36</v>
      </c>
      <c r="M829" t="s">
        <v>48</v>
      </c>
      <c r="N829" t="s">
        <v>84</v>
      </c>
      <c r="O829" t="s">
        <v>67</v>
      </c>
      <c r="P829" t="s">
        <v>40</v>
      </c>
      <c r="Q829">
        <v>3</v>
      </c>
      <c r="R829" s="2">
        <v>45091</v>
      </c>
      <c r="S829">
        <v>4</v>
      </c>
      <c r="T829">
        <v>2</v>
      </c>
      <c r="U829">
        <v>5</v>
      </c>
      <c r="V829" s="1">
        <v>45065</v>
      </c>
      <c r="W829" t="s">
        <v>62</v>
      </c>
      <c r="X829" t="s">
        <v>42</v>
      </c>
      <c r="Y829" t="s">
        <v>43</v>
      </c>
      <c r="Z829">
        <v>1</v>
      </c>
      <c r="AA829">
        <v>777.46</v>
      </c>
      <c r="AB829">
        <v>55</v>
      </c>
    </row>
    <row r="830" spans="1:28" x14ac:dyDescent="0.2">
      <c r="A830">
        <v>1320</v>
      </c>
      <c r="B830" s="1">
        <v>43459</v>
      </c>
      <c r="C830" t="s">
        <v>137</v>
      </c>
      <c r="D830" t="s">
        <v>74</v>
      </c>
      <c r="E830" t="s">
        <v>30</v>
      </c>
      <c r="F830" t="s">
        <v>46</v>
      </c>
      <c r="G830" t="s">
        <v>56</v>
      </c>
      <c r="H830" t="s">
        <v>55</v>
      </c>
      <c r="I830" t="s">
        <v>132</v>
      </c>
      <c r="J830" t="s">
        <v>101</v>
      </c>
      <c r="K830" s="2">
        <v>30565</v>
      </c>
      <c r="L830" t="s">
        <v>36</v>
      </c>
      <c r="M830" t="s">
        <v>37</v>
      </c>
      <c r="N830" t="s">
        <v>38</v>
      </c>
      <c r="O830" t="s">
        <v>39</v>
      </c>
      <c r="P830" t="s">
        <v>40</v>
      </c>
      <c r="Q830">
        <v>3</v>
      </c>
      <c r="R830" s="2">
        <v>44938</v>
      </c>
      <c r="S830">
        <v>5</v>
      </c>
      <c r="T830">
        <v>1</v>
      </c>
      <c r="U830">
        <v>5</v>
      </c>
      <c r="V830" s="1">
        <v>44798</v>
      </c>
      <c r="W830" t="s">
        <v>41</v>
      </c>
      <c r="X830" t="s">
        <v>51</v>
      </c>
      <c r="Y830" t="s">
        <v>63</v>
      </c>
      <c r="Z830">
        <v>3</v>
      </c>
      <c r="AA830">
        <v>948.71</v>
      </c>
      <c r="AB830">
        <v>35</v>
      </c>
    </row>
    <row r="831" spans="1:28" x14ac:dyDescent="0.2">
      <c r="A831">
        <v>1321</v>
      </c>
      <c r="B831" s="1">
        <v>44343</v>
      </c>
      <c r="C831" t="s">
        <v>138</v>
      </c>
      <c r="D831" t="s">
        <v>64</v>
      </c>
      <c r="E831" t="s">
        <v>30</v>
      </c>
      <c r="F831" t="s">
        <v>31</v>
      </c>
      <c r="G831" t="s">
        <v>45</v>
      </c>
      <c r="H831" t="s">
        <v>55</v>
      </c>
      <c r="I831" t="s">
        <v>132</v>
      </c>
      <c r="J831" t="s">
        <v>96</v>
      </c>
      <c r="K831" s="2">
        <v>21260</v>
      </c>
      <c r="L831" t="s">
        <v>36</v>
      </c>
      <c r="M831" t="s">
        <v>48</v>
      </c>
      <c r="N831" t="s">
        <v>72</v>
      </c>
      <c r="O831" t="s">
        <v>61</v>
      </c>
      <c r="P831" t="s">
        <v>40</v>
      </c>
      <c r="Q831">
        <v>3</v>
      </c>
      <c r="R831" s="2">
        <v>45046</v>
      </c>
      <c r="S831">
        <v>1</v>
      </c>
      <c r="T831">
        <v>5</v>
      </c>
      <c r="U831">
        <v>5</v>
      </c>
      <c r="V831" s="1">
        <v>44945</v>
      </c>
      <c r="W831" t="s">
        <v>50</v>
      </c>
      <c r="X831" t="s">
        <v>42</v>
      </c>
      <c r="Y831" t="s">
        <v>73</v>
      </c>
      <c r="Z831">
        <v>5</v>
      </c>
      <c r="AA831">
        <v>308.77</v>
      </c>
      <c r="AB831">
        <v>63</v>
      </c>
    </row>
    <row r="832" spans="1:28" x14ac:dyDescent="0.2">
      <c r="A832">
        <v>1322</v>
      </c>
      <c r="B832" s="1">
        <v>44959</v>
      </c>
      <c r="C832" t="s">
        <v>138</v>
      </c>
      <c r="D832" t="s">
        <v>64</v>
      </c>
      <c r="E832" t="s">
        <v>30</v>
      </c>
      <c r="F832" t="s">
        <v>55</v>
      </c>
      <c r="G832" t="s">
        <v>56</v>
      </c>
      <c r="H832" t="s">
        <v>55</v>
      </c>
      <c r="I832" t="s">
        <v>132</v>
      </c>
      <c r="J832" t="s">
        <v>82</v>
      </c>
      <c r="K832" s="2">
        <v>31185</v>
      </c>
      <c r="L832" t="s">
        <v>36</v>
      </c>
      <c r="M832" t="s">
        <v>37</v>
      </c>
      <c r="N832" t="s">
        <v>49</v>
      </c>
      <c r="O832" t="s">
        <v>39</v>
      </c>
      <c r="P832" t="s">
        <v>40</v>
      </c>
      <c r="Q832">
        <v>3</v>
      </c>
      <c r="R832" s="2">
        <v>44943</v>
      </c>
      <c r="S832">
        <v>1</v>
      </c>
      <c r="T832">
        <v>5</v>
      </c>
      <c r="U832">
        <v>2</v>
      </c>
      <c r="V832" s="1">
        <v>44981</v>
      </c>
      <c r="W832" t="s">
        <v>50</v>
      </c>
      <c r="X832" t="s">
        <v>51</v>
      </c>
      <c r="Y832" t="s">
        <v>52</v>
      </c>
      <c r="Z832">
        <v>1</v>
      </c>
      <c r="AA832">
        <v>891.25</v>
      </c>
      <c r="AB832">
        <v>38</v>
      </c>
    </row>
    <row r="833" spans="1:28" x14ac:dyDescent="0.2">
      <c r="A833">
        <v>1323</v>
      </c>
      <c r="B833" s="1">
        <v>44901</v>
      </c>
      <c r="C833" t="s">
        <v>137</v>
      </c>
      <c r="D833" t="s">
        <v>54</v>
      </c>
      <c r="E833" t="s">
        <v>30</v>
      </c>
      <c r="F833" t="s">
        <v>55</v>
      </c>
      <c r="G833" t="s">
        <v>56</v>
      </c>
      <c r="H833" t="s">
        <v>33</v>
      </c>
      <c r="I833" t="s">
        <v>132</v>
      </c>
      <c r="J833" t="s">
        <v>47</v>
      </c>
      <c r="K833" s="2">
        <v>19437</v>
      </c>
      <c r="L833" t="s">
        <v>36</v>
      </c>
      <c r="M833" t="s">
        <v>37</v>
      </c>
      <c r="N833" t="s">
        <v>72</v>
      </c>
      <c r="O833" t="s">
        <v>77</v>
      </c>
      <c r="P833" t="s">
        <v>40</v>
      </c>
      <c r="Q833">
        <v>3</v>
      </c>
      <c r="R833" s="2">
        <v>45048</v>
      </c>
      <c r="S833">
        <v>5</v>
      </c>
      <c r="T833">
        <v>1</v>
      </c>
      <c r="U833">
        <v>5</v>
      </c>
      <c r="V833" s="1">
        <v>45015</v>
      </c>
      <c r="W833" t="s">
        <v>50</v>
      </c>
      <c r="X833" t="s">
        <v>42</v>
      </c>
      <c r="Y833" t="s">
        <v>73</v>
      </c>
      <c r="Z833">
        <v>2</v>
      </c>
      <c r="AA833">
        <v>659.9</v>
      </c>
      <c r="AB833">
        <v>69</v>
      </c>
    </row>
    <row r="834" spans="1:28" x14ac:dyDescent="0.2">
      <c r="A834">
        <v>1324</v>
      </c>
      <c r="B834" s="1">
        <v>44400</v>
      </c>
      <c r="C834" t="s">
        <v>138</v>
      </c>
      <c r="D834" t="s">
        <v>87</v>
      </c>
      <c r="E834" t="s">
        <v>30</v>
      </c>
      <c r="F834" t="s">
        <v>46</v>
      </c>
      <c r="G834" t="s">
        <v>45</v>
      </c>
      <c r="H834" t="s">
        <v>46</v>
      </c>
      <c r="I834" t="s">
        <v>132</v>
      </c>
      <c r="J834" t="s">
        <v>65</v>
      </c>
      <c r="K834" s="2">
        <v>31713</v>
      </c>
      <c r="L834" t="s">
        <v>36</v>
      </c>
      <c r="M834" t="s">
        <v>37</v>
      </c>
      <c r="N834" t="s">
        <v>49</v>
      </c>
      <c r="O834" t="s">
        <v>61</v>
      </c>
      <c r="P834" t="s">
        <v>40</v>
      </c>
      <c r="Q834">
        <v>3</v>
      </c>
      <c r="R834" s="2">
        <v>44881</v>
      </c>
      <c r="S834">
        <v>5</v>
      </c>
      <c r="T834">
        <v>3</v>
      </c>
      <c r="U834">
        <v>3</v>
      </c>
      <c r="V834" s="1">
        <v>44834</v>
      </c>
      <c r="W834" t="s">
        <v>62</v>
      </c>
      <c r="X834" t="s">
        <v>42</v>
      </c>
      <c r="Y834" t="s">
        <v>43</v>
      </c>
      <c r="Z834">
        <v>2</v>
      </c>
      <c r="AA834">
        <v>858.72</v>
      </c>
      <c r="AB834">
        <v>35</v>
      </c>
    </row>
    <row r="835" spans="1:28" x14ac:dyDescent="0.2">
      <c r="A835">
        <v>1325</v>
      </c>
      <c r="B835" s="1">
        <v>43785</v>
      </c>
      <c r="C835" t="s">
        <v>138</v>
      </c>
      <c r="D835" t="s">
        <v>64</v>
      </c>
      <c r="E835" t="s">
        <v>30</v>
      </c>
      <c r="F835" t="s">
        <v>31</v>
      </c>
      <c r="G835" t="s">
        <v>56</v>
      </c>
      <c r="H835" t="s">
        <v>33</v>
      </c>
      <c r="I835" t="s">
        <v>132</v>
      </c>
      <c r="J835" t="s">
        <v>79</v>
      </c>
      <c r="K835" s="2">
        <v>30073</v>
      </c>
      <c r="L835" t="s">
        <v>36</v>
      </c>
      <c r="M835" t="s">
        <v>37</v>
      </c>
      <c r="N835" t="s">
        <v>72</v>
      </c>
      <c r="O835" t="s">
        <v>77</v>
      </c>
      <c r="P835" t="s">
        <v>40</v>
      </c>
      <c r="Q835">
        <v>3</v>
      </c>
      <c r="R835" s="2">
        <v>44912</v>
      </c>
      <c r="S835">
        <v>1</v>
      </c>
      <c r="T835">
        <v>5</v>
      </c>
      <c r="U835">
        <v>3</v>
      </c>
      <c r="V835" s="1">
        <v>45013</v>
      </c>
      <c r="W835" t="s">
        <v>62</v>
      </c>
      <c r="X835" t="s">
        <v>51</v>
      </c>
      <c r="Y835" t="s">
        <v>43</v>
      </c>
      <c r="Z835">
        <v>5</v>
      </c>
      <c r="AA835">
        <v>380.24</v>
      </c>
      <c r="AB835">
        <v>37</v>
      </c>
    </row>
    <row r="836" spans="1:28" x14ac:dyDescent="0.2">
      <c r="A836">
        <v>1326</v>
      </c>
      <c r="B836" s="1">
        <v>43898</v>
      </c>
      <c r="C836" t="s">
        <v>114</v>
      </c>
      <c r="D836" t="s">
        <v>94</v>
      </c>
      <c r="E836" t="s">
        <v>30</v>
      </c>
      <c r="F836" t="s">
        <v>55</v>
      </c>
      <c r="G836" t="s">
        <v>45</v>
      </c>
      <c r="H836" t="s">
        <v>33</v>
      </c>
      <c r="I836" t="s">
        <v>132</v>
      </c>
      <c r="J836" t="s">
        <v>75</v>
      </c>
      <c r="K836" s="2">
        <v>28446</v>
      </c>
      <c r="L836" t="s">
        <v>36</v>
      </c>
      <c r="M836" t="s">
        <v>48</v>
      </c>
      <c r="N836" t="s">
        <v>38</v>
      </c>
      <c r="O836" t="s">
        <v>39</v>
      </c>
      <c r="P836" t="s">
        <v>40</v>
      </c>
      <c r="Q836">
        <v>3</v>
      </c>
      <c r="R836" s="2">
        <v>44989</v>
      </c>
      <c r="S836">
        <v>5</v>
      </c>
      <c r="T836">
        <v>3</v>
      </c>
      <c r="U836">
        <v>1</v>
      </c>
      <c r="V836" s="1">
        <v>45047</v>
      </c>
      <c r="W836" t="s">
        <v>41</v>
      </c>
      <c r="X836" t="s">
        <v>51</v>
      </c>
      <c r="Y836" t="s">
        <v>73</v>
      </c>
      <c r="Z836">
        <v>5</v>
      </c>
      <c r="AA836">
        <v>505.4</v>
      </c>
      <c r="AB836">
        <v>43</v>
      </c>
    </row>
    <row r="837" spans="1:28" x14ac:dyDescent="0.2">
      <c r="A837">
        <v>1327</v>
      </c>
      <c r="B837" s="1">
        <v>43479</v>
      </c>
      <c r="C837" t="s">
        <v>114</v>
      </c>
      <c r="D837" t="s">
        <v>74</v>
      </c>
      <c r="E837" t="s">
        <v>30</v>
      </c>
      <c r="F837" t="s">
        <v>46</v>
      </c>
      <c r="G837" t="s">
        <v>56</v>
      </c>
      <c r="H837" t="s">
        <v>33</v>
      </c>
      <c r="I837" t="s">
        <v>132</v>
      </c>
      <c r="J837" t="s">
        <v>79</v>
      </c>
      <c r="K837" s="2">
        <v>21966</v>
      </c>
      <c r="L837" t="s">
        <v>36</v>
      </c>
      <c r="M837" t="s">
        <v>48</v>
      </c>
      <c r="N837" t="s">
        <v>38</v>
      </c>
      <c r="O837" t="s">
        <v>61</v>
      </c>
      <c r="P837" t="s">
        <v>40</v>
      </c>
      <c r="Q837">
        <v>3</v>
      </c>
      <c r="R837" s="2">
        <v>45008</v>
      </c>
      <c r="S837">
        <v>5</v>
      </c>
      <c r="T837">
        <v>3</v>
      </c>
      <c r="U837">
        <v>4</v>
      </c>
      <c r="V837" s="1">
        <v>45109</v>
      </c>
      <c r="W837" t="s">
        <v>41</v>
      </c>
      <c r="X837" t="s">
        <v>42</v>
      </c>
      <c r="Y837" t="s">
        <v>73</v>
      </c>
      <c r="Z837">
        <v>3</v>
      </c>
      <c r="AA837">
        <v>609.01</v>
      </c>
      <c r="AB837">
        <v>59</v>
      </c>
    </row>
    <row r="838" spans="1:28" x14ac:dyDescent="0.2">
      <c r="A838">
        <v>1328</v>
      </c>
      <c r="B838" s="1">
        <v>43890</v>
      </c>
      <c r="C838" t="s">
        <v>114</v>
      </c>
      <c r="D838" t="s">
        <v>81</v>
      </c>
      <c r="E838" t="s">
        <v>30</v>
      </c>
      <c r="F838" t="s">
        <v>46</v>
      </c>
      <c r="G838" t="s">
        <v>32</v>
      </c>
      <c r="H838" t="s">
        <v>55</v>
      </c>
      <c r="I838" t="s">
        <v>95</v>
      </c>
      <c r="J838" t="s">
        <v>82</v>
      </c>
      <c r="K838" s="2">
        <v>27752</v>
      </c>
      <c r="L838" t="s">
        <v>36</v>
      </c>
      <c r="M838" t="s">
        <v>48</v>
      </c>
      <c r="N838" t="s">
        <v>84</v>
      </c>
      <c r="O838" t="s">
        <v>61</v>
      </c>
      <c r="P838" t="s">
        <v>40</v>
      </c>
      <c r="Q838">
        <v>3</v>
      </c>
      <c r="R838" s="2">
        <v>44872</v>
      </c>
      <c r="S838">
        <v>1</v>
      </c>
      <c r="T838">
        <v>4</v>
      </c>
      <c r="U838">
        <v>3</v>
      </c>
      <c r="V838" s="1">
        <v>45009</v>
      </c>
      <c r="W838" t="s">
        <v>50</v>
      </c>
      <c r="X838" t="s">
        <v>42</v>
      </c>
      <c r="Y838" t="s">
        <v>43</v>
      </c>
      <c r="Z838">
        <v>3</v>
      </c>
      <c r="AA838">
        <v>656.38</v>
      </c>
      <c r="AB838">
        <v>45</v>
      </c>
    </row>
    <row r="839" spans="1:28" x14ac:dyDescent="0.2">
      <c r="A839">
        <v>1329</v>
      </c>
      <c r="B839" s="1">
        <v>44890</v>
      </c>
      <c r="C839" t="s">
        <v>128</v>
      </c>
      <c r="D839" t="s">
        <v>54</v>
      </c>
      <c r="E839" t="s">
        <v>30</v>
      </c>
      <c r="F839" t="s">
        <v>31</v>
      </c>
      <c r="G839" t="s">
        <v>56</v>
      </c>
      <c r="H839" t="s">
        <v>46</v>
      </c>
      <c r="I839" t="s">
        <v>129</v>
      </c>
      <c r="J839" t="s">
        <v>70</v>
      </c>
      <c r="K839" s="2">
        <v>21490</v>
      </c>
      <c r="L839" t="s">
        <v>36</v>
      </c>
      <c r="M839" t="s">
        <v>48</v>
      </c>
      <c r="N839" t="s">
        <v>72</v>
      </c>
      <c r="O839" t="s">
        <v>39</v>
      </c>
      <c r="P839" t="s">
        <v>40</v>
      </c>
      <c r="Q839">
        <v>3</v>
      </c>
      <c r="R839" s="2">
        <v>45069</v>
      </c>
      <c r="S839">
        <v>3</v>
      </c>
      <c r="T839">
        <v>2</v>
      </c>
      <c r="U839">
        <v>5</v>
      </c>
      <c r="V839" s="1">
        <v>45088</v>
      </c>
      <c r="W839" t="s">
        <v>62</v>
      </c>
      <c r="X839" t="s">
        <v>51</v>
      </c>
      <c r="Y839" t="s">
        <v>73</v>
      </c>
      <c r="Z839">
        <v>5</v>
      </c>
      <c r="AA839">
        <v>692.63</v>
      </c>
      <c r="AB839">
        <v>64</v>
      </c>
    </row>
    <row r="840" spans="1:28" x14ac:dyDescent="0.2">
      <c r="A840">
        <v>1330</v>
      </c>
      <c r="B840" s="1">
        <v>44819</v>
      </c>
      <c r="C840" t="s">
        <v>138</v>
      </c>
      <c r="D840" t="s">
        <v>87</v>
      </c>
      <c r="E840" t="s">
        <v>30</v>
      </c>
      <c r="F840" t="s">
        <v>55</v>
      </c>
      <c r="G840" t="s">
        <v>45</v>
      </c>
      <c r="H840" t="s">
        <v>46</v>
      </c>
      <c r="I840" t="s">
        <v>132</v>
      </c>
      <c r="J840" t="s">
        <v>65</v>
      </c>
      <c r="K840" s="2">
        <v>32933</v>
      </c>
      <c r="L840" t="s">
        <v>36</v>
      </c>
      <c r="M840" t="s">
        <v>37</v>
      </c>
      <c r="N840" t="s">
        <v>38</v>
      </c>
      <c r="O840" t="s">
        <v>77</v>
      </c>
      <c r="P840" t="s">
        <v>40</v>
      </c>
      <c r="Q840">
        <v>3</v>
      </c>
      <c r="R840" s="2">
        <v>44829</v>
      </c>
      <c r="S840">
        <v>3</v>
      </c>
      <c r="T840">
        <v>5</v>
      </c>
      <c r="U840">
        <v>2</v>
      </c>
      <c r="V840" s="1">
        <v>44885</v>
      </c>
      <c r="W840" t="s">
        <v>62</v>
      </c>
      <c r="X840" t="s">
        <v>42</v>
      </c>
      <c r="Y840" t="s">
        <v>52</v>
      </c>
      <c r="Z840">
        <v>3</v>
      </c>
      <c r="AA840">
        <v>633.72</v>
      </c>
      <c r="AB840">
        <v>32</v>
      </c>
    </row>
    <row r="841" spans="1:28" x14ac:dyDescent="0.2">
      <c r="A841">
        <v>1331</v>
      </c>
      <c r="B841" s="1">
        <v>44419</v>
      </c>
      <c r="C841" t="s">
        <v>138</v>
      </c>
      <c r="D841" t="s">
        <v>64</v>
      </c>
      <c r="E841" t="s">
        <v>30</v>
      </c>
      <c r="F841" t="s">
        <v>55</v>
      </c>
      <c r="G841" t="s">
        <v>32</v>
      </c>
      <c r="H841" t="s">
        <v>33</v>
      </c>
      <c r="I841" t="s">
        <v>132</v>
      </c>
      <c r="J841" t="s">
        <v>104</v>
      </c>
      <c r="K841" s="2">
        <v>17095</v>
      </c>
      <c r="L841" t="s">
        <v>36</v>
      </c>
      <c r="M841" t="s">
        <v>37</v>
      </c>
      <c r="N841" t="s">
        <v>72</v>
      </c>
      <c r="O841" t="s">
        <v>39</v>
      </c>
      <c r="P841" t="s">
        <v>40</v>
      </c>
      <c r="Q841">
        <v>3</v>
      </c>
      <c r="R841" s="2">
        <v>45062</v>
      </c>
      <c r="S841">
        <v>3</v>
      </c>
      <c r="T841">
        <v>2</v>
      </c>
      <c r="U841">
        <v>5</v>
      </c>
      <c r="V841" s="1">
        <v>44818</v>
      </c>
      <c r="W841" t="s">
        <v>92</v>
      </c>
      <c r="X841" t="s">
        <v>42</v>
      </c>
      <c r="Y841" t="s">
        <v>43</v>
      </c>
      <c r="Z841">
        <v>2</v>
      </c>
      <c r="AA841">
        <v>517.62</v>
      </c>
      <c r="AB841">
        <v>75</v>
      </c>
    </row>
    <row r="842" spans="1:28" x14ac:dyDescent="0.2">
      <c r="A842">
        <v>1332</v>
      </c>
      <c r="B842" s="1">
        <v>45141</v>
      </c>
      <c r="C842" t="s">
        <v>114</v>
      </c>
      <c r="D842" t="s">
        <v>94</v>
      </c>
      <c r="E842" t="s">
        <v>30</v>
      </c>
      <c r="F842" t="s">
        <v>31</v>
      </c>
      <c r="G842" t="s">
        <v>56</v>
      </c>
      <c r="H842" t="s">
        <v>46</v>
      </c>
      <c r="I842" t="s">
        <v>132</v>
      </c>
      <c r="J842" t="s">
        <v>101</v>
      </c>
      <c r="K842" s="2">
        <v>17097</v>
      </c>
      <c r="L842" t="s">
        <v>36</v>
      </c>
      <c r="M842" t="s">
        <v>48</v>
      </c>
      <c r="N842" t="s">
        <v>49</v>
      </c>
      <c r="O842" t="s">
        <v>77</v>
      </c>
      <c r="P842" t="s">
        <v>40</v>
      </c>
      <c r="Q842">
        <v>3</v>
      </c>
      <c r="R842" s="2">
        <v>45029</v>
      </c>
      <c r="S842">
        <v>1</v>
      </c>
      <c r="T842">
        <v>2</v>
      </c>
      <c r="U842">
        <v>5</v>
      </c>
      <c r="V842" s="1">
        <v>44786</v>
      </c>
      <c r="W842" t="s">
        <v>41</v>
      </c>
      <c r="X842" t="s">
        <v>51</v>
      </c>
      <c r="Y842" t="s">
        <v>52</v>
      </c>
      <c r="Z842">
        <v>4</v>
      </c>
      <c r="AA842">
        <v>231.76</v>
      </c>
      <c r="AB842">
        <v>77</v>
      </c>
    </row>
    <row r="843" spans="1:28" x14ac:dyDescent="0.2">
      <c r="A843">
        <v>1333</v>
      </c>
      <c r="B843" s="1">
        <v>44634</v>
      </c>
      <c r="C843" t="s">
        <v>114</v>
      </c>
      <c r="D843" t="s">
        <v>74</v>
      </c>
      <c r="E843" t="s">
        <v>30</v>
      </c>
      <c r="F843" t="s">
        <v>46</v>
      </c>
      <c r="G843" t="s">
        <v>45</v>
      </c>
      <c r="H843" t="s">
        <v>46</v>
      </c>
      <c r="I843" t="s">
        <v>95</v>
      </c>
      <c r="J843" t="s">
        <v>70</v>
      </c>
      <c r="K843" s="2">
        <v>28595</v>
      </c>
      <c r="L843" t="s">
        <v>36</v>
      </c>
      <c r="M843" t="s">
        <v>48</v>
      </c>
      <c r="N843" t="s">
        <v>72</v>
      </c>
      <c r="O843" t="s">
        <v>77</v>
      </c>
      <c r="P843" t="s">
        <v>40</v>
      </c>
      <c r="Q843">
        <v>3</v>
      </c>
      <c r="R843" s="2">
        <v>44955</v>
      </c>
      <c r="S843">
        <v>3</v>
      </c>
      <c r="T843">
        <v>4</v>
      </c>
      <c r="U843">
        <v>5</v>
      </c>
      <c r="V843" s="1">
        <v>44986</v>
      </c>
      <c r="W843" t="s">
        <v>50</v>
      </c>
      <c r="X843" t="s">
        <v>42</v>
      </c>
      <c r="Y843" t="s">
        <v>73</v>
      </c>
      <c r="Z843">
        <v>2</v>
      </c>
      <c r="AA843">
        <v>605.12</v>
      </c>
      <c r="AB843">
        <v>44</v>
      </c>
    </row>
    <row r="844" spans="1:28" x14ac:dyDescent="0.2">
      <c r="A844">
        <v>1334</v>
      </c>
      <c r="B844" s="1">
        <v>44075</v>
      </c>
      <c r="C844" t="s">
        <v>114</v>
      </c>
      <c r="D844" t="s">
        <v>81</v>
      </c>
      <c r="E844" t="s">
        <v>30</v>
      </c>
      <c r="F844" t="s">
        <v>55</v>
      </c>
      <c r="G844" t="s">
        <v>56</v>
      </c>
      <c r="H844" t="s">
        <v>46</v>
      </c>
      <c r="I844" t="s">
        <v>95</v>
      </c>
      <c r="J844" t="s">
        <v>111</v>
      </c>
      <c r="K844" s="2">
        <v>19260</v>
      </c>
      <c r="L844" t="s">
        <v>36</v>
      </c>
      <c r="M844" t="s">
        <v>48</v>
      </c>
      <c r="N844" t="s">
        <v>60</v>
      </c>
      <c r="O844" t="s">
        <v>39</v>
      </c>
      <c r="P844" t="s">
        <v>40</v>
      </c>
      <c r="Q844">
        <v>3</v>
      </c>
      <c r="R844" s="2">
        <v>44916</v>
      </c>
      <c r="S844">
        <v>1</v>
      </c>
      <c r="T844">
        <v>3</v>
      </c>
      <c r="U844">
        <v>1</v>
      </c>
      <c r="V844" s="1">
        <v>45017</v>
      </c>
      <c r="W844" t="s">
        <v>62</v>
      </c>
      <c r="X844" t="s">
        <v>42</v>
      </c>
      <c r="Y844" t="s">
        <v>43</v>
      </c>
      <c r="Z844">
        <v>1</v>
      </c>
      <c r="AA844">
        <v>297.12</v>
      </c>
      <c r="AB844">
        <v>68</v>
      </c>
    </row>
    <row r="845" spans="1:28" x14ac:dyDescent="0.2">
      <c r="A845">
        <v>1335</v>
      </c>
      <c r="B845" s="1">
        <v>44500</v>
      </c>
      <c r="C845" t="s">
        <v>128</v>
      </c>
      <c r="D845" t="s">
        <v>81</v>
      </c>
      <c r="E845" t="s">
        <v>30</v>
      </c>
      <c r="F845" t="s">
        <v>31</v>
      </c>
      <c r="G845" t="s">
        <v>45</v>
      </c>
      <c r="H845" t="s">
        <v>55</v>
      </c>
      <c r="I845" t="s">
        <v>129</v>
      </c>
      <c r="J845" t="s">
        <v>65</v>
      </c>
      <c r="K845" s="2">
        <v>17495</v>
      </c>
      <c r="L845" t="s">
        <v>36</v>
      </c>
      <c r="M845" t="s">
        <v>37</v>
      </c>
      <c r="N845" t="s">
        <v>38</v>
      </c>
      <c r="O845" t="s">
        <v>77</v>
      </c>
      <c r="P845" t="s">
        <v>40</v>
      </c>
      <c r="Q845">
        <v>3</v>
      </c>
      <c r="R845" s="2">
        <v>44843</v>
      </c>
      <c r="S845">
        <v>4</v>
      </c>
      <c r="T845">
        <v>5</v>
      </c>
      <c r="U845">
        <v>5</v>
      </c>
      <c r="V845" s="1">
        <v>44977</v>
      </c>
      <c r="W845" t="s">
        <v>41</v>
      </c>
      <c r="X845" t="s">
        <v>42</v>
      </c>
      <c r="Y845" t="s">
        <v>52</v>
      </c>
      <c r="Z845">
        <v>2</v>
      </c>
      <c r="AA845">
        <v>384.43</v>
      </c>
      <c r="AB845">
        <v>74</v>
      </c>
    </row>
    <row r="846" spans="1:28" x14ac:dyDescent="0.2">
      <c r="A846">
        <v>1336</v>
      </c>
      <c r="B846" s="1">
        <v>43887</v>
      </c>
      <c r="C846" t="s">
        <v>138</v>
      </c>
      <c r="D846" t="s">
        <v>64</v>
      </c>
      <c r="E846" t="s">
        <v>30</v>
      </c>
      <c r="F846" t="s">
        <v>55</v>
      </c>
      <c r="G846" t="s">
        <v>45</v>
      </c>
      <c r="H846" t="s">
        <v>46</v>
      </c>
      <c r="I846" t="s">
        <v>132</v>
      </c>
      <c r="J846" t="s">
        <v>70</v>
      </c>
      <c r="K846" s="2">
        <v>17362</v>
      </c>
      <c r="L846" t="s">
        <v>36</v>
      </c>
      <c r="M846" t="s">
        <v>37</v>
      </c>
      <c r="N846" t="s">
        <v>72</v>
      </c>
      <c r="O846" t="s">
        <v>67</v>
      </c>
      <c r="P846" t="s">
        <v>40</v>
      </c>
      <c r="Q846">
        <v>3</v>
      </c>
      <c r="R846" s="2">
        <v>44994</v>
      </c>
      <c r="S846">
        <v>5</v>
      </c>
      <c r="T846">
        <v>1</v>
      </c>
      <c r="U846">
        <v>4</v>
      </c>
      <c r="V846" s="1">
        <v>44914</v>
      </c>
      <c r="W846" t="s">
        <v>41</v>
      </c>
      <c r="X846" t="s">
        <v>42</v>
      </c>
      <c r="Y846" t="s">
        <v>73</v>
      </c>
      <c r="Z846">
        <v>4</v>
      </c>
      <c r="AA846">
        <v>969.95</v>
      </c>
      <c r="AB846">
        <v>73</v>
      </c>
    </row>
    <row r="847" spans="1:28" x14ac:dyDescent="0.2">
      <c r="A847">
        <v>1337</v>
      </c>
      <c r="B847" s="1">
        <v>43322</v>
      </c>
      <c r="C847" t="s">
        <v>138</v>
      </c>
      <c r="D847" t="s">
        <v>74</v>
      </c>
      <c r="E847" t="s">
        <v>30</v>
      </c>
      <c r="F847" t="s">
        <v>55</v>
      </c>
      <c r="G847" t="s">
        <v>45</v>
      </c>
      <c r="H847" t="s">
        <v>33</v>
      </c>
      <c r="I847" t="s">
        <v>132</v>
      </c>
      <c r="J847" t="s">
        <v>65</v>
      </c>
      <c r="K847" s="2">
        <v>19448</v>
      </c>
      <c r="L847" t="s">
        <v>36</v>
      </c>
      <c r="M847" t="s">
        <v>37</v>
      </c>
      <c r="N847" t="s">
        <v>38</v>
      </c>
      <c r="O847" t="s">
        <v>61</v>
      </c>
      <c r="P847" t="s">
        <v>40</v>
      </c>
      <c r="Q847">
        <v>3</v>
      </c>
      <c r="R847" s="2">
        <v>44866</v>
      </c>
      <c r="S847">
        <v>3</v>
      </c>
      <c r="T847">
        <v>3</v>
      </c>
      <c r="U847">
        <v>4</v>
      </c>
      <c r="V847" s="1">
        <v>44943</v>
      </c>
      <c r="W847" t="s">
        <v>62</v>
      </c>
      <c r="X847" t="s">
        <v>51</v>
      </c>
      <c r="Y847" t="s">
        <v>43</v>
      </c>
      <c r="Z847">
        <v>5</v>
      </c>
      <c r="AA847">
        <v>719.7</v>
      </c>
      <c r="AB847">
        <v>65</v>
      </c>
    </row>
    <row r="848" spans="1:28" x14ac:dyDescent="0.2">
      <c r="A848">
        <v>1338</v>
      </c>
      <c r="B848" s="1">
        <v>44104</v>
      </c>
      <c r="C848" t="s">
        <v>114</v>
      </c>
      <c r="D848" t="s">
        <v>69</v>
      </c>
      <c r="E848" t="s">
        <v>30</v>
      </c>
      <c r="F848" t="s">
        <v>31</v>
      </c>
      <c r="G848" t="s">
        <v>32</v>
      </c>
      <c r="H848" t="s">
        <v>46</v>
      </c>
      <c r="I848" t="s">
        <v>132</v>
      </c>
      <c r="J848" t="s">
        <v>100</v>
      </c>
      <c r="K848" s="2">
        <v>32216</v>
      </c>
      <c r="L848" t="s">
        <v>36</v>
      </c>
      <c r="M848" t="s">
        <v>48</v>
      </c>
      <c r="N848" t="s">
        <v>60</v>
      </c>
      <c r="O848" t="s">
        <v>39</v>
      </c>
      <c r="P848" t="s">
        <v>40</v>
      </c>
      <c r="Q848">
        <v>3</v>
      </c>
      <c r="R848" s="2">
        <v>44854</v>
      </c>
      <c r="S848">
        <v>1</v>
      </c>
      <c r="T848">
        <v>1</v>
      </c>
      <c r="U848">
        <v>1</v>
      </c>
      <c r="V848" s="1">
        <v>44864</v>
      </c>
      <c r="W848" t="s">
        <v>41</v>
      </c>
      <c r="X848" t="s">
        <v>51</v>
      </c>
      <c r="Y848" t="s">
        <v>52</v>
      </c>
      <c r="Z848">
        <v>1</v>
      </c>
      <c r="AA848">
        <v>355.83</v>
      </c>
      <c r="AB848">
        <v>32</v>
      </c>
    </row>
    <row r="849" spans="1:28" x14ac:dyDescent="0.2">
      <c r="A849">
        <v>1339</v>
      </c>
      <c r="B849" s="1">
        <v>44287</v>
      </c>
      <c r="C849" t="s">
        <v>114</v>
      </c>
      <c r="D849" t="s">
        <v>29</v>
      </c>
      <c r="E849" t="s">
        <v>30</v>
      </c>
      <c r="F849" t="s">
        <v>31</v>
      </c>
      <c r="G849" t="s">
        <v>56</v>
      </c>
      <c r="H849" t="s">
        <v>33</v>
      </c>
      <c r="I849" t="s">
        <v>95</v>
      </c>
      <c r="J849" t="s">
        <v>101</v>
      </c>
      <c r="K849" s="2">
        <v>29909</v>
      </c>
      <c r="L849" t="s">
        <v>36</v>
      </c>
      <c r="M849" t="s">
        <v>48</v>
      </c>
      <c r="N849" t="s">
        <v>49</v>
      </c>
      <c r="O849" t="s">
        <v>39</v>
      </c>
      <c r="P849" t="s">
        <v>40</v>
      </c>
      <c r="Q849">
        <v>3</v>
      </c>
      <c r="R849" s="2">
        <v>44897</v>
      </c>
      <c r="S849">
        <v>1</v>
      </c>
      <c r="T849">
        <v>3</v>
      </c>
      <c r="U849">
        <v>2</v>
      </c>
      <c r="V849" s="1">
        <v>44889</v>
      </c>
      <c r="W849" t="s">
        <v>50</v>
      </c>
      <c r="X849" t="s">
        <v>42</v>
      </c>
      <c r="Y849" t="s">
        <v>52</v>
      </c>
      <c r="Z849">
        <v>3</v>
      </c>
      <c r="AA849">
        <v>754.47</v>
      </c>
      <c r="AB849">
        <v>40</v>
      </c>
    </row>
    <row r="850" spans="1:28" x14ac:dyDescent="0.2">
      <c r="A850">
        <v>1340</v>
      </c>
      <c r="B850" s="1">
        <v>44276</v>
      </c>
      <c r="C850" t="s">
        <v>114</v>
      </c>
      <c r="D850" t="s">
        <v>44</v>
      </c>
      <c r="E850" t="s">
        <v>30</v>
      </c>
      <c r="F850" t="s">
        <v>55</v>
      </c>
      <c r="G850" t="s">
        <v>56</v>
      </c>
      <c r="H850" t="s">
        <v>46</v>
      </c>
      <c r="I850" t="s">
        <v>95</v>
      </c>
      <c r="J850" t="s">
        <v>75</v>
      </c>
      <c r="K850" s="2">
        <v>16518</v>
      </c>
      <c r="L850" t="s">
        <v>36</v>
      </c>
      <c r="M850" t="s">
        <v>48</v>
      </c>
      <c r="N850" t="s">
        <v>38</v>
      </c>
      <c r="O850" t="s">
        <v>77</v>
      </c>
      <c r="P850" t="s">
        <v>40</v>
      </c>
      <c r="Q850">
        <v>3</v>
      </c>
      <c r="R850" s="2">
        <v>45074</v>
      </c>
      <c r="S850">
        <v>5</v>
      </c>
      <c r="T850">
        <v>4</v>
      </c>
      <c r="U850">
        <v>4</v>
      </c>
      <c r="V850" s="1">
        <v>44963</v>
      </c>
      <c r="W850" t="s">
        <v>41</v>
      </c>
      <c r="X850" t="s">
        <v>51</v>
      </c>
      <c r="Y850" t="s">
        <v>52</v>
      </c>
      <c r="Z850">
        <v>2</v>
      </c>
      <c r="AA850">
        <v>890.39</v>
      </c>
      <c r="AB850">
        <v>76</v>
      </c>
    </row>
    <row r="851" spans="1:28" x14ac:dyDescent="0.2">
      <c r="A851">
        <v>1341</v>
      </c>
      <c r="B851" s="1">
        <v>44503</v>
      </c>
      <c r="C851" t="s">
        <v>127</v>
      </c>
      <c r="D851" t="s">
        <v>29</v>
      </c>
      <c r="E851" t="s">
        <v>30</v>
      </c>
      <c r="F851" t="s">
        <v>46</v>
      </c>
      <c r="G851" t="s">
        <v>32</v>
      </c>
      <c r="H851" t="s">
        <v>55</v>
      </c>
      <c r="I851" t="s">
        <v>129</v>
      </c>
      <c r="J851" t="s">
        <v>79</v>
      </c>
      <c r="K851" s="2">
        <v>28908</v>
      </c>
      <c r="L851" t="s">
        <v>36</v>
      </c>
      <c r="M851" t="s">
        <v>37</v>
      </c>
      <c r="N851" t="s">
        <v>49</v>
      </c>
      <c r="O851" t="s">
        <v>61</v>
      </c>
      <c r="P851" t="s">
        <v>40</v>
      </c>
      <c r="Q851">
        <v>3</v>
      </c>
      <c r="R851" s="2">
        <v>45061</v>
      </c>
      <c r="S851">
        <v>1</v>
      </c>
      <c r="T851">
        <v>3</v>
      </c>
      <c r="U851">
        <v>4</v>
      </c>
      <c r="V851" s="1">
        <v>44971</v>
      </c>
      <c r="W851" t="s">
        <v>62</v>
      </c>
      <c r="X851" t="s">
        <v>42</v>
      </c>
      <c r="Y851" t="s">
        <v>73</v>
      </c>
      <c r="Z851">
        <v>3</v>
      </c>
      <c r="AA851">
        <v>268.77999999999997</v>
      </c>
      <c r="AB851">
        <v>42</v>
      </c>
    </row>
    <row r="852" spans="1:28" x14ac:dyDescent="0.2">
      <c r="A852">
        <v>1342</v>
      </c>
      <c r="B852" s="1">
        <v>43638</v>
      </c>
      <c r="C852" t="s">
        <v>138</v>
      </c>
      <c r="D852" t="s">
        <v>44</v>
      </c>
      <c r="E852" t="s">
        <v>30</v>
      </c>
      <c r="F852" t="s">
        <v>55</v>
      </c>
      <c r="G852" t="s">
        <v>56</v>
      </c>
      <c r="H852" t="s">
        <v>46</v>
      </c>
      <c r="I852" t="s">
        <v>132</v>
      </c>
      <c r="J852" t="s">
        <v>47</v>
      </c>
      <c r="K852" s="2">
        <v>31228</v>
      </c>
      <c r="L852" t="s">
        <v>36</v>
      </c>
      <c r="M852" t="s">
        <v>37</v>
      </c>
      <c r="N852" t="s">
        <v>84</v>
      </c>
      <c r="O852" t="s">
        <v>61</v>
      </c>
      <c r="P852" t="s">
        <v>40</v>
      </c>
      <c r="Q852">
        <v>3</v>
      </c>
      <c r="R852" s="2">
        <v>44915</v>
      </c>
      <c r="S852">
        <v>3</v>
      </c>
      <c r="T852">
        <v>2</v>
      </c>
      <c r="U852">
        <v>2</v>
      </c>
      <c r="V852" s="1">
        <v>44954</v>
      </c>
      <c r="W852" t="s">
        <v>62</v>
      </c>
      <c r="X852" t="s">
        <v>42</v>
      </c>
      <c r="Y852" t="s">
        <v>43</v>
      </c>
      <c r="Z852">
        <v>4</v>
      </c>
      <c r="AA852">
        <v>930.72</v>
      </c>
      <c r="AB852">
        <v>34</v>
      </c>
    </row>
    <row r="853" spans="1:28" x14ac:dyDescent="0.2">
      <c r="A853">
        <v>1343</v>
      </c>
      <c r="B853" s="1">
        <v>43781</v>
      </c>
      <c r="C853" t="s">
        <v>138</v>
      </c>
      <c r="D853" t="s">
        <v>87</v>
      </c>
      <c r="E853" t="s">
        <v>30</v>
      </c>
      <c r="F853" t="s">
        <v>31</v>
      </c>
      <c r="G853" t="s">
        <v>56</v>
      </c>
      <c r="H853" t="s">
        <v>33</v>
      </c>
      <c r="I853" t="s">
        <v>132</v>
      </c>
      <c r="J853" t="s">
        <v>100</v>
      </c>
      <c r="K853" s="2">
        <v>21336</v>
      </c>
      <c r="L853" t="s">
        <v>36</v>
      </c>
      <c r="M853" t="s">
        <v>37</v>
      </c>
      <c r="N853" t="s">
        <v>38</v>
      </c>
      <c r="O853" t="s">
        <v>67</v>
      </c>
      <c r="P853" t="s">
        <v>40</v>
      </c>
      <c r="Q853">
        <v>3</v>
      </c>
      <c r="R853" s="2">
        <v>44811</v>
      </c>
      <c r="S853">
        <v>1</v>
      </c>
      <c r="T853">
        <v>2</v>
      </c>
      <c r="U853">
        <v>3</v>
      </c>
      <c r="V853" s="1">
        <v>44806</v>
      </c>
      <c r="W853" t="s">
        <v>50</v>
      </c>
      <c r="X853" t="s">
        <v>51</v>
      </c>
      <c r="Y853" t="s">
        <v>63</v>
      </c>
      <c r="Z853">
        <v>5</v>
      </c>
      <c r="AA853">
        <v>924.85</v>
      </c>
      <c r="AB853">
        <v>61</v>
      </c>
    </row>
    <row r="854" spans="1:28" x14ac:dyDescent="0.2">
      <c r="A854">
        <v>1344</v>
      </c>
      <c r="B854" s="1">
        <v>44824</v>
      </c>
      <c r="C854" t="s">
        <v>138</v>
      </c>
      <c r="D854" t="s">
        <v>64</v>
      </c>
      <c r="E854" t="s">
        <v>30</v>
      </c>
      <c r="F854" t="s">
        <v>46</v>
      </c>
      <c r="G854" t="s">
        <v>45</v>
      </c>
      <c r="H854" t="s">
        <v>46</v>
      </c>
      <c r="I854" t="s">
        <v>132</v>
      </c>
      <c r="J854" t="s">
        <v>65</v>
      </c>
      <c r="K854" s="2">
        <v>29576</v>
      </c>
      <c r="L854" t="s">
        <v>36</v>
      </c>
      <c r="M854" t="s">
        <v>48</v>
      </c>
      <c r="N854" t="s">
        <v>38</v>
      </c>
      <c r="O854" t="s">
        <v>61</v>
      </c>
      <c r="P854" t="s">
        <v>40</v>
      </c>
      <c r="Q854">
        <v>3</v>
      </c>
      <c r="R854" s="2">
        <v>44796</v>
      </c>
      <c r="S854">
        <v>1</v>
      </c>
      <c r="T854">
        <v>4</v>
      </c>
      <c r="U854">
        <v>5</v>
      </c>
      <c r="V854" s="1">
        <v>44866</v>
      </c>
      <c r="W854" t="s">
        <v>68</v>
      </c>
      <c r="X854" t="s">
        <v>42</v>
      </c>
      <c r="Y854" t="s">
        <v>52</v>
      </c>
      <c r="Z854">
        <v>5</v>
      </c>
      <c r="AA854">
        <v>284.38</v>
      </c>
      <c r="AB854">
        <v>42</v>
      </c>
    </row>
    <row r="855" spans="1:28" x14ac:dyDescent="0.2">
      <c r="A855">
        <v>1345</v>
      </c>
      <c r="B855" s="1">
        <v>44953</v>
      </c>
      <c r="C855" t="s">
        <v>114</v>
      </c>
      <c r="D855" t="s">
        <v>94</v>
      </c>
      <c r="E855" t="s">
        <v>30</v>
      </c>
      <c r="F855" t="s">
        <v>55</v>
      </c>
      <c r="G855" t="s">
        <v>45</v>
      </c>
      <c r="H855" t="s">
        <v>55</v>
      </c>
      <c r="I855" t="s">
        <v>132</v>
      </c>
      <c r="J855" t="s">
        <v>97</v>
      </c>
      <c r="K855" s="2">
        <v>28623</v>
      </c>
      <c r="L855" t="s">
        <v>36</v>
      </c>
      <c r="M855" t="s">
        <v>48</v>
      </c>
      <c r="N855" t="s">
        <v>60</v>
      </c>
      <c r="O855" t="s">
        <v>61</v>
      </c>
      <c r="P855" t="s">
        <v>40</v>
      </c>
      <c r="Q855">
        <v>3</v>
      </c>
      <c r="R855" s="2">
        <v>44801</v>
      </c>
      <c r="S855">
        <v>2</v>
      </c>
      <c r="T855">
        <v>4</v>
      </c>
      <c r="U855">
        <v>4</v>
      </c>
      <c r="V855" s="1">
        <v>44895</v>
      </c>
      <c r="W855" t="s">
        <v>92</v>
      </c>
      <c r="X855" t="s">
        <v>51</v>
      </c>
      <c r="Y855" t="s">
        <v>73</v>
      </c>
      <c r="Z855">
        <v>1</v>
      </c>
      <c r="AA855">
        <v>395.1</v>
      </c>
      <c r="AB855">
        <v>45</v>
      </c>
    </row>
    <row r="856" spans="1:28" x14ac:dyDescent="0.2">
      <c r="A856">
        <v>1346</v>
      </c>
      <c r="B856" s="1">
        <v>44248</v>
      </c>
      <c r="C856" t="s">
        <v>114</v>
      </c>
      <c r="D856" t="s">
        <v>74</v>
      </c>
      <c r="E856" t="s">
        <v>30</v>
      </c>
      <c r="F856" t="s">
        <v>31</v>
      </c>
      <c r="G856" t="s">
        <v>32</v>
      </c>
      <c r="H856" t="s">
        <v>33</v>
      </c>
      <c r="I856" t="s">
        <v>95</v>
      </c>
      <c r="J856" t="s">
        <v>70</v>
      </c>
      <c r="K856" s="2">
        <v>17789</v>
      </c>
      <c r="L856" t="s">
        <v>36</v>
      </c>
      <c r="M856" t="s">
        <v>48</v>
      </c>
      <c r="N856" t="s">
        <v>38</v>
      </c>
      <c r="O856" t="s">
        <v>77</v>
      </c>
      <c r="P856" t="s">
        <v>40</v>
      </c>
      <c r="Q856">
        <v>3</v>
      </c>
      <c r="R856" s="2">
        <v>45044</v>
      </c>
      <c r="S856">
        <v>4</v>
      </c>
      <c r="T856">
        <v>2</v>
      </c>
      <c r="U856">
        <v>3</v>
      </c>
      <c r="V856" s="1">
        <v>45109</v>
      </c>
      <c r="W856" t="s">
        <v>68</v>
      </c>
      <c r="X856" t="s">
        <v>51</v>
      </c>
      <c r="Y856" t="s">
        <v>43</v>
      </c>
      <c r="Z856">
        <v>2</v>
      </c>
      <c r="AA856">
        <v>501.64</v>
      </c>
      <c r="AB856">
        <v>73</v>
      </c>
    </row>
    <row r="857" spans="1:28" x14ac:dyDescent="0.2">
      <c r="A857">
        <v>1347</v>
      </c>
      <c r="B857" s="1">
        <v>44624</v>
      </c>
      <c r="C857" t="s">
        <v>114</v>
      </c>
      <c r="D857" t="s">
        <v>81</v>
      </c>
      <c r="E857" t="s">
        <v>30</v>
      </c>
      <c r="F857" t="s">
        <v>46</v>
      </c>
      <c r="G857" t="s">
        <v>56</v>
      </c>
      <c r="H857" t="s">
        <v>55</v>
      </c>
      <c r="I857" t="s">
        <v>95</v>
      </c>
      <c r="J857" t="s">
        <v>65</v>
      </c>
      <c r="K857" s="2">
        <v>34779</v>
      </c>
      <c r="L857" t="s">
        <v>36</v>
      </c>
      <c r="M857" t="s">
        <v>48</v>
      </c>
      <c r="N857" t="s">
        <v>49</v>
      </c>
      <c r="O857" t="s">
        <v>67</v>
      </c>
      <c r="P857" t="s">
        <v>40</v>
      </c>
      <c r="Q857">
        <v>3</v>
      </c>
      <c r="R857" s="2">
        <v>44985</v>
      </c>
      <c r="S857">
        <v>4</v>
      </c>
      <c r="T857">
        <v>3</v>
      </c>
      <c r="U857">
        <v>1</v>
      </c>
      <c r="V857" s="1">
        <v>44856</v>
      </c>
      <c r="W857" t="s">
        <v>92</v>
      </c>
      <c r="X857" t="s">
        <v>42</v>
      </c>
      <c r="Y857" t="s">
        <v>43</v>
      </c>
      <c r="Z857">
        <v>5</v>
      </c>
      <c r="AA857">
        <v>792.72</v>
      </c>
      <c r="AB857">
        <v>27</v>
      </c>
    </row>
    <row r="858" spans="1:28" x14ac:dyDescent="0.2">
      <c r="A858">
        <v>1349</v>
      </c>
      <c r="B858" s="1">
        <v>44410</v>
      </c>
      <c r="C858" t="s">
        <v>138</v>
      </c>
      <c r="D858" t="s">
        <v>44</v>
      </c>
      <c r="E858" t="s">
        <v>30</v>
      </c>
      <c r="F858" t="s">
        <v>55</v>
      </c>
      <c r="G858" t="s">
        <v>56</v>
      </c>
      <c r="H858" t="s">
        <v>46</v>
      </c>
      <c r="I858" t="s">
        <v>132</v>
      </c>
      <c r="J858" t="s">
        <v>135</v>
      </c>
      <c r="K858" s="2">
        <v>18229</v>
      </c>
      <c r="L858" t="s">
        <v>36</v>
      </c>
      <c r="M858" t="s">
        <v>37</v>
      </c>
      <c r="N858" t="s">
        <v>38</v>
      </c>
      <c r="O858" t="s">
        <v>77</v>
      </c>
      <c r="P858" t="s">
        <v>40</v>
      </c>
      <c r="Q858">
        <v>3</v>
      </c>
      <c r="R858" s="2">
        <v>45037</v>
      </c>
      <c r="S858">
        <v>1</v>
      </c>
      <c r="T858">
        <v>2</v>
      </c>
      <c r="U858">
        <v>3</v>
      </c>
      <c r="V858" s="1">
        <v>44891</v>
      </c>
      <c r="W858" t="s">
        <v>68</v>
      </c>
      <c r="X858" t="s">
        <v>42</v>
      </c>
      <c r="Y858" t="s">
        <v>52</v>
      </c>
      <c r="Z858">
        <v>3</v>
      </c>
      <c r="AA858">
        <v>870.01</v>
      </c>
      <c r="AB858">
        <v>72</v>
      </c>
    </row>
    <row r="859" spans="1:28" x14ac:dyDescent="0.2">
      <c r="A859">
        <v>1350</v>
      </c>
      <c r="B859" s="1">
        <v>44624</v>
      </c>
      <c r="C859" t="s">
        <v>138</v>
      </c>
      <c r="D859" t="s">
        <v>87</v>
      </c>
      <c r="E859" t="s">
        <v>30</v>
      </c>
      <c r="F859" t="s">
        <v>46</v>
      </c>
      <c r="G859" t="s">
        <v>56</v>
      </c>
      <c r="H859" t="s">
        <v>33</v>
      </c>
      <c r="I859" t="s">
        <v>132</v>
      </c>
      <c r="J859" t="s">
        <v>70</v>
      </c>
      <c r="K859" s="2">
        <v>25144</v>
      </c>
      <c r="L859" t="s">
        <v>36</v>
      </c>
      <c r="M859" t="s">
        <v>37</v>
      </c>
      <c r="N859" t="s">
        <v>72</v>
      </c>
      <c r="O859" t="s">
        <v>77</v>
      </c>
      <c r="P859" t="s">
        <v>40</v>
      </c>
      <c r="Q859">
        <v>3</v>
      </c>
      <c r="R859" s="2">
        <v>44990</v>
      </c>
      <c r="S859">
        <v>3</v>
      </c>
      <c r="T859">
        <v>4</v>
      </c>
      <c r="U859">
        <v>5</v>
      </c>
      <c r="V859" s="1">
        <v>44955</v>
      </c>
      <c r="W859" t="s">
        <v>41</v>
      </c>
      <c r="X859" t="s">
        <v>42</v>
      </c>
      <c r="Y859" t="s">
        <v>52</v>
      </c>
      <c r="Z859">
        <v>2</v>
      </c>
      <c r="AA859">
        <v>610.05999999999995</v>
      </c>
      <c r="AB859">
        <v>54</v>
      </c>
    </row>
    <row r="860" spans="1:28" x14ac:dyDescent="0.2">
      <c r="A860">
        <v>1351</v>
      </c>
      <c r="B860" s="1">
        <v>44283</v>
      </c>
      <c r="C860" t="s">
        <v>138</v>
      </c>
      <c r="D860" t="s">
        <v>64</v>
      </c>
      <c r="E860" t="s">
        <v>30</v>
      </c>
      <c r="F860" t="s">
        <v>31</v>
      </c>
      <c r="G860" t="s">
        <v>32</v>
      </c>
      <c r="H860" t="s">
        <v>46</v>
      </c>
      <c r="I860" t="s">
        <v>132</v>
      </c>
      <c r="J860" t="s">
        <v>70</v>
      </c>
      <c r="K860" s="2">
        <v>35859</v>
      </c>
      <c r="L860" t="s">
        <v>36</v>
      </c>
      <c r="M860" t="s">
        <v>48</v>
      </c>
      <c r="N860" t="s">
        <v>38</v>
      </c>
      <c r="O860" t="s">
        <v>77</v>
      </c>
      <c r="P860" t="s">
        <v>40</v>
      </c>
      <c r="Q860">
        <v>3</v>
      </c>
      <c r="R860" s="2">
        <v>44944</v>
      </c>
      <c r="S860">
        <v>4</v>
      </c>
      <c r="T860">
        <v>1</v>
      </c>
      <c r="U860">
        <v>5</v>
      </c>
      <c r="V860" s="1">
        <v>44915</v>
      </c>
      <c r="W860" t="s">
        <v>62</v>
      </c>
      <c r="X860" t="s">
        <v>42</v>
      </c>
      <c r="Y860" t="s">
        <v>73</v>
      </c>
      <c r="Z860">
        <v>2</v>
      </c>
      <c r="AA860">
        <v>278.16000000000003</v>
      </c>
      <c r="AB860">
        <v>23</v>
      </c>
    </row>
    <row r="861" spans="1:28" x14ac:dyDescent="0.2">
      <c r="A861">
        <v>1352</v>
      </c>
      <c r="B861" s="1">
        <v>43320</v>
      </c>
      <c r="C861" t="s">
        <v>114</v>
      </c>
      <c r="D861" t="s">
        <v>94</v>
      </c>
      <c r="E861" t="s">
        <v>30</v>
      </c>
      <c r="F861" t="s">
        <v>31</v>
      </c>
      <c r="G861" t="s">
        <v>56</v>
      </c>
      <c r="H861" t="s">
        <v>55</v>
      </c>
      <c r="I861" t="s">
        <v>132</v>
      </c>
      <c r="J861" t="s">
        <v>70</v>
      </c>
      <c r="K861" s="2">
        <v>27198</v>
      </c>
      <c r="L861" t="s">
        <v>36</v>
      </c>
      <c r="M861" t="s">
        <v>48</v>
      </c>
      <c r="N861" t="s">
        <v>60</v>
      </c>
      <c r="O861" t="s">
        <v>77</v>
      </c>
      <c r="P861" t="s">
        <v>40</v>
      </c>
      <c r="Q861">
        <v>3</v>
      </c>
      <c r="R861" s="2">
        <v>45080</v>
      </c>
      <c r="S861">
        <v>4</v>
      </c>
      <c r="T861">
        <v>2</v>
      </c>
      <c r="U861">
        <v>1</v>
      </c>
      <c r="V861" s="1">
        <v>44866</v>
      </c>
      <c r="W861" t="s">
        <v>92</v>
      </c>
      <c r="X861" t="s">
        <v>51</v>
      </c>
      <c r="Y861" t="s">
        <v>63</v>
      </c>
      <c r="Z861">
        <v>4</v>
      </c>
      <c r="AA861">
        <v>218.93</v>
      </c>
      <c r="AB861">
        <v>44</v>
      </c>
    </row>
    <row r="862" spans="1:28" x14ac:dyDescent="0.2">
      <c r="A862">
        <v>1353</v>
      </c>
      <c r="B862" s="1">
        <v>44089</v>
      </c>
      <c r="C862" t="s">
        <v>114</v>
      </c>
      <c r="D862" t="s">
        <v>74</v>
      </c>
      <c r="E862" t="s">
        <v>30</v>
      </c>
      <c r="F862" t="s">
        <v>46</v>
      </c>
      <c r="G862" t="s">
        <v>45</v>
      </c>
      <c r="H862" t="s">
        <v>33</v>
      </c>
      <c r="I862" t="s">
        <v>95</v>
      </c>
      <c r="J862" t="s">
        <v>70</v>
      </c>
      <c r="K862" s="2">
        <v>16865</v>
      </c>
      <c r="L862" t="s">
        <v>36</v>
      </c>
      <c r="M862" t="s">
        <v>48</v>
      </c>
      <c r="N862" t="s">
        <v>38</v>
      </c>
      <c r="O862" t="s">
        <v>61</v>
      </c>
      <c r="P862" t="s">
        <v>40</v>
      </c>
      <c r="Q862">
        <v>3</v>
      </c>
      <c r="R862" s="2">
        <v>44845</v>
      </c>
      <c r="S862">
        <v>5</v>
      </c>
      <c r="T862">
        <v>1</v>
      </c>
      <c r="U862">
        <v>5</v>
      </c>
      <c r="V862" s="1">
        <v>44911</v>
      </c>
      <c r="W862" t="s">
        <v>92</v>
      </c>
      <c r="X862" t="s">
        <v>42</v>
      </c>
      <c r="Y862" t="s">
        <v>52</v>
      </c>
      <c r="Z862">
        <v>5</v>
      </c>
      <c r="AA862">
        <v>179.21</v>
      </c>
      <c r="AB862">
        <v>74</v>
      </c>
    </row>
    <row r="863" spans="1:28" x14ac:dyDescent="0.2">
      <c r="A863">
        <v>1355</v>
      </c>
      <c r="B863" s="1">
        <v>44363</v>
      </c>
      <c r="C863" t="s">
        <v>137</v>
      </c>
      <c r="D863" t="s">
        <v>85</v>
      </c>
      <c r="E863" t="s">
        <v>30</v>
      </c>
      <c r="F863" t="s">
        <v>55</v>
      </c>
      <c r="G863" t="s">
        <v>56</v>
      </c>
      <c r="H863" t="s">
        <v>33</v>
      </c>
      <c r="I863" t="s">
        <v>132</v>
      </c>
      <c r="J863" t="s">
        <v>65</v>
      </c>
      <c r="K863" s="2">
        <v>16577</v>
      </c>
      <c r="L863" t="s">
        <v>36</v>
      </c>
      <c r="M863" t="s">
        <v>37</v>
      </c>
      <c r="N863" t="s">
        <v>49</v>
      </c>
      <c r="O863" t="s">
        <v>61</v>
      </c>
      <c r="P863" t="s">
        <v>40</v>
      </c>
      <c r="Q863">
        <v>3</v>
      </c>
      <c r="R863" s="2">
        <v>44954</v>
      </c>
      <c r="S863">
        <v>2</v>
      </c>
      <c r="T863">
        <v>2</v>
      </c>
      <c r="U863">
        <v>3</v>
      </c>
      <c r="V863" s="1">
        <v>44998</v>
      </c>
      <c r="W863" t="s">
        <v>62</v>
      </c>
      <c r="X863" t="s">
        <v>42</v>
      </c>
      <c r="Y863" t="s">
        <v>63</v>
      </c>
      <c r="Z863">
        <v>5</v>
      </c>
      <c r="AA863">
        <v>534.28</v>
      </c>
      <c r="AB863">
        <v>76</v>
      </c>
    </row>
    <row r="864" spans="1:28" x14ac:dyDescent="0.2">
      <c r="A864">
        <v>1356</v>
      </c>
      <c r="B864" s="1">
        <v>45005</v>
      </c>
      <c r="C864" t="s">
        <v>138</v>
      </c>
      <c r="D864" t="s">
        <v>44</v>
      </c>
      <c r="E864" t="s">
        <v>30</v>
      </c>
      <c r="F864" t="s">
        <v>46</v>
      </c>
      <c r="G864" t="s">
        <v>45</v>
      </c>
      <c r="H864" t="s">
        <v>33</v>
      </c>
      <c r="I864" t="s">
        <v>132</v>
      </c>
      <c r="J864" t="s">
        <v>79</v>
      </c>
      <c r="K864" s="2">
        <v>32306</v>
      </c>
      <c r="L864" t="s">
        <v>36</v>
      </c>
      <c r="M864" t="s">
        <v>37</v>
      </c>
      <c r="N864" t="s">
        <v>49</v>
      </c>
      <c r="O864" t="s">
        <v>67</v>
      </c>
      <c r="P864" t="s">
        <v>40</v>
      </c>
      <c r="Q864">
        <v>3</v>
      </c>
      <c r="R864" s="2">
        <v>44787</v>
      </c>
      <c r="S864">
        <v>1</v>
      </c>
      <c r="T864">
        <v>1</v>
      </c>
      <c r="U864">
        <v>1</v>
      </c>
      <c r="V864" s="1">
        <v>45022</v>
      </c>
      <c r="W864" t="s">
        <v>68</v>
      </c>
      <c r="X864" t="s">
        <v>42</v>
      </c>
      <c r="Y864" t="s">
        <v>52</v>
      </c>
      <c r="Z864">
        <v>3</v>
      </c>
      <c r="AA864">
        <v>301.39</v>
      </c>
      <c r="AB864">
        <v>35</v>
      </c>
    </row>
    <row r="865" spans="1:28" x14ac:dyDescent="0.2">
      <c r="A865">
        <v>1357</v>
      </c>
      <c r="B865" s="1">
        <v>43350</v>
      </c>
      <c r="C865" t="s">
        <v>138</v>
      </c>
      <c r="D865" t="s">
        <v>87</v>
      </c>
      <c r="E865" t="s">
        <v>30</v>
      </c>
      <c r="F865" t="s">
        <v>55</v>
      </c>
      <c r="G865" t="s">
        <v>32</v>
      </c>
      <c r="H865" t="s">
        <v>33</v>
      </c>
      <c r="I865" t="s">
        <v>132</v>
      </c>
      <c r="J865" t="s">
        <v>79</v>
      </c>
      <c r="K865" s="2">
        <v>26484</v>
      </c>
      <c r="L865" t="s">
        <v>36</v>
      </c>
      <c r="M865" t="s">
        <v>48</v>
      </c>
      <c r="N865" t="s">
        <v>72</v>
      </c>
      <c r="O865" t="s">
        <v>77</v>
      </c>
      <c r="P865" t="s">
        <v>40</v>
      </c>
      <c r="Q865">
        <v>3</v>
      </c>
      <c r="R865" s="2">
        <v>44956</v>
      </c>
      <c r="S865">
        <v>1</v>
      </c>
      <c r="T865">
        <v>4</v>
      </c>
      <c r="U865">
        <v>3</v>
      </c>
      <c r="V865" s="1">
        <v>45072</v>
      </c>
      <c r="W865" t="s">
        <v>62</v>
      </c>
      <c r="X865" t="s">
        <v>51</v>
      </c>
      <c r="Y865" t="s">
        <v>52</v>
      </c>
      <c r="Z865">
        <v>3</v>
      </c>
      <c r="AA865">
        <v>231.65</v>
      </c>
      <c r="AB865">
        <v>46</v>
      </c>
    </row>
    <row r="866" spans="1:28" x14ac:dyDescent="0.2">
      <c r="A866">
        <v>1358</v>
      </c>
      <c r="B866" s="1">
        <v>43412</v>
      </c>
      <c r="C866" t="s">
        <v>138</v>
      </c>
      <c r="D866" t="s">
        <v>64</v>
      </c>
      <c r="E866" t="s">
        <v>30</v>
      </c>
      <c r="F866" t="s">
        <v>46</v>
      </c>
      <c r="G866" t="s">
        <v>56</v>
      </c>
      <c r="H866" t="s">
        <v>55</v>
      </c>
      <c r="I866" t="s">
        <v>132</v>
      </c>
      <c r="J866" t="s">
        <v>70</v>
      </c>
      <c r="K866" s="2">
        <v>35153</v>
      </c>
      <c r="L866" t="s">
        <v>36</v>
      </c>
      <c r="M866" t="s">
        <v>48</v>
      </c>
      <c r="N866" t="s">
        <v>72</v>
      </c>
      <c r="O866" t="s">
        <v>67</v>
      </c>
      <c r="P866" t="s">
        <v>40</v>
      </c>
      <c r="Q866">
        <v>3</v>
      </c>
      <c r="R866" s="2">
        <v>44982</v>
      </c>
      <c r="S866">
        <v>1</v>
      </c>
      <c r="T866">
        <v>2</v>
      </c>
      <c r="U866">
        <v>5</v>
      </c>
      <c r="V866" s="1">
        <v>44783</v>
      </c>
      <c r="W866" t="s">
        <v>92</v>
      </c>
      <c r="X866" t="s">
        <v>42</v>
      </c>
      <c r="Y866" t="s">
        <v>63</v>
      </c>
      <c r="Z866">
        <v>2</v>
      </c>
      <c r="AA866">
        <v>994.81</v>
      </c>
      <c r="AB866">
        <v>22</v>
      </c>
    </row>
    <row r="867" spans="1:28" x14ac:dyDescent="0.2">
      <c r="A867">
        <v>1359</v>
      </c>
      <c r="B867" s="1">
        <v>43491</v>
      </c>
      <c r="C867" t="s">
        <v>114</v>
      </c>
      <c r="D867" t="s">
        <v>69</v>
      </c>
      <c r="E867" t="s">
        <v>30</v>
      </c>
      <c r="F867" t="s">
        <v>55</v>
      </c>
      <c r="G867" t="s">
        <v>45</v>
      </c>
      <c r="H867" t="s">
        <v>46</v>
      </c>
      <c r="I867" t="s">
        <v>132</v>
      </c>
      <c r="J867" t="s">
        <v>102</v>
      </c>
      <c r="K867" s="2">
        <v>35873</v>
      </c>
      <c r="L867" t="s">
        <v>36</v>
      </c>
      <c r="M867" t="s">
        <v>48</v>
      </c>
      <c r="N867" t="s">
        <v>84</v>
      </c>
      <c r="O867" t="s">
        <v>67</v>
      </c>
      <c r="P867" t="s">
        <v>40</v>
      </c>
      <c r="Q867">
        <v>3</v>
      </c>
      <c r="R867" s="2">
        <v>44935</v>
      </c>
      <c r="S867">
        <v>4</v>
      </c>
      <c r="T867">
        <v>5</v>
      </c>
      <c r="U867">
        <v>1</v>
      </c>
      <c r="V867" s="1">
        <v>44971</v>
      </c>
      <c r="W867" t="s">
        <v>50</v>
      </c>
      <c r="X867" t="s">
        <v>51</v>
      </c>
      <c r="Y867" t="s">
        <v>52</v>
      </c>
      <c r="Z867">
        <v>4</v>
      </c>
      <c r="AA867">
        <v>729.91</v>
      </c>
      <c r="AB867">
        <v>21</v>
      </c>
    </row>
    <row r="868" spans="1:28" x14ac:dyDescent="0.2">
      <c r="A868">
        <v>1360</v>
      </c>
      <c r="B868" s="1">
        <v>44438</v>
      </c>
      <c r="C868" t="s">
        <v>114</v>
      </c>
      <c r="D868" t="s">
        <v>29</v>
      </c>
      <c r="E868" t="s">
        <v>30</v>
      </c>
      <c r="F868" t="s">
        <v>31</v>
      </c>
      <c r="G868" t="s">
        <v>56</v>
      </c>
      <c r="H868" t="s">
        <v>55</v>
      </c>
      <c r="I868" t="s">
        <v>95</v>
      </c>
      <c r="J868" t="s">
        <v>70</v>
      </c>
      <c r="K868" s="2">
        <v>23645</v>
      </c>
      <c r="L868" t="s">
        <v>36</v>
      </c>
      <c r="M868" t="s">
        <v>48</v>
      </c>
      <c r="N868" t="s">
        <v>84</v>
      </c>
      <c r="O868" t="s">
        <v>77</v>
      </c>
      <c r="P868" t="s">
        <v>107</v>
      </c>
      <c r="Q868">
        <v>3</v>
      </c>
      <c r="R868" s="2">
        <v>45016</v>
      </c>
      <c r="S868">
        <v>5</v>
      </c>
      <c r="T868">
        <v>2</v>
      </c>
      <c r="U868">
        <v>1</v>
      </c>
      <c r="V868" s="1">
        <v>44824</v>
      </c>
      <c r="W868" t="s">
        <v>41</v>
      </c>
      <c r="X868" t="s">
        <v>42</v>
      </c>
      <c r="Y868" t="s">
        <v>73</v>
      </c>
      <c r="Z868">
        <v>2</v>
      </c>
      <c r="AA868">
        <v>538.02</v>
      </c>
      <c r="AB868">
        <v>57</v>
      </c>
    </row>
    <row r="869" spans="1:28" x14ac:dyDescent="0.2">
      <c r="A869">
        <v>1362</v>
      </c>
      <c r="B869" s="1">
        <v>43779</v>
      </c>
      <c r="C869" t="s">
        <v>137</v>
      </c>
      <c r="D869" t="s">
        <v>85</v>
      </c>
      <c r="E869" t="s">
        <v>30</v>
      </c>
      <c r="F869" t="s">
        <v>55</v>
      </c>
      <c r="G869" t="s">
        <v>32</v>
      </c>
      <c r="H869" t="s">
        <v>46</v>
      </c>
      <c r="I869" t="s">
        <v>132</v>
      </c>
      <c r="J869" t="s">
        <v>65</v>
      </c>
      <c r="K869" s="2">
        <v>30600</v>
      </c>
      <c r="L869" t="s">
        <v>36</v>
      </c>
      <c r="M869" t="s">
        <v>37</v>
      </c>
      <c r="N869" t="s">
        <v>84</v>
      </c>
      <c r="O869" t="s">
        <v>39</v>
      </c>
      <c r="P869" t="s">
        <v>78</v>
      </c>
      <c r="Q869">
        <v>3</v>
      </c>
      <c r="R869" s="2">
        <v>44937</v>
      </c>
      <c r="S869">
        <v>5</v>
      </c>
      <c r="T869">
        <v>2</v>
      </c>
      <c r="U869">
        <v>5</v>
      </c>
      <c r="V869" s="1">
        <v>44802</v>
      </c>
      <c r="W869" t="s">
        <v>50</v>
      </c>
      <c r="X869" t="s">
        <v>42</v>
      </c>
      <c r="Y869" t="s">
        <v>73</v>
      </c>
      <c r="Z869">
        <v>4</v>
      </c>
      <c r="AA869">
        <v>196.94</v>
      </c>
      <c r="AB869">
        <v>36</v>
      </c>
    </row>
    <row r="870" spans="1:28" x14ac:dyDescent="0.2">
      <c r="A870">
        <v>1363</v>
      </c>
      <c r="B870" s="1">
        <v>45135</v>
      </c>
      <c r="C870" t="s">
        <v>138</v>
      </c>
      <c r="D870" t="s">
        <v>44</v>
      </c>
      <c r="E870" t="s">
        <v>30</v>
      </c>
      <c r="F870" t="s">
        <v>55</v>
      </c>
      <c r="G870" t="s">
        <v>45</v>
      </c>
      <c r="H870" t="s">
        <v>55</v>
      </c>
      <c r="I870" t="s">
        <v>132</v>
      </c>
      <c r="J870" t="s">
        <v>65</v>
      </c>
      <c r="K870" s="2">
        <v>30062</v>
      </c>
      <c r="L870" t="s">
        <v>36</v>
      </c>
      <c r="M870" t="s">
        <v>37</v>
      </c>
      <c r="N870" t="s">
        <v>84</v>
      </c>
      <c r="O870" t="s">
        <v>77</v>
      </c>
      <c r="P870" t="s">
        <v>107</v>
      </c>
      <c r="Q870">
        <v>3</v>
      </c>
      <c r="R870" s="2">
        <v>45096</v>
      </c>
      <c r="S870">
        <v>5</v>
      </c>
      <c r="T870">
        <v>2</v>
      </c>
      <c r="U870">
        <v>2</v>
      </c>
      <c r="V870" s="1">
        <v>44910</v>
      </c>
      <c r="W870" t="s">
        <v>62</v>
      </c>
      <c r="X870" t="s">
        <v>42</v>
      </c>
      <c r="Y870" t="s">
        <v>63</v>
      </c>
      <c r="Z870">
        <v>2</v>
      </c>
      <c r="AA870">
        <v>285.83</v>
      </c>
      <c r="AB870">
        <v>41</v>
      </c>
    </row>
    <row r="871" spans="1:28" x14ac:dyDescent="0.2">
      <c r="A871">
        <v>1364</v>
      </c>
      <c r="B871" s="1">
        <v>43558</v>
      </c>
      <c r="C871" t="s">
        <v>138</v>
      </c>
      <c r="D871" t="s">
        <v>87</v>
      </c>
      <c r="E871" t="s">
        <v>30</v>
      </c>
      <c r="F871" t="s">
        <v>31</v>
      </c>
      <c r="G871" t="s">
        <v>32</v>
      </c>
      <c r="H871" t="s">
        <v>33</v>
      </c>
      <c r="I871" t="s">
        <v>132</v>
      </c>
      <c r="J871" t="s">
        <v>35</v>
      </c>
      <c r="K871" s="2">
        <v>26684</v>
      </c>
      <c r="L871" t="s">
        <v>36</v>
      </c>
      <c r="M871" t="s">
        <v>48</v>
      </c>
      <c r="N871" t="s">
        <v>38</v>
      </c>
      <c r="O871" t="s">
        <v>77</v>
      </c>
      <c r="P871" t="s">
        <v>78</v>
      </c>
      <c r="Q871">
        <v>3</v>
      </c>
      <c r="R871" s="2">
        <v>45049</v>
      </c>
      <c r="S871">
        <v>2</v>
      </c>
      <c r="T871">
        <v>2</v>
      </c>
      <c r="U871">
        <v>4</v>
      </c>
      <c r="V871" s="1">
        <v>44923</v>
      </c>
      <c r="W871" t="s">
        <v>62</v>
      </c>
      <c r="X871" t="s">
        <v>51</v>
      </c>
      <c r="Y871" t="s">
        <v>52</v>
      </c>
      <c r="Z871">
        <v>4</v>
      </c>
      <c r="AA871">
        <v>818.6</v>
      </c>
      <c r="AB871">
        <v>46</v>
      </c>
    </row>
    <row r="872" spans="1:28" x14ac:dyDescent="0.2">
      <c r="A872">
        <v>1365</v>
      </c>
      <c r="B872" s="1">
        <v>43670</v>
      </c>
      <c r="C872" t="s">
        <v>138</v>
      </c>
      <c r="D872" t="s">
        <v>64</v>
      </c>
      <c r="E872" t="s">
        <v>30</v>
      </c>
      <c r="F872" t="s">
        <v>31</v>
      </c>
      <c r="G872" t="s">
        <v>32</v>
      </c>
      <c r="H872" t="s">
        <v>46</v>
      </c>
      <c r="I872" t="s">
        <v>132</v>
      </c>
      <c r="J872" t="s">
        <v>70</v>
      </c>
      <c r="K872" s="2">
        <v>30145</v>
      </c>
      <c r="L872" t="s">
        <v>36</v>
      </c>
      <c r="M872" t="s">
        <v>48</v>
      </c>
      <c r="N872" t="s">
        <v>49</v>
      </c>
      <c r="O872" t="s">
        <v>39</v>
      </c>
      <c r="P872" t="s">
        <v>78</v>
      </c>
      <c r="Q872">
        <v>3</v>
      </c>
      <c r="R872" s="2">
        <v>44842</v>
      </c>
      <c r="S872">
        <v>5</v>
      </c>
      <c r="T872">
        <v>1</v>
      </c>
      <c r="U872">
        <v>2</v>
      </c>
      <c r="V872" s="1">
        <v>45026</v>
      </c>
      <c r="W872" t="s">
        <v>41</v>
      </c>
      <c r="X872" t="s">
        <v>51</v>
      </c>
      <c r="Y872" t="s">
        <v>52</v>
      </c>
      <c r="Z872">
        <v>1</v>
      </c>
      <c r="AA872">
        <v>610.97</v>
      </c>
      <c r="AB872">
        <v>37</v>
      </c>
    </row>
    <row r="873" spans="1:28" x14ac:dyDescent="0.2">
      <c r="A873">
        <v>1366</v>
      </c>
      <c r="B873" s="1">
        <v>44680</v>
      </c>
      <c r="C873" t="s">
        <v>114</v>
      </c>
      <c r="D873" t="s">
        <v>94</v>
      </c>
      <c r="E873" t="s">
        <v>30</v>
      </c>
      <c r="F873" t="s">
        <v>31</v>
      </c>
      <c r="G873" t="s">
        <v>56</v>
      </c>
      <c r="H873" t="s">
        <v>33</v>
      </c>
      <c r="I873" t="s">
        <v>95</v>
      </c>
      <c r="J873" t="s">
        <v>65</v>
      </c>
      <c r="K873" s="2">
        <v>18278</v>
      </c>
      <c r="L873" t="s">
        <v>36</v>
      </c>
      <c r="M873" t="s">
        <v>48</v>
      </c>
      <c r="N873" t="s">
        <v>72</v>
      </c>
      <c r="O873" t="s">
        <v>61</v>
      </c>
      <c r="P873" t="s">
        <v>78</v>
      </c>
      <c r="Q873">
        <v>3</v>
      </c>
      <c r="R873" s="2">
        <v>44790</v>
      </c>
      <c r="S873">
        <v>1</v>
      </c>
      <c r="T873">
        <v>4</v>
      </c>
      <c r="U873">
        <v>2</v>
      </c>
      <c r="V873" s="1">
        <v>44883</v>
      </c>
      <c r="W873" t="s">
        <v>68</v>
      </c>
      <c r="X873" t="s">
        <v>42</v>
      </c>
      <c r="Y873" t="s">
        <v>63</v>
      </c>
      <c r="Z873">
        <v>1</v>
      </c>
      <c r="AA873">
        <v>762.83</v>
      </c>
      <c r="AB873">
        <v>72</v>
      </c>
    </row>
    <row r="874" spans="1:28" x14ac:dyDescent="0.2">
      <c r="A874">
        <v>1367</v>
      </c>
      <c r="B874" s="1">
        <v>44110</v>
      </c>
      <c r="C874" t="s">
        <v>114</v>
      </c>
      <c r="D874" t="s">
        <v>74</v>
      </c>
      <c r="E874" t="s">
        <v>30</v>
      </c>
      <c r="F874" t="s">
        <v>46</v>
      </c>
      <c r="G874" t="s">
        <v>56</v>
      </c>
      <c r="H874" t="s">
        <v>33</v>
      </c>
      <c r="I874" t="s">
        <v>95</v>
      </c>
      <c r="J874" t="s">
        <v>82</v>
      </c>
      <c r="K874" s="2">
        <v>33097</v>
      </c>
      <c r="L874" t="s">
        <v>36</v>
      </c>
      <c r="M874" t="s">
        <v>37</v>
      </c>
      <c r="N874" t="s">
        <v>38</v>
      </c>
      <c r="O874" t="s">
        <v>77</v>
      </c>
      <c r="P874" t="s">
        <v>78</v>
      </c>
      <c r="Q874">
        <v>3</v>
      </c>
      <c r="R874" s="2">
        <v>45127</v>
      </c>
      <c r="S874">
        <v>1</v>
      </c>
      <c r="T874">
        <v>4</v>
      </c>
      <c r="U874">
        <v>3</v>
      </c>
      <c r="V874" s="1">
        <v>44824</v>
      </c>
      <c r="W874" t="s">
        <v>62</v>
      </c>
      <c r="X874" t="s">
        <v>51</v>
      </c>
      <c r="Y874" t="s">
        <v>52</v>
      </c>
      <c r="Z874">
        <v>5</v>
      </c>
      <c r="AA874">
        <v>438.44</v>
      </c>
      <c r="AB874">
        <v>30</v>
      </c>
    </row>
    <row r="875" spans="1:28" x14ac:dyDescent="0.2">
      <c r="A875">
        <v>1368</v>
      </c>
      <c r="B875" s="1">
        <v>43925</v>
      </c>
      <c r="C875" t="s">
        <v>126</v>
      </c>
      <c r="D875" t="s">
        <v>94</v>
      </c>
      <c r="E875" t="s">
        <v>30</v>
      </c>
      <c r="F875" t="s">
        <v>46</v>
      </c>
      <c r="G875" t="s">
        <v>32</v>
      </c>
      <c r="H875" t="s">
        <v>33</v>
      </c>
      <c r="I875" t="s">
        <v>132</v>
      </c>
      <c r="J875" t="s">
        <v>58</v>
      </c>
      <c r="K875" s="2">
        <v>34207</v>
      </c>
      <c r="L875" t="s">
        <v>36</v>
      </c>
      <c r="M875" t="s">
        <v>37</v>
      </c>
      <c r="N875" t="s">
        <v>38</v>
      </c>
      <c r="O875" t="s">
        <v>39</v>
      </c>
      <c r="P875" t="s">
        <v>78</v>
      </c>
      <c r="Q875">
        <v>3</v>
      </c>
      <c r="R875" s="2">
        <v>44838</v>
      </c>
      <c r="S875">
        <v>2</v>
      </c>
      <c r="T875">
        <v>2</v>
      </c>
      <c r="U875">
        <v>2</v>
      </c>
      <c r="V875" s="1">
        <v>44853</v>
      </c>
      <c r="W875" t="s">
        <v>62</v>
      </c>
      <c r="X875" t="s">
        <v>42</v>
      </c>
      <c r="Y875" t="s">
        <v>52</v>
      </c>
      <c r="Z875">
        <v>4</v>
      </c>
      <c r="AA875">
        <v>271.89999999999998</v>
      </c>
      <c r="AB875">
        <v>27</v>
      </c>
    </row>
    <row r="876" spans="1:28" x14ac:dyDescent="0.2">
      <c r="A876">
        <v>1369</v>
      </c>
      <c r="B876" s="1">
        <v>44281</v>
      </c>
      <c r="C876" t="s">
        <v>137</v>
      </c>
      <c r="D876" t="s">
        <v>29</v>
      </c>
      <c r="E876" t="s">
        <v>30</v>
      </c>
      <c r="F876" t="s">
        <v>31</v>
      </c>
      <c r="G876" t="s">
        <v>32</v>
      </c>
      <c r="H876" t="s">
        <v>55</v>
      </c>
      <c r="I876" t="s">
        <v>57</v>
      </c>
      <c r="J876" t="s">
        <v>47</v>
      </c>
      <c r="K876" s="2">
        <v>27112</v>
      </c>
      <c r="L876" t="s">
        <v>36</v>
      </c>
      <c r="M876" t="s">
        <v>37</v>
      </c>
      <c r="N876" t="s">
        <v>72</v>
      </c>
      <c r="O876" t="s">
        <v>67</v>
      </c>
      <c r="P876" t="s">
        <v>78</v>
      </c>
      <c r="Q876">
        <v>3</v>
      </c>
      <c r="R876" s="2">
        <v>44993</v>
      </c>
      <c r="S876">
        <v>2</v>
      </c>
      <c r="T876">
        <v>4</v>
      </c>
      <c r="U876">
        <v>3</v>
      </c>
      <c r="V876" s="1">
        <v>44957</v>
      </c>
      <c r="W876" t="s">
        <v>92</v>
      </c>
      <c r="X876" t="s">
        <v>51</v>
      </c>
      <c r="Y876" t="s">
        <v>52</v>
      </c>
      <c r="Z876">
        <v>2</v>
      </c>
      <c r="AA876">
        <v>629.20000000000005</v>
      </c>
      <c r="AB876">
        <v>47</v>
      </c>
    </row>
    <row r="877" spans="1:28" x14ac:dyDescent="0.2">
      <c r="A877">
        <v>1370</v>
      </c>
      <c r="B877" s="1">
        <v>44700</v>
      </c>
      <c r="C877" t="s">
        <v>137</v>
      </c>
      <c r="D877" t="s">
        <v>85</v>
      </c>
      <c r="E877" t="s">
        <v>30</v>
      </c>
      <c r="F877" t="s">
        <v>46</v>
      </c>
      <c r="G877" t="s">
        <v>45</v>
      </c>
      <c r="H877" t="s">
        <v>33</v>
      </c>
      <c r="I877" t="s">
        <v>132</v>
      </c>
      <c r="J877" t="s">
        <v>65</v>
      </c>
      <c r="K877" s="2">
        <v>33951</v>
      </c>
      <c r="L877" t="s">
        <v>36</v>
      </c>
      <c r="M877" t="s">
        <v>37</v>
      </c>
      <c r="N877" t="s">
        <v>72</v>
      </c>
      <c r="O877" t="s">
        <v>67</v>
      </c>
      <c r="P877" t="s">
        <v>78</v>
      </c>
      <c r="Q877">
        <v>3</v>
      </c>
      <c r="R877" s="2">
        <v>45126</v>
      </c>
      <c r="S877">
        <v>1</v>
      </c>
      <c r="T877">
        <v>2</v>
      </c>
      <c r="U877">
        <v>1</v>
      </c>
      <c r="V877" s="1">
        <v>44810</v>
      </c>
      <c r="W877" t="s">
        <v>41</v>
      </c>
      <c r="X877" t="s">
        <v>42</v>
      </c>
      <c r="Y877" t="s">
        <v>52</v>
      </c>
      <c r="Z877">
        <v>1</v>
      </c>
      <c r="AA877">
        <v>850.28</v>
      </c>
      <c r="AB877">
        <v>30</v>
      </c>
    </row>
    <row r="878" spans="1:28" x14ac:dyDescent="0.2">
      <c r="A878">
        <v>1371</v>
      </c>
      <c r="B878" s="1">
        <v>44436</v>
      </c>
      <c r="C878" t="s">
        <v>138</v>
      </c>
      <c r="D878" t="s">
        <v>44</v>
      </c>
      <c r="E878" t="s">
        <v>30</v>
      </c>
      <c r="F878" t="s">
        <v>31</v>
      </c>
      <c r="G878" t="s">
        <v>45</v>
      </c>
      <c r="H878" t="s">
        <v>46</v>
      </c>
      <c r="I878" t="s">
        <v>132</v>
      </c>
      <c r="J878" t="s">
        <v>70</v>
      </c>
      <c r="K878" s="2">
        <v>20947</v>
      </c>
      <c r="L878" t="s">
        <v>36</v>
      </c>
      <c r="M878" t="s">
        <v>37</v>
      </c>
      <c r="N878" t="s">
        <v>72</v>
      </c>
      <c r="O878" t="s">
        <v>67</v>
      </c>
      <c r="P878" t="s">
        <v>78</v>
      </c>
      <c r="Q878">
        <v>3</v>
      </c>
      <c r="R878" s="2">
        <v>45065</v>
      </c>
      <c r="S878">
        <v>1</v>
      </c>
      <c r="T878">
        <v>1</v>
      </c>
      <c r="U878">
        <v>2</v>
      </c>
      <c r="V878" s="1">
        <v>44835</v>
      </c>
      <c r="W878" t="s">
        <v>41</v>
      </c>
      <c r="X878" t="s">
        <v>51</v>
      </c>
      <c r="Y878" t="s">
        <v>73</v>
      </c>
      <c r="Z878">
        <v>1</v>
      </c>
      <c r="AA878">
        <v>321.25</v>
      </c>
      <c r="AB878">
        <v>64</v>
      </c>
    </row>
    <row r="879" spans="1:28" x14ac:dyDescent="0.2">
      <c r="A879">
        <v>1372</v>
      </c>
      <c r="B879" s="1">
        <v>44889</v>
      </c>
      <c r="C879" t="s">
        <v>138</v>
      </c>
      <c r="D879" t="s">
        <v>87</v>
      </c>
      <c r="E879" t="s">
        <v>30</v>
      </c>
      <c r="F879" t="s">
        <v>31</v>
      </c>
      <c r="G879" t="s">
        <v>45</v>
      </c>
      <c r="H879" t="s">
        <v>55</v>
      </c>
      <c r="I879" t="s">
        <v>132</v>
      </c>
      <c r="J879" t="s">
        <v>47</v>
      </c>
      <c r="K879" s="2">
        <v>33469</v>
      </c>
      <c r="L879" t="s">
        <v>36</v>
      </c>
      <c r="M879" t="s">
        <v>48</v>
      </c>
      <c r="N879" t="s">
        <v>38</v>
      </c>
      <c r="O879" t="s">
        <v>61</v>
      </c>
      <c r="P879" t="s">
        <v>78</v>
      </c>
      <c r="Q879">
        <v>3</v>
      </c>
      <c r="R879" s="2">
        <v>45137</v>
      </c>
      <c r="S879">
        <v>3</v>
      </c>
      <c r="T879">
        <v>1</v>
      </c>
      <c r="U879">
        <v>4</v>
      </c>
      <c r="V879" s="1">
        <v>45080</v>
      </c>
      <c r="W879" t="s">
        <v>50</v>
      </c>
      <c r="X879" t="s">
        <v>42</v>
      </c>
      <c r="Y879" t="s">
        <v>73</v>
      </c>
      <c r="Z879">
        <v>1</v>
      </c>
      <c r="AA879">
        <v>475.32</v>
      </c>
      <c r="AB879">
        <v>31</v>
      </c>
    </row>
    <row r="880" spans="1:28" x14ac:dyDescent="0.2">
      <c r="A880">
        <v>1373</v>
      </c>
      <c r="B880" s="1">
        <v>44573</v>
      </c>
      <c r="C880" t="s">
        <v>138</v>
      </c>
      <c r="D880" t="s">
        <v>64</v>
      </c>
      <c r="E880" t="s">
        <v>30</v>
      </c>
      <c r="F880" t="s">
        <v>31</v>
      </c>
      <c r="G880" t="s">
        <v>45</v>
      </c>
      <c r="H880" t="s">
        <v>46</v>
      </c>
      <c r="I880" t="s">
        <v>132</v>
      </c>
      <c r="J880" t="s">
        <v>70</v>
      </c>
      <c r="K880" s="2">
        <v>31522</v>
      </c>
      <c r="L880" t="s">
        <v>36</v>
      </c>
      <c r="M880" t="s">
        <v>48</v>
      </c>
      <c r="N880" t="s">
        <v>60</v>
      </c>
      <c r="O880" t="s">
        <v>77</v>
      </c>
      <c r="P880" t="s">
        <v>78</v>
      </c>
      <c r="Q880">
        <v>3</v>
      </c>
      <c r="R880" s="2">
        <v>45089</v>
      </c>
      <c r="S880">
        <v>1</v>
      </c>
      <c r="T880">
        <v>2</v>
      </c>
      <c r="U880">
        <v>5</v>
      </c>
      <c r="V880" s="1">
        <v>44812</v>
      </c>
      <c r="W880" t="s">
        <v>41</v>
      </c>
      <c r="X880" t="s">
        <v>51</v>
      </c>
      <c r="Y880" t="s">
        <v>43</v>
      </c>
      <c r="Z880">
        <v>4</v>
      </c>
      <c r="AA880">
        <v>847.2</v>
      </c>
      <c r="AB880">
        <v>36</v>
      </c>
    </row>
    <row r="881" spans="1:28" x14ac:dyDescent="0.2">
      <c r="A881">
        <v>1374</v>
      </c>
      <c r="B881" s="1">
        <v>43653</v>
      </c>
      <c r="C881" t="s">
        <v>114</v>
      </c>
      <c r="D881" t="s">
        <v>94</v>
      </c>
      <c r="E881" t="s">
        <v>30</v>
      </c>
      <c r="F881" t="s">
        <v>46</v>
      </c>
      <c r="G881" t="s">
        <v>56</v>
      </c>
      <c r="H881" t="s">
        <v>33</v>
      </c>
      <c r="I881" t="s">
        <v>95</v>
      </c>
      <c r="J881" t="s">
        <v>47</v>
      </c>
      <c r="K881" s="2">
        <v>15596</v>
      </c>
      <c r="L881" t="s">
        <v>36</v>
      </c>
      <c r="M881" t="s">
        <v>37</v>
      </c>
      <c r="N881" t="s">
        <v>38</v>
      </c>
      <c r="O881" t="s">
        <v>67</v>
      </c>
      <c r="P881" t="s">
        <v>78</v>
      </c>
      <c r="Q881">
        <v>3</v>
      </c>
      <c r="R881" s="2">
        <v>44965</v>
      </c>
      <c r="S881">
        <v>5</v>
      </c>
      <c r="T881">
        <v>5</v>
      </c>
      <c r="U881">
        <v>4</v>
      </c>
      <c r="V881" s="1">
        <v>44842</v>
      </c>
      <c r="W881" t="s">
        <v>50</v>
      </c>
      <c r="X881" t="s">
        <v>42</v>
      </c>
      <c r="Y881" t="s">
        <v>63</v>
      </c>
      <c r="Z881">
        <v>1</v>
      </c>
      <c r="AA881">
        <v>983.35</v>
      </c>
      <c r="AB881">
        <v>77</v>
      </c>
    </row>
    <row r="882" spans="1:28" x14ac:dyDescent="0.2">
      <c r="A882">
        <v>1375</v>
      </c>
      <c r="B882" s="1">
        <v>44391</v>
      </c>
      <c r="C882" t="s">
        <v>126</v>
      </c>
      <c r="D882" t="s">
        <v>94</v>
      </c>
      <c r="E882" t="s">
        <v>30</v>
      </c>
      <c r="F882" t="s">
        <v>31</v>
      </c>
      <c r="G882" t="s">
        <v>56</v>
      </c>
      <c r="H882" t="s">
        <v>55</v>
      </c>
      <c r="I882" t="s">
        <v>132</v>
      </c>
      <c r="J882" t="s">
        <v>110</v>
      </c>
      <c r="K882" s="2">
        <v>36348</v>
      </c>
      <c r="L882" t="s">
        <v>36</v>
      </c>
      <c r="M882" t="s">
        <v>37</v>
      </c>
      <c r="N882" t="s">
        <v>84</v>
      </c>
      <c r="O882" t="s">
        <v>77</v>
      </c>
      <c r="P882" t="s">
        <v>78</v>
      </c>
      <c r="Q882">
        <v>3</v>
      </c>
      <c r="R882" s="2">
        <v>44832</v>
      </c>
      <c r="S882">
        <v>1</v>
      </c>
      <c r="T882">
        <v>3</v>
      </c>
      <c r="U882">
        <v>2</v>
      </c>
      <c r="V882" s="1">
        <v>45102</v>
      </c>
      <c r="W882" t="s">
        <v>68</v>
      </c>
      <c r="X882" t="s">
        <v>51</v>
      </c>
      <c r="Y882" t="s">
        <v>73</v>
      </c>
      <c r="Z882">
        <v>3</v>
      </c>
      <c r="AA882">
        <v>880.9</v>
      </c>
      <c r="AB882">
        <v>22</v>
      </c>
    </row>
    <row r="883" spans="1:28" x14ac:dyDescent="0.2">
      <c r="A883">
        <v>1376</v>
      </c>
      <c r="B883" s="1">
        <v>43802</v>
      </c>
      <c r="C883" t="s">
        <v>137</v>
      </c>
      <c r="D883" t="s">
        <v>29</v>
      </c>
      <c r="E883" t="s">
        <v>30</v>
      </c>
      <c r="F883" t="s">
        <v>55</v>
      </c>
      <c r="G883" t="s">
        <v>56</v>
      </c>
      <c r="H883" t="s">
        <v>33</v>
      </c>
      <c r="I883" t="s">
        <v>57</v>
      </c>
      <c r="J883" t="s">
        <v>70</v>
      </c>
      <c r="K883" s="2">
        <v>21527</v>
      </c>
      <c r="L883" t="s">
        <v>36</v>
      </c>
      <c r="M883" t="s">
        <v>37</v>
      </c>
      <c r="N883" t="s">
        <v>60</v>
      </c>
      <c r="O883" t="s">
        <v>61</v>
      </c>
      <c r="P883" t="s">
        <v>78</v>
      </c>
      <c r="Q883">
        <v>3</v>
      </c>
      <c r="R883" s="2">
        <v>45089</v>
      </c>
      <c r="S883">
        <v>4</v>
      </c>
      <c r="T883">
        <v>3</v>
      </c>
      <c r="U883">
        <v>5</v>
      </c>
      <c r="V883" s="1">
        <v>45140</v>
      </c>
      <c r="W883" t="s">
        <v>50</v>
      </c>
      <c r="X883" t="s">
        <v>51</v>
      </c>
      <c r="Y883" t="s">
        <v>63</v>
      </c>
      <c r="Z883">
        <v>3</v>
      </c>
      <c r="AA883">
        <v>795.72</v>
      </c>
      <c r="AB883">
        <v>61</v>
      </c>
    </row>
    <row r="884" spans="1:28" x14ac:dyDescent="0.2">
      <c r="A884">
        <v>1377</v>
      </c>
      <c r="B884" s="1">
        <v>44258</v>
      </c>
      <c r="C884" t="s">
        <v>137</v>
      </c>
      <c r="D884" t="s">
        <v>85</v>
      </c>
      <c r="E884" t="s">
        <v>30</v>
      </c>
      <c r="F884" t="s">
        <v>46</v>
      </c>
      <c r="G884" t="s">
        <v>45</v>
      </c>
      <c r="H884" t="s">
        <v>55</v>
      </c>
      <c r="I884" t="s">
        <v>132</v>
      </c>
      <c r="J884" t="s">
        <v>65</v>
      </c>
      <c r="K884" s="2">
        <v>24976</v>
      </c>
      <c r="L884" t="s">
        <v>36</v>
      </c>
      <c r="M884" t="s">
        <v>37</v>
      </c>
      <c r="N884" t="s">
        <v>38</v>
      </c>
      <c r="O884" t="s">
        <v>77</v>
      </c>
      <c r="P884" t="s">
        <v>78</v>
      </c>
      <c r="Q884">
        <v>3</v>
      </c>
      <c r="R884" s="2">
        <v>44990</v>
      </c>
      <c r="S884">
        <v>5</v>
      </c>
      <c r="T884">
        <v>5</v>
      </c>
      <c r="U884">
        <v>4</v>
      </c>
      <c r="V884" s="1">
        <v>45097</v>
      </c>
      <c r="W884" t="s">
        <v>92</v>
      </c>
      <c r="X884" t="s">
        <v>42</v>
      </c>
      <c r="Y884" t="s">
        <v>63</v>
      </c>
      <c r="Z884">
        <v>2</v>
      </c>
      <c r="AA884">
        <v>909.56</v>
      </c>
      <c r="AB884">
        <v>53</v>
      </c>
    </row>
    <row r="885" spans="1:28" x14ac:dyDescent="0.2">
      <c r="A885">
        <v>1378</v>
      </c>
      <c r="B885" s="1">
        <v>44725</v>
      </c>
      <c r="C885" t="s">
        <v>138</v>
      </c>
      <c r="D885" t="s">
        <v>44</v>
      </c>
      <c r="E885" t="s">
        <v>30</v>
      </c>
      <c r="F885" t="s">
        <v>55</v>
      </c>
      <c r="G885" t="s">
        <v>32</v>
      </c>
      <c r="H885" t="s">
        <v>46</v>
      </c>
      <c r="I885" t="s">
        <v>132</v>
      </c>
      <c r="J885" t="s">
        <v>97</v>
      </c>
      <c r="K885" s="2">
        <v>27459</v>
      </c>
      <c r="L885" t="s">
        <v>36</v>
      </c>
      <c r="M885" t="s">
        <v>37</v>
      </c>
      <c r="N885" t="s">
        <v>38</v>
      </c>
      <c r="O885" t="s">
        <v>67</v>
      </c>
      <c r="P885" t="s">
        <v>107</v>
      </c>
      <c r="Q885">
        <v>3</v>
      </c>
      <c r="R885" s="2">
        <v>44960</v>
      </c>
      <c r="S885">
        <v>1</v>
      </c>
      <c r="T885">
        <v>4</v>
      </c>
      <c r="U885">
        <v>5</v>
      </c>
      <c r="V885" s="1">
        <v>44954</v>
      </c>
      <c r="W885" t="s">
        <v>92</v>
      </c>
      <c r="X885" t="s">
        <v>51</v>
      </c>
      <c r="Y885" t="s">
        <v>43</v>
      </c>
      <c r="Z885">
        <v>5</v>
      </c>
      <c r="AA885">
        <v>145.69999999999999</v>
      </c>
      <c r="AB885">
        <v>47</v>
      </c>
    </row>
    <row r="886" spans="1:28" x14ac:dyDescent="0.2">
      <c r="A886">
        <v>1379</v>
      </c>
      <c r="B886" s="1">
        <v>44949</v>
      </c>
      <c r="C886" t="s">
        <v>138</v>
      </c>
      <c r="D886" t="s">
        <v>87</v>
      </c>
      <c r="E886" t="s">
        <v>30</v>
      </c>
      <c r="F886" t="s">
        <v>46</v>
      </c>
      <c r="G886" t="s">
        <v>45</v>
      </c>
      <c r="H886" t="s">
        <v>33</v>
      </c>
      <c r="I886" t="s">
        <v>132</v>
      </c>
      <c r="J886" t="s">
        <v>58</v>
      </c>
      <c r="K886" s="2">
        <v>30976</v>
      </c>
      <c r="L886" t="s">
        <v>36</v>
      </c>
      <c r="M886" t="s">
        <v>48</v>
      </c>
      <c r="N886" t="s">
        <v>38</v>
      </c>
      <c r="O886" t="s">
        <v>39</v>
      </c>
      <c r="P886" t="s">
        <v>78</v>
      </c>
      <c r="Q886">
        <v>3</v>
      </c>
      <c r="R886" s="2">
        <v>44985</v>
      </c>
      <c r="S886">
        <v>5</v>
      </c>
      <c r="T886">
        <v>2</v>
      </c>
      <c r="U886">
        <v>5</v>
      </c>
      <c r="V886" s="1">
        <v>44991</v>
      </c>
      <c r="W886" t="s">
        <v>92</v>
      </c>
      <c r="X886" t="s">
        <v>42</v>
      </c>
      <c r="Y886" t="s">
        <v>73</v>
      </c>
      <c r="Z886">
        <v>1</v>
      </c>
      <c r="AA886">
        <v>397.48</v>
      </c>
      <c r="AB886">
        <v>39</v>
      </c>
    </row>
    <row r="887" spans="1:28" x14ac:dyDescent="0.2">
      <c r="A887">
        <v>1380</v>
      </c>
      <c r="B887" s="1">
        <v>44080</v>
      </c>
      <c r="C887" t="s">
        <v>138</v>
      </c>
      <c r="D887" t="s">
        <v>64</v>
      </c>
      <c r="E887" t="s">
        <v>30</v>
      </c>
      <c r="F887" t="s">
        <v>46</v>
      </c>
      <c r="G887" t="s">
        <v>45</v>
      </c>
      <c r="H887" t="s">
        <v>33</v>
      </c>
      <c r="I887" t="s">
        <v>132</v>
      </c>
      <c r="J887" t="s">
        <v>70</v>
      </c>
      <c r="K887" s="2">
        <v>19483</v>
      </c>
      <c r="L887" t="s">
        <v>36</v>
      </c>
      <c r="M887" t="s">
        <v>48</v>
      </c>
      <c r="N887" t="s">
        <v>49</v>
      </c>
      <c r="O887" t="s">
        <v>61</v>
      </c>
      <c r="P887" t="s">
        <v>78</v>
      </c>
      <c r="Q887">
        <v>3</v>
      </c>
      <c r="R887" s="2">
        <v>44922</v>
      </c>
      <c r="S887">
        <v>1</v>
      </c>
      <c r="T887">
        <v>1</v>
      </c>
      <c r="U887">
        <v>2</v>
      </c>
      <c r="V887" s="1">
        <v>45072</v>
      </c>
      <c r="W887" t="s">
        <v>92</v>
      </c>
      <c r="X887" t="s">
        <v>51</v>
      </c>
      <c r="Y887" t="s">
        <v>43</v>
      </c>
      <c r="Z887">
        <v>3</v>
      </c>
      <c r="AA887">
        <v>326.7</v>
      </c>
      <c r="AB887">
        <v>67</v>
      </c>
    </row>
    <row r="888" spans="1:28" x14ac:dyDescent="0.2">
      <c r="A888">
        <v>1381</v>
      </c>
      <c r="B888" s="1">
        <v>44851</v>
      </c>
      <c r="C888" t="s">
        <v>114</v>
      </c>
      <c r="D888" t="s">
        <v>94</v>
      </c>
      <c r="E888" t="s">
        <v>30</v>
      </c>
      <c r="F888" t="s">
        <v>55</v>
      </c>
      <c r="G888" t="s">
        <v>45</v>
      </c>
      <c r="H888" t="s">
        <v>33</v>
      </c>
      <c r="I888" t="s">
        <v>95</v>
      </c>
      <c r="J888" t="s">
        <v>47</v>
      </c>
      <c r="K888" s="2">
        <v>36831</v>
      </c>
      <c r="L888" t="s">
        <v>36</v>
      </c>
      <c r="M888" t="s">
        <v>37</v>
      </c>
      <c r="N888" t="s">
        <v>60</v>
      </c>
      <c r="O888" t="s">
        <v>61</v>
      </c>
      <c r="P888" t="s">
        <v>107</v>
      </c>
      <c r="Q888">
        <v>3</v>
      </c>
      <c r="R888" s="2">
        <v>45117</v>
      </c>
      <c r="S888">
        <v>2</v>
      </c>
      <c r="T888">
        <v>2</v>
      </c>
      <c r="U888">
        <v>1</v>
      </c>
      <c r="V888" s="1">
        <v>44824</v>
      </c>
      <c r="W888" t="s">
        <v>41</v>
      </c>
      <c r="X888" t="s">
        <v>42</v>
      </c>
      <c r="Y888" t="s">
        <v>43</v>
      </c>
      <c r="Z888">
        <v>4</v>
      </c>
      <c r="AA888">
        <v>718.16</v>
      </c>
      <c r="AB888">
        <v>22</v>
      </c>
    </row>
    <row r="889" spans="1:28" x14ac:dyDescent="0.2">
      <c r="A889">
        <v>1382</v>
      </c>
      <c r="B889" s="1">
        <v>43623</v>
      </c>
      <c r="C889" t="s">
        <v>126</v>
      </c>
      <c r="D889" t="s">
        <v>64</v>
      </c>
      <c r="E889" t="s">
        <v>30</v>
      </c>
      <c r="F889" t="s">
        <v>55</v>
      </c>
      <c r="G889" t="s">
        <v>56</v>
      </c>
      <c r="H889" t="s">
        <v>46</v>
      </c>
      <c r="I889" t="s">
        <v>132</v>
      </c>
      <c r="J889" t="s">
        <v>70</v>
      </c>
      <c r="K889" s="2">
        <v>24913</v>
      </c>
      <c r="L889" t="s">
        <v>36</v>
      </c>
      <c r="M889" t="s">
        <v>37</v>
      </c>
      <c r="N889" t="s">
        <v>38</v>
      </c>
      <c r="O889" t="s">
        <v>39</v>
      </c>
      <c r="P889" t="s">
        <v>78</v>
      </c>
      <c r="Q889">
        <v>3</v>
      </c>
      <c r="R889" s="2">
        <v>44895</v>
      </c>
      <c r="S889">
        <v>2</v>
      </c>
      <c r="T889">
        <v>1</v>
      </c>
      <c r="U889">
        <v>1</v>
      </c>
      <c r="V889" s="1">
        <v>44978</v>
      </c>
      <c r="W889" t="s">
        <v>92</v>
      </c>
      <c r="X889" t="s">
        <v>42</v>
      </c>
      <c r="Y889" t="s">
        <v>73</v>
      </c>
      <c r="Z889">
        <v>5</v>
      </c>
      <c r="AA889">
        <v>162.46</v>
      </c>
      <c r="AB889">
        <v>51</v>
      </c>
    </row>
    <row r="890" spans="1:28" x14ac:dyDescent="0.2">
      <c r="A890">
        <v>1383</v>
      </c>
      <c r="B890" s="1">
        <v>44589</v>
      </c>
      <c r="C890" t="s">
        <v>126</v>
      </c>
      <c r="D890" t="s">
        <v>69</v>
      </c>
      <c r="E890" t="s">
        <v>30</v>
      </c>
      <c r="F890" t="s">
        <v>31</v>
      </c>
      <c r="G890" t="s">
        <v>32</v>
      </c>
      <c r="H890" t="s">
        <v>46</v>
      </c>
      <c r="I890" t="s">
        <v>132</v>
      </c>
      <c r="J890" t="s">
        <v>65</v>
      </c>
      <c r="K890" s="2">
        <v>34617</v>
      </c>
      <c r="L890" t="s">
        <v>36</v>
      </c>
      <c r="M890" t="s">
        <v>37</v>
      </c>
      <c r="N890" t="s">
        <v>49</v>
      </c>
      <c r="O890" t="s">
        <v>77</v>
      </c>
      <c r="P890" t="s">
        <v>78</v>
      </c>
      <c r="Q890">
        <v>3</v>
      </c>
      <c r="R890" s="2">
        <v>44806</v>
      </c>
      <c r="S890">
        <v>4</v>
      </c>
      <c r="T890">
        <v>1</v>
      </c>
      <c r="U890">
        <v>5</v>
      </c>
      <c r="V890" s="1">
        <v>44941</v>
      </c>
      <c r="W890" t="s">
        <v>50</v>
      </c>
      <c r="X890" t="s">
        <v>42</v>
      </c>
      <c r="Y890" t="s">
        <v>63</v>
      </c>
      <c r="Z890">
        <v>3</v>
      </c>
      <c r="AA890">
        <v>924.64</v>
      </c>
      <c r="AB890">
        <v>28</v>
      </c>
    </row>
    <row r="891" spans="1:28" x14ac:dyDescent="0.2">
      <c r="A891">
        <v>1384</v>
      </c>
      <c r="B891" s="1">
        <v>44013</v>
      </c>
      <c r="C891" t="s">
        <v>137</v>
      </c>
      <c r="D891" t="s">
        <v>29</v>
      </c>
      <c r="E891" t="s">
        <v>30</v>
      </c>
      <c r="F891" t="s">
        <v>46</v>
      </c>
      <c r="G891" t="s">
        <v>56</v>
      </c>
      <c r="H891" t="s">
        <v>55</v>
      </c>
      <c r="I891" t="s">
        <v>132</v>
      </c>
      <c r="J891" t="s">
        <v>70</v>
      </c>
      <c r="K891" s="2">
        <v>20526</v>
      </c>
      <c r="L891" t="s">
        <v>36</v>
      </c>
      <c r="M891" t="s">
        <v>37</v>
      </c>
      <c r="N891" t="s">
        <v>60</v>
      </c>
      <c r="O891" t="s">
        <v>61</v>
      </c>
      <c r="P891" t="s">
        <v>107</v>
      </c>
      <c r="Q891">
        <v>3</v>
      </c>
      <c r="R891" s="2">
        <v>45051</v>
      </c>
      <c r="S891">
        <v>2</v>
      </c>
      <c r="T891">
        <v>3</v>
      </c>
      <c r="U891">
        <v>4</v>
      </c>
      <c r="V891" s="1">
        <v>44838</v>
      </c>
      <c r="W891" t="s">
        <v>41</v>
      </c>
      <c r="X891" t="s">
        <v>42</v>
      </c>
      <c r="Y891" t="s">
        <v>73</v>
      </c>
      <c r="Z891">
        <v>4</v>
      </c>
      <c r="AA891">
        <v>628.48</v>
      </c>
      <c r="AB891">
        <v>64</v>
      </c>
    </row>
    <row r="892" spans="1:28" x14ac:dyDescent="0.2">
      <c r="A892">
        <v>1385</v>
      </c>
      <c r="B892" s="1">
        <v>43981</v>
      </c>
      <c r="C892" t="s">
        <v>137</v>
      </c>
      <c r="D892" t="s">
        <v>85</v>
      </c>
      <c r="E892" t="s">
        <v>30</v>
      </c>
      <c r="F892" t="s">
        <v>55</v>
      </c>
      <c r="G892" t="s">
        <v>32</v>
      </c>
      <c r="H892" t="s">
        <v>46</v>
      </c>
      <c r="I892" t="s">
        <v>132</v>
      </c>
      <c r="J892" t="s">
        <v>70</v>
      </c>
      <c r="K892" s="2">
        <v>24236</v>
      </c>
      <c r="L892" t="s">
        <v>36</v>
      </c>
      <c r="M892" t="s">
        <v>37</v>
      </c>
      <c r="N892" t="s">
        <v>49</v>
      </c>
      <c r="O892" t="s">
        <v>77</v>
      </c>
      <c r="P892" t="s">
        <v>107</v>
      </c>
      <c r="Q892">
        <v>3</v>
      </c>
      <c r="R892" s="2">
        <v>44815</v>
      </c>
      <c r="S892">
        <v>3</v>
      </c>
      <c r="T892">
        <v>1</v>
      </c>
      <c r="U892">
        <v>3</v>
      </c>
      <c r="V892" s="1">
        <v>45104</v>
      </c>
      <c r="W892" t="s">
        <v>92</v>
      </c>
      <c r="X892" t="s">
        <v>42</v>
      </c>
      <c r="Y892" t="s">
        <v>73</v>
      </c>
      <c r="Z892">
        <v>1</v>
      </c>
      <c r="AA892">
        <v>678.07</v>
      </c>
      <c r="AB892">
        <v>54</v>
      </c>
    </row>
    <row r="893" spans="1:28" x14ac:dyDescent="0.2">
      <c r="A893">
        <v>1386</v>
      </c>
      <c r="B893" s="1">
        <v>43743</v>
      </c>
      <c r="C893" t="s">
        <v>138</v>
      </c>
      <c r="D893" t="s">
        <v>44</v>
      </c>
      <c r="E893" t="s">
        <v>30</v>
      </c>
      <c r="F893" t="s">
        <v>31</v>
      </c>
      <c r="G893" t="s">
        <v>32</v>
      </c>
      <c r="H893" t="s">
        <v>55</v>
      </c>
      <c r="I893" t="s">
        <v>132</v>
      </c>
      <c r="J893" t="s">
        <v>65</v>
      </c>
      <c r="K893" s="2">
        <v>27991</v>
      </c>
      <c r="L893" t="s">
        <v>36</v>
      </c>
      <c r="M893" t="s">
        <v>37</v>
      </c>
      <c r="N893" t="s">
        <v>38</v>
      </c>
      <c r="O893" t="s">
        <v>67</v>
      </c>
      <c r="P893" t="s">
        <v>78</v>
      </c>
      <c r="Q893">
        <v>3</v>
      </c>
      <c r="R893" s="2">
        <v>45003</v>
      </c>
      <c r="S893">
        <v>2</v>
      </c>
      <c r="T893">
        <v>4</v>
      </c>
      <c r="U893">
        <v>5</v>
      </c>
      <c r="V893" s="1">
        <v>45106</v>
      </c>
      <c r="W893" t="s">
        <v>68</v>
      </c>
      <c r="X893" t="s">
        <v>51</v>
      </c>
      <c r="Y893" t="s">
        <v>73</v>
      </c>
      <c r="Z893">
        <v>1</v>
      </c>
      <c r="AA893">
        <v>106.91</v>
      </c>
      <c r="AB893">
        <v>43</v>
      </c>
    </row>
    <row r="894" spans="1:28" x14ac:dyDescent="0.2">
      <c r="A894">
        <v>1387</v>
      </c>
      <c r="B894" s="1">
        <v>44506</v>
      </c>
      <c r="C894" t="s">
        <v>138</v>
      </c>
      <c r="D894" t="s">
        <v>87</v>
      </c>
      <c r="E894" t="s">
        <v>30</v>
      </c>
      <c r="F894" t="s">
        <v>31</v>
      </c>
      <c r="G894" t="s">
        <v>56</v>
      </c>
      <c r="H894" t="s">
        <v>55</v>
      </c>
      <c r="I894" t="s">
        <v>132</v>
      </c>
      <c r="J894" t="s">
        <v>65</v>
      </c>
      <c r="K894" s="2">
        <v>18867</v>
      </c>
      <c r="L894" t="s">
        <v>36</v>
      </c>
      <c r="M894" t="s">
        <v>48</v>
      </c>
      <c r="N894" t="s">
        <v>49</v>
      </c>
      <c r="O894" t="s">
        <v>77</v>
      </c>
      <c r="P894" t="s">
        <v>107</v>
      </c>
      <c r="Q894">
        <v>3</v>
      </c>
      <c r="R894" s="2">
        <v>45014</v>
      </c>
      <c r="S894">
        <v>5</v>
      </c>
      <c r="T894">
        <v>1</v>
      </c>
      <c r="U894">
        <v>2</v>
      </c>
      <c r="V894" s="1">
        <v>44915</v>
      </c>
      <c r="W894" t="s">
        <v>92</v>
      </c>
      <c r="X894" t="s">
        <v>51</v>
      </c>
      <c r="Y894" t="s">
        <v>52</v>
      </c>
      <c r="Z894">
        <v>1</v>
      </c>
      <c r="AA894">
        <v>195.95</v>
      </c>
      <c r="AB894">
        <v>70</v>
      </c>
    </row>
    <row r="895" spans="1:28" x14ac:dyDescent="0.2">
      <c r="A895">
        <v>1388</v>
      </c>
      <c r="B895" s="1">
        <v>43594</v>
      </c>
      <c r="C895" t="s">
        <v>138</v>
      </c>
      <c r="D895" t="s">
        <v>64</v>
      </c>
      <c r="E895" t="s">
        <v>30</v>
      </c>
      <c r="F895" t="s">
        <v>46</v>
      </c>
      <c r="G895" t="s">
        <v>56</v>
      </c>
      <c r="H895" t="s">
        <v>55</v>
      </c>
      <c r="I895" t="s">
        <v>132</v>
      </c>
      <c r="J895" t="s">
        <v>70</v>
      </c>
      <c r="K895" s="2">
        <v>25925</v>
      </c>
      <c r="L895" t="s">
        <v>36</v>
      </c>
      <c r="M895" t="s">
        <v>37</v>
      </c>
      <c r="N895" t="s">
        <v>72</v>
      </c>
      <c r="O895" t="s">
        <v>61</v>
      </c>
      <c r="P895" t="s">
        <v>78</v>
      </c>
      <c r="Q895">
        <v>3</v>
      </c>
      <c r="R895" s="2">
        <v>45122</v>
      </c>
      <c r="S895">
        <v>5</v>
      </c>
      <c r="T895">
        <v>2</v>
      </c>
      <c r="U895">
        <v>4</v>
      </c>
      <c r="V895" s="1">
        <v>45034</v>
      </c>
      <c r="W895" t="s">
        <v>92</v>
      </c>
      <c r="X895" t="s">
        <v>51</v>
      </c>
      <c r="Y895" t="s">
        <v>63</v>
      </c>
      <c r="Z895">
        <v>1</v>
      </c>
      <c r="AA895">
        <v>918.34</v>
      </c>
      <c r="AB895">
        <v>49</v>
      </c>
    </row>
    <row r="896" spans="1:28" x14ac:dyDescent="0.2">
      <c r="A896">
        <v>1389</v>
      </c>
      <c r="B896" s="1">
        <v>43766</v>
      </c>
      <c r="C896" t="s">
        <v>106</v>
      </c>
      <c r="D896" t="s">
        <v>81</v>
      </c>
      <c r="E896" t="s">
        <v>30</v>
      </c>
      <c r="F896" t="s">
        <v>46</v>
      </c>
      <c r="G896" t="s">
        <v>45</v>
      </c>
      <c r="H896" t="s">
        <v>55</v>
      </c>
      <c r="I896" t="s">
        <v>34</v>
      </c>
      <c r="J896" t="s">
        <v>134</v>
      </c>
      <c r="K896" s="2">
        <v>22961</v>
      </c>
      <c r="L896" t="s">
        <v>36</v>
      </c>
      <c r="M896" t="s">
        <v>48</v>
      </c>
      <c r="N896" t="s">
        <v>49</v>
      </c>
      <c r="O896" t="s">
        <v>39</v>
      </c>
      <c r="P896" t="s">
        <v>78</v>
      </c>
      <c r="Q896">
        <v>3</v>
      </c>
      <c r="R896" s="2">
        <v>44982</v>
      </c>
      <c r="S896">
        <v>4</v>
      </c>
      <c r="T896">
        <v>4</v>
      </c>
      <c r="U896">
        <v>3</v>
      </c>
      <c r="V896" s="1">
        <v>44942</v>
      </c>
      <c r="W896" t="s">
        <v>92</v>
      </c>
      <c r="X896" t="s">
        <v>51</v>
      </c>
      <c r="Y896" t="s">
        <v>52</v>
      </c>
      <c r="Z896">
        <v>3</v>
      </c>
      <c r="AA896">
        <v>425.34</v>
      </c>
      <c r="AB896">
        <v>57</v>
      </c>
    </row>
    <row r="897" spans="1:28" x14ac:dyDescent="0.2">
      <c r="A897">
        <v>1390</v>
      </c>
      <c r="B897" s="1">
        <v>43476</v>
      </c>
      <c r="C897" t="s">
        <v>28</v>
      </c>
      <c r="D897" t="s">
        <v>85</v>
      </c>
      <c r="E897" t="s">
        <v>30</v>
      </c>
      <c r="F897" t="s">
        <v>31</v>
      </c>
      <c r="G897" t="s">
        <v>32</v>
      </c>
      <c r="H897" t="s">
        <v>46</v>
      </c>
      <c r="I897" t="s">
        <v>34</v>
      </c>
      <c r="J897" t="s">
        <v>65</v>
      </c>
      <c r="K897" s="2">
        <v>20444</v>
      </c>
      <c r="L897" t="s">
        <v>36</v>
      </c>
      <c r="M897" t="s">
        <v>48</v>
      </c>
      <c r="N897" t="s">
        <v>84</v>
      </c>
      <c r="O897" t="s">
        <v>67</v>
      </c>
      <c r="P897" t="s">
        <v>78</v>
      </c>
      <c r="Q897">
        <v>3</v>
      </c>
      <c r="R897" s="2">
        <v>44949</v>
      </c>
      <c r="S897">
        <v>2</v>
      </c>
      <c r="T897">
        <v>3</v>
      </c>
      <c r="U897">
        <v>4</v>
      </c>
      <c r="V897" s="1">
        <v>44988</v>
      </c>
      <c r="W897" t="s">
        <v>92</v>
      </c>
      <c r="X897" t="s">
        <v>51</v>
      </c>
      <c r="Y897" t="s">
        <v>63</v>
      </c>
      <c r="Z897">
        <v>3</v>
      </c>
      <c r="AA897">
        <v>512.53</v>
      </c>
      <c r="AB897">
        <v>64</v>
      </c>
    </row>
    <row r="898" spans="1:28" x14ac:dyDescent="0.2">
      <c r="A898">
        <v>1391</v>
      </c>
      <c r="B898" s="1">
        <v>43923</v>
      </c>
      <c r="C898" t="s">
        <v>28</v>
      </c>
      <c r="D898" t="s">
        <v>87</v>
      </c>
      <c r="E898" t="s">
        <v>30</v>
      </c>
      <c r="F898" t="s">
        <v>31</v>
      </c>
      <c r="G898" t="s">
        <v>45</v>
      </c>
      <c r="H898" t="s">
        <v>33</v>
      </c>
      <c r="I898" t="s">
        <v>34</v>
      </c>
      <c r="J898" t="s">
        <v>103</v>
      </c>
      <c r="K898" s="2">
        <v>15298</v>
      </c>
      <c r="L898" t="s">
        <v>36</v>
      </c>
      <c r="M898" t="s">
        <v>37</v>
      </c>
      <c r="N898" t="s">
        <v>60</v>
      </c>
      <c r="O898" t="s">
        <v>61</v>
      </c>
      <c r="P898" t="s">
        <v>98</v>
      </c>
      <c r="Q898">
        <v>3</v>
      </c>
      <c r="R898" s="2">
        <v>44784</v>
      </c>
      <c r="S898">
        <v>4</v>
      </c>
      <c r="T898">
        <v>1</v>
      </c>
      <c r="U898">
        <v>1</v>
      </c>
      <c r="V898" s="1">
        <v>44962</v>
      </c>
      <c r="W898" t="s">
        <v>41</v>
      </c>
      <c r="X898" t="s">
        <v>51</v>
      </c>
      <c r="Y898" t="s">
        <v>63</v>
      </c>
      <c r="Z898">
        <v>3</v>
      </c>
      <c r="AA898">
        <v>146.47999999999999</v>
      </c>
      <c r="AB898">
        <v>79</v>
      </c>
    </row>
    <row r="899" spans="1:28" x14ac:dyDescent="0.2">
      <c r="A899">
        <v>1392</v>
      </c>
      <c r="B899" s="1">
        <v>43623</v>
      </c>
      <c r="C899" t="s">
        <v>28</v>
      </c>
      <c r="D899" t="s">
        <v>54</v>
      </c>
      <c r="E899" t="s">
        <v>30</v>
      </c>
      <c r="F899" t="s">
        <v>46</v>
      </c>
      <c r="G899" t="s">
        <v>45</v>
      </c>
      <c r="H899" t="s">
        <v>46</v>
      </c>
      <c r="I899" t="s">
        <v>34</v>
      </c>
      <c r="J899" t="s">
        <v>70</v>
      </c>
      <c r="K899" s="2">
        <v>20145</v>
      </c>
      <c r="L899" t="s">
        <v>36</v>
      </c>
      <c r="M899" t="s">
        <v>37</v>
      </c>
      <c r="N899" t="s">
        <v>49</v>
      </c>
      <c r="O899" t="s">
        <v>39</v>
      </c>
      <c r="P899" t="s">
        <v>78</v>
      </c>
      <c r="Q899">
        <v>3</v>
      </c>
      <c r="R899" s="2">
        <v>44823</v>
      </c>
      <c r="S899">
        <v>4</v>
      </c>
      <c r="T899">
        <v>4</v>
      </c>
      <c r="U899">
        <v>3</v>
      </c>
      <c r="V899" s="1">
        <v>45036</v>
      </c>
      <c r="W899" t="s">
        <v>41</v>
      </c>
      <c r="X899" t="s">
        <v>51</v>
      </c>
      <c r="Y899" t="s">
        <v>63</v>
      </c>
      <c r="Z899">
        <v>3</v>
      </c>
      <c r="AA899">
        <v>578.62</v>
      </c>
      <c r="AB899">
        <v>64</v>
      </c>
    </row>
    <row r="900" spans="1:28" x14ac:dyDescent="0.2">
      <c r="A900">
        <v>1393</v>
      </c>
      <c r="B900" s="1">
        <v>44522</v>
      </c>
      <c r="C900" t="s">
        <v>28</v>
      </c>
      <c r="D900" t="s">
        <v>85</v>
      </c>
      <c r="E900" t="s">
        <v>30</v>
      </c>
      <c r="F900" t="s">
        <v>46</v>
      </c>
      <c r="G900" t="s">
        <v>32</v>
      </c>
      <c r="H900" t="s">
        <v>46</v>
      </c>
      <c r="I900" t="s">
        <v>34</v>
      </c>
      <c r="J900" t="s">
        <v>65</v>
      </c>
      <c r="K900" s="2">
        <v>17246</v>
      </c>
      <c r="L900" t="s">
        <v>36</v>
      </c>
      <c r="M900" t="s">
        <v>37</v>
      </c>
      <c r="N900" t="s">
        <v>60</v>
      </c>
      <c r="O900" t="s">
        <v>61</v>
      </c>
      <c r="P900" t="s">
        <v>78</v>
      </c>
      <c r="Q900">
        <v>3</v>
      </c>
      <c r="R900" s="2">
        <v>45094</v>
      </c>
      <c r="S900">
        <v>4</v>
      </c>
      <c r="T900">
        <v>4</v>
      </c>
      <c r="U900">
        <v>4</v>
      </c>
      <c r="V900" s="1">
        <v>45018</v>
      </c>
      <c r="W900" t="s">
        <v>68</v>
      </c>
      <c r="X900" t="s">
        <v>51</v>
      </c>
      <c r="Y900" t="s">
        <v>43</v>
      </c>
      <c r="Z900">
        <v>3</v>
      </c>
      <c r="AA900">
        <v>255.61</v>
      </c>
      <c r="AB900">
        <v>74</v>
      </c>
    </row>
    <row r="901" spans="1:28" x14ac:dyDescent="0.2">
      <c r="A901">
        <v>1394</v>
      </c>
      <c r="B901" s="1">
        <v>43484</v>
      </c>
      <c r="C901" t="s">
        <v>28</v>
      </c>
      <c r="D901" t="s">
        <v>81</v>
      </c>
      <c r="E901" t="s">
        <v>30</v>
      </c>
      <c r="F901" t="s">
        <v>55</v>
      </c>
      <c r="G901" t="s">
        <v>45</v>
      </c>
      <c r="H901" t="s">
        <v>46</v>
      </c>
      <c r="I901" t="s">
        <v>34</v>
      </c>
      <c r="J901" t="s">
        <v>70</v>
      </c>
      <c r="K901" s="2">
        <v>15839</v>
      </c>
      <c r="L901" t="s">
        <v>36</v>
      </c>
      <c r="M901" t="s">
        <v>48</v>
      </c>
      <c r="N901" t="s">
        <v>72</v>
      </c>
      <c r="O901" t="s">
        <v>67</v>
      </c>
      <c r="P901" t="s">
        <v>78</v>
      </c>
      <c r="Q901">
        <v>3</v>
      </c>
      <c r="R901" s="2">
        <v>45114</v>
      </c>
      <c r="S901">
        <v>1</v>
      </c>
      <c r="T901">
        <v>2</v>
      </c>
      <c r="U901">
        <v>2</v>
      </c>
      <c r="V901" s="1">
        <v>44970</v>
      </c>
      <c r="W901" t="s">
        <v>41</v>
      </c>
      <c r="X901" t="s">
        <v>42</v>
      </c>
      <c r="Y901" t="s">
        <v>73</v>
      </c>
      <c r="Z901">
        <v>5</v>
      </c>
      <c r="AA901">
        <v>370.26</v>
      </c>
      <c r="AB901">
        <v>76</v>
      </c>
    </row>
    <row r="902" spans="1:28" x14ac:dyDescent="0.2">
      <c r="A902">
        <v>1395</v>
      </c>
      <c r="B902" s="1">
        <v>44547</v>
      </c>
      <c r="C902" t="s">
        <v>106</v>
      </c>
      <c r="D902" t="s">
        <v>85</v>
      </c>
      <c r="E902" t="s">
        <v>108</v>
      </c>
      <c r="F902" t="s">
        <v>55</v>
      </c>
      <c r="G902" t="s">
        <v>32</v>
      </c>
      <c r="H902" t="s">
        <v>46</v>
      </c>
      <c r="I902" t="s">
        <v>34</v>
      </c>
      <c r="J902" t="s">
        <v>65</v>
      </c>
      <c r="K902" s="2">
        <v>22234</v>
      </c>
      <c r="L902" t="s">
        <v>36</v>
      </c>
      <c r="M902" t="s">
        <v>48</v>
      </c>
      <c r="N902" t="s">
        <v>72</v>
      </c>
      <c r="O902" t="s">
        <v>77</v>
      </c>
      <c r="P902" t="s">
        <v>78</v>
      </c>
      <c r="Q902">
        <v>3</v>
      </c>
      <c r="R902" s="2">
        <v>45077</v>
      </c>
      <c r="S902">
        <v>4</v>
      </c>
      <c r="T902">
        <v>1</v>
      </c>
      <c r="U902">
        <v>2</v>
      </c>
      <c r="V902" s="1">
        <v>44923</v>
      </c>
      <c r="W902" t="s">
        <v>92</v>
      </c>
      <c r="X902" t="s">
        <v>42</v>
      </c>
      <c r="Y902" t="s">
        <v>43</v>
      </c>
      <c r="Z902">
        <v>2</v>
      </c>
      <c r="AA902">
        <v>302.97000000000003</v>
      </c>
      <c r="AB902">
        <v>61</v>
      </c>
    </row>
    <row r="903" spans="1:28" x14ac:dyDescent="0.2">
      <c r="A903">
        <v>1396</v>
      </c>
      <c r="B903" s="1">
        <v>43589</v>
      </c>
      <c r="C903" t="s">
        <v>28</v>
      </c>
      <c r="D903" t="s">
        <v>85</v>
      </c>
      <c r="E903" t="s">
        <v>30</v>
      </c>
      <c r="F903" t="s">
        <v>46</v>
      </c>
      <c r="G903" t="s">
        <v>45</v>
      </c>
      <c r="H903" t="s">
        <v>55</v>
      </c>
      <c r="I903" t="s">
        <v>34</v>
      </c>
      <c r="J903" t="s">
        <v>75</v>
      </c>
      <c r="K903" s="2">
        <v>20705</v>
      </c>
      <c r="L903" t="s">
        <v>36</v>
      </c>
      <c r="M903" t="s">
        <v>37</v>
      </c>
      <c r="N903" t="s">
        <v>49</v>
      </c>
      <c r="O903" t="s">
        <v>67</v>
      </c>
      <c r="P903" t="s">
        <v>78</v>
      </c>
      <c r="Q903">
        <v>3</v>
      </c>
      <c r="R903" s="2">
        <v>45114</v>
      </c>
      <c r="S903">
        <v>2</v>
      </c>
      <c r="T903">
        <v>1</v>
      </c>
      <c r="U903">
        <v>3</v>
      </c>
      <c r="V903" s="1">
        <v>44817</v>
      </c>
      <c r="W903" t="s">
        <v>92</v>
      </c>
      <c r="X903" t="s">
        <v>42</v>
      </c>
      <c r="Y903" t="s">
        <v>63</v>
      </c>
      <c r="Z903">
        <v>3</v>
      </c>
      <c r="AA903">
        <v>632.28</v>
      </c>
      <c r="AB903">
        <v>63</v>
      </c>
    </row>
    <row r="904" spans="1:28" x14ac:dyDescent="0.2">
      <c r="A904">
        <v>1397</v>
      </c>
      <c r="B904" s="1">
        <v>43459</v>
      </c>
      <c r="C904" t="s">
        <v>28</v>
      </c>
      <c r="D904" t="s">
        <v>87</v>
      </c>
      <c r="E904" t="s">
        <v>30</v>
      </c>
      <c r="F904" t="s">
        <v>31</v>
      </c>
      <c r="G904" t="s">
        <v>45</v>
      </c>
      <c r="H904" t="s">
        <v>46</v>
      </c>
      <c r="I904" t="s">
        <v>34</v>
      </c>
      <c r="J904" t="s">
        <v>65</v>
      </c>
      <c r="K904" s="2">
        <v>29643</v>
      </c>
      <c r="L904" t="s">
        <v>36</v>
      </c>
      <c r="M904" t="s">
        <v>48</v>
      </c>
      <c r="N904" t="s">
        <v>60</v>
      </c>
      <c r="O904" t="s">
        <v>61</v>
      </c>
      <c r="P904" t="s">
        <v>78</v>
      </c>
      <c r="Q904">
        <v>3</v>
      </c>
      <c r="R904" s="2">
        <v>45016</v>
      </c>
      <c r="S904">
        <v>3</v>
      </c>
      <c r="T904">
        <v>2</v>
      </c>
      <c r="U904">
        <v>3</v>
      </c>
      <c r="V904" s="1">
        <v>44986</v>
      </c>
      <c r="W904" t="s">
        <v>50</v>
      </c>
      <c r="X904" t="s">
        <v>42</v>
      </c>
      <c r="Y904" t="s">
        <v>52</v>
      </c>
      <c r="Z904">
        <v>2</v>
      </c>
      <c r="AA904">
        <v>669.41</v>
      </c>
      <c r="AB904">
        <v>37</v>
      </c>
    </row>
    <row r="905" spans="1:28" x14ac:dyDescent="0.2">
      <c r="A905">
        <v>1398</v>
      </c>
      <c r="B905" s="1">
        <v>44199</v>
      </c>
      <c r="C905" t="s">
        <v>28</v>
      </c>
      <c r="D905" t="s">
        <v>94</v>
      </c>
      <c r="E905" t="s">
        <v>30</v>
      </c>
      <c r="F905" t="s">
        <v>46</v>
      </c>
      <c r="G905" t="s">
        <v>32</v>
      </c>
      <c r="H905" t="s">
        <v>55</v>
      </c>
      <c r="I905" t="s">
        <v>34</v>
      </c>
      <c r="J905" t="s">
        <v>89</v>
      </c>
      <c r="K905" s="2">
        <v>26645</v>
      </c>
      <c r="L905" t="s">
        <v>36</v>
      </c>
      <c r="M905" t="s">
        <v>37</v>
      </c>
      <c r="N905" t="s">
        <v>38</v>
      </c>
      <c r="O905" t="s">
        <v>61</v>
      </c>
      <c r="P905" t="s">
        <v>98</v>
      </c>
      <c r="Q905">
        <v>3</v>
      </c>
      <c r="R905" s="2">
        <v>45023</v>
      </c>
      <c r="S905">
        <v>1</v>
      </c>
      <c r="T905">
        <v>1</v>
      </c>
      <c r="U905">
        <v>1</v>
      </c>
      <c r="V905" s="1">
        <v>44930</v>
      </c>
      <c r="W905" t="s">
        <v>92</v>
      </c>
      <c r="X905" t="s">
        <v>51</v>
      </c>
      <c r="Y905" t="s">
        <v>73</v>
      </c>
      <c r="Z905">
        <v>3</v>
      </c>
      <c r="AA905">
        <v>191.99</v>
      </c>
      <c r="AB905">
        <v>49</v>
      </c>
    </row>
    <row r="906" spans="1:28" x14ac:dyDescent="0.2">
      <c r="A906">
        <v>1399</v>
      </c>
      <c r="B906" s="1">
        <v>45092</v>
      </c>
      <c r="C906" t="s">
        <v>28</v>
      </c>
      <c r="D906" t="s">
        <v>69</v>
      </c>
      <c r="E906" t="s">
        <v>30</v>
      </c>
      <c r="F906" t="s">
        <v>46</v>
      </c>
      <c r="G906" t="s">
        <v>32</v>
      </c>
      <c r="H906" t="s">
        <v>55</v>
      </c>
      <c r="I906" t="s">
        <v>34</v>
      </c>
      <c r="J906" t="s">
        <v>65</v>
      </c>
      <c r="K906" s="2">
        <v>28474</v>
      </c>
      <c r="L906" t="s">
        <v>36</v>
      </c>
      <c r="M906" t="s">
        <v>37</v>
      </c>
      <c r="N906" t="s">
        <v>60</v>
      </c>
      <c r="O906" t="s">
        <v>39</v>
      </c>
      <c r="P906" t="s">
        <v>98</v>
      </c>
      <c r="Q906">
        <v>3</v>
      </c>
      <c r="R906" s="2">
        <v>44992</v>
      </c>
      <c r="S906">
        <v>1</v>
      </c>
      <c r="T906">
        <v>4</v>
      </c>
      <c r="U906">
        <v>4</v>
      </c>
      <c r="V906" s="1">
        <v>45048</v>
      </c>
      <c r="W906" t="s">
        <v>50</v>
      </c>
      <c r="X906" t="s">
        <v>42</v>
      </c>
      <c r="Y906" t="s">
        <v>52</v>
      </c>
      <c r="Z906">
        <v>2</v>
      </c>
      <c r="AA906">
        <v>695.11</v>
      </c>
      <c r="AB906">
        <v>46</v>
      </c>
    </row>
    <row r="907" spans="1:28" x14ac:dyDescent="0.2">
      <c r="A907">
        <v>1400</v>
      </c>
      <c r="B907" s="1">
        <v>43341</v>
      </c>
      <c r="C907" t="s">
        <v>106</v>
      </c>
      <c r="D907" t="s">
        <v>81</v>
      </c>
      <c r="E907" t="s">
        <v>30</v>
      </c>
      <c r="F907" t="s">
        <v>55</v>
      </c>
      <c r="G907" t="s">
        <v>56</v>
      </c>
      <c r="H907" t="s">
        <v>55</v>
      </c>
      <c r="I907" t="s">
        <v>34</v>
      </c>
      <c r="J907" t="s">
        <v>70</v>
      </c>
      <c r="K907" s="2">
        <v>20182</v>
      </c>
      <c r="L907" t="s">
        <v>36</v>
      </c>
      <c r="M907" t="s">
        <v>37</v>
      </c>
      <c r="N907" t="s">
        <v>38</v>
      </c>
      <c r="O907" t="s">
        <v>77</v>
      </c>
      <c r="P907" t="s">
        <v>78</v>
      </c>
      <c r="Q907">
        <v>3</v>
      </c>
      <c r="R907" s="2">
        <v>45063</v>
      </c>
      <c r="S907">
        <v>2</v>
      </c>
      <c r="T907">
        <v>3</v>
      </c>
      <c r="U907">
        <v>3</v>
      </c>
      <c r="V907" s="1">
        <v>44779</v>
      </c>
      <c r="W907" t="s">
        <v>92</v>
      </c>
      <c r="X907" t="s">
        <v>42</v>
      </c>
      <c r="Y907" t="s">
        <v>43</v>
      </c>
      <c r="Z907">
        <v>2</v>
      </c>
      <c r="AA907">
        <v>634.91999999999996</v>
      </c>
      <c r="AB907">
        <v>63</v>
      </c>
    </row>
    <row r="908" spans="1:28" x14ac:dyDescent="0.2">
      <c r="A908">
        <v>1401</v>
      </c>
      <c r="B908" s="1">
        <v>43469</v>
      </c>
      <c r="C908" t="s">
        <v>28</v>
      </c>
      <c r="D908" t="s">
        <v>54</v>
      </c>
      <c r="E908" t="s">
        <v>30</v>
      </c>
      <c r="F908" t="s">
        <v>31</v>
      </c>
      <c r="G908" t="s">
        <v>56</v>
      </c>
      <c r="H908" t="s">
        <v>46</v>
      </c>
      <c r="I908" t="s">
        <v>34</v>
      </c>
      <c r="J908" t="s">
        <v>89</v>
      </c>
      <c r="K908" s="2">
        <v>24701</v>
      </c>
      <c r="L908" t="s">
        <v>36</v>
      </c>
      <c r="M908" t="s">
        <v>48</v>
      </c>
      <c r="N908" t="s">
        <v>38</v>
      </c>
      <c r="O908" t="s">
        <v>61</v>
      </c>
      <c r="P908" t="s">
        <v>78</v>
      </c>
      <c r="Q908">
        <v>3</v>
      </c>
      <c r="R908" s="2">
        <v>44869</v>
      </c>
      <c r="S908">
        <v>2</v>
      </c>
      <c r="T908">
        <v>5</v>
      </c>
      <c r="U908">
        <v>3</v>
      </c>
      <c r="V908" s="1">
        <v>45110</v>
      </c>
      <c r="W908" t="s">
        <v>92</v>
      </c>
      <c r="X908" t="s">
        <v>42</v>
      </c>
      <c r="Y908" t="s">
        <v>52</v>
      </c>
      <c r="Z908">
        <v>5</v>
      </c>
      <c r="AA908">
        <v>873.98</v>
      </c>
      <c r="AB908">
        <v>52</v>
      </c>
    </row>
    <row r="909" spans="1:28" x14ac:dyDescent="0.2">
      <c r="A909">
        <v>1402</v>
      </c>
      <c r="B909" s="1">
        <v>44449</v>
      </c>
      <c r="C909" t="s">
        <v>28</v>
      </c>
      <c r="D909" t="s">
        <v>87</v>
      </c>
      <c r="E909" t="s">
        <v>30</v>
      </c>
      <c r="F909" t="s">
        <v>55</v>
      </c>
      <c r="G909" t="s">
        <v>56</v>
      </c>
      <c r="H909" t="s">
        <v>55</v>
      </c>
      <c r="I909" t="s">
        <v>34</v>
      </c>
      <c r="J909" t="s">
        <v>58</v>
      </c>
      <c r="K909" s="2">
        <v>32428</v>
      </c>
      <c r="L909" t="s">
        <v>36</v>
      </c>
      <c r="M909" t="s">
        <v>37</v>
      </c>
      <c r="N909" t="s">
        <v>38</v>
      </c>
      <c r="O909" t="s">
        <v>77</v>
      </c>
      <c r="P909" t="s">
        <v>78</v>
      </c>
      <c r="Q909">
        <v>3</v>
      </c>
      <c r="R909" s="2">
        <v>45120</v>
      </c>
      <c r="S909">
        <v>2</v>
      </c>
      <c r="T909">
        <v>4</v>
      </c>
      <c r="U909">
        <v>4</v>
      </c>
      <c r="V909" s="1">
        <v>44848</v>
      </c>
      <c r="W909" t="s">
        <v>92</v>
      </c>
      <c r="X909" t="s">
        <v>51</v>
      </c>
      <c r="Y909" t="s">
        <v>73</v>
      </c>
      <c r="Z909">
        <v>3</v>
      </c>
      <c r="AA909">
        <v>602.33000000000004</v>
      </c>
      <c r="AB909">
        <v>33</v>
      </c>
    </row>
    <row r="910" spans="1:28" x14ac:dyDescent="0.2">
      <c r="A910">
        <v>1403</v>
      </c>
      <c r="B910" s="1">
        <v>44385</v>
      </c>
      <c r="C910" t="s">
        <v>28</v>
      </c>
      <c r="D910" t="s">
        <v>85</v>
      </c>
      <c r="E910" t="s">
        <v>30</v>
      </c>
      <c r="F910" t="s">
        <v>55</v>
      </c>
      <c r="G910" t="s">
        <v>56</v>
      </c>
      <c r="H910" t="s">
        <v>33</v>
      </c>
      <c r="I910" t="s">
        <v>34</v>
      </c>
      <c r="J910" t="s">
        <v>70</v>
      </c>
      <c r="K910" s="2">
        <v>16415</v>
      </c>
      <c r="L910" t="s">
        <v>36</v>
      </c>
      <c r="M910" t="s">
        <v>37</v>
      </c>
      <c r="N910" t="s">
        <v>38</v>
      </c>
      <c r="O910" t="s">
        <v>39</v>
      </c>
      <c r="P910" t="s">
        <v>78</v>
      </c>
      <c r="Q910">
        <v>3</v>
      </c>
      <c r="R910" s="2">
        <v>44920</v>
      </c>
      <c r="S910">
        <v>1</v>
      </c>
      <c r="T910">
        <v>3</v>
      </c>
      <c r="U910">
        <v>2</v>
      </c>
      <c r="V910" s="1">
        <v>45085</v>
      </c>
      <c r="W910" t="s">
        <v>68</v>
      </c>
      <c r="X910" t="s">
        <v>42</v>
      </c>
      <c r="Y910" t="s">
        <v>43</v>
      </c>
      <c r="Z910">
        <v>3</v>
      </c>
      <c r="AA910">
        <v>807.02</v>
      </c>
      <c r="AB910">
        <v>77</v>
      </c>
    </row>
    <row r="911" spans="1:28" x14ac:dyDescent="0.2">
      <c r="A911">
        <v>1404</v>
      </c>
      <c r="B911" s="1">
        <v>43405</v>
      </c>
      <c r="C911" t="s">
        <v>106</v>
      </c>
      <c r="D911" t="s">
        <v>69</v>
      </c>
      <c r="E911" t="s">
        <v>108</v>
      </c>
      <c r="F911" t="s">
        <v>31</v>
      </c>
      <c r="G911" t="s">
        <v>56</v>
      </c>
      <c r="H911" t="s">
        <v>46</v>
      </c>
      <c r="I911" t="s">
        <v>34</v>
      </c>
      <c r="J911" t="s">
        <v>35</v>
      </c>
      <c r="K911" s="2">
        <v>28830</v>
      </c>
      <c r="L911" t="s">
        <v>36</v>
      </c>
      <c r="M911" t="s">
        <v>48</v>
      </c>
      <c r="N911" t="s">
        <v>49</v>
      </c>
      <c r="O911" t="s">
        <v>61</v>
      </c>
      <c r="P911" t="s">
        <v>78</v>
      </c>
      <c r="Q911">
        <v>3</v>
      </c>
      <c r="R911" s="2">
        <v>44975</v>
      </c>
      <c r="S911">
        <v>1</v>
      </c>
      <c r="T911">
        <v>2</v>
      </c>
      <c r="U911">
        <v>2</v>
      </c>
      <c r="V911" s="1">
        <v>44836</v>
      </c>
      <c r="W911" t="s">
        <v>62</v>
      </c>
      <c r="X911" t="s">
        <v>42</v>
      </c>
      <c r="Y911" t="s">
        <v>63</v>
      </c>
      <c r="Z911">
        <v>4</v>
      </c>
      <c r="AA911">
        <v>411.94</v>
      </c>
      <c r="AB911">
        <v>40</v>
      </c>
    </row>
    <row r="912" spans="1:28" x14ac:dyDescent="0.2">
      <c r="A912">
        <v>1405</v>
      </c>
      <c r="B912" s="1">
        <v>43442</v>
      </c>
      <c r="C912" t="s">
        <v>106</v>
      </c>
      <c r="D912" t="s">
        <v>54</v>
      </c>
      <c r="E912" t="s">
        <v>30</v>
      </c>
      <c r="F912" t="s">
        <v>46</v>
      </c>
      <c r="G912" t="s">
        <v>45</v>
      </c>
      <c r="H912" t="s">
        <v>33</v>
      </c>
      <c r="I912" t="s">
        <v>34</v>
      </c>
      <c r="J912" t="s">
        <v>70</v>
      </c>
      <c r="K912" s="2">
        <v>28214</v>
      </c>
      <c r="L912" t="s">
        <v>36</v>
      </c>
      <c r="M912" t="s">
        <v>37</v>
      </c>
      <c r="N912" t="s">
        <v>60</v>
      </c>
      <c r="O912" t="s">
        <v>61</v>
      </c>
      <c r="P912" t="s">
        <v>78</v>
      </c>
      <c r="Q912">
        <v>3</v>
      </c>
      <c r="R912" s="2">
        <v>45045</v>
      </c>
      <c r="S912">
        <v>3</v>
      </c>
      <c r="T912">
        <v>3</v>
      </c>
      <c r="U912">
        <v>3</v>
      </c>
      <c r="V912" s="1">
        <v>44819</v>
      </c>
      <c r="W912" t="s">
        <v>50</v>
      </c>
      <c r="X912" t="s">
        <v>51</v>
      </c>
      <c r="Y912" t="s">
        <v>63</v>
      </c>
      <c r="Z912">
        <v>4</v>
      </c>
      <c r="AA912">
        <v>537.73</v>
      </c>
      <c r="AB912">
        <v>41</v>
      </c>
    </row>
    <row r="913" spans="1:28" x14ac:dyDescent="0.2">
      <c r="A913">
        <v>1406</v>
      </c>
      <c r="B913" s="1">
        <v>44859</v>
      </c>
      <c r="C913" t="s">
        <v>106</v>
      </c>
      <c r="D913" t="s">
        <v>94</v>
      </c>
      <c r="E913" t="s">
        <v>30</v>
      </c>
      <c r="F913" t="s">
        <v>46</v>
      </c>
      <c r="G913" t="s">
        <v>45</v>
      </c>
      <c r="H913" t="s">
        <v>55</v>
      </c>
      <c r="I913" t="s">
        <v>34</v>
      </c>
      <c r="J913" t="s">
        <v>65</v>
      </c>
      <c r="K913" s="2">
        <v>30265</v>
      </c>
      <c r="L913" t="s">
        <v>36</v>
      </c>
      <c r="M913" t="s">
        <v>37</v>
      </c>
      <c r="N913" t="s">
        <v>84</v>
      </c>
      <c r="O913" t="s">
        <v>61</v>
      </c>
      <c r="P913" t="s">
        <v>78</v>
      </c>
      <c r="Q913">
        <v>3</v>
      </c>
      <c r="R913" s="2">
        <v>45061</v>
      </c>
      <c r="S913">
        <v>4</v>
      </c>
      <c r="T913">
        <v>1</v>
      </c>
      <c r="U913">
        <v>5</v>
      </c>
      <c r="V913" s="1">
        <v>45049</v>
      </c>
      <c r="W913" t="s">
        <v>68</v>
      </c>
      <c r="X913" t="s">
        <v>42</v>
      </c>
      <c r="Y913" t="s">
        <v>52</v>
      </c>
      <c r="Z913">
        <v>5</v>
      </c>
      <c r="AA913">
        <v>930.1</v>
      </c>
      <c r="AB913">
        <v>40</v>
      </c>
    </row>
    <row r="914" spans="1:28" x14ac:dyDescent="0.2">
      <c r="A914">
        <v>1407</v>
      </c>
      <c r="B914" s="1">
        <v>45020</v>
      </c>
      <c r="C914" t="s">
        <v>28</v>
      </c>
      <c r="D914" t="s">
        <v>64</v>
      </c>
      <c r="E914" t="s">
        <v>30</v>
      </c>
      <c r="F914" t="s">
        <v>55</v>
      </c>
      <c r="G914" t="s">
        <v>56</v>
      </c>
      <c r="H914" t="s">
        <v>33</v>
      </c>
      <c r="I914" t="s">
        <v>34</v>
      </c>
      <c r="J914" t="s">
        <v>58</v>
      </c>
      <c r="K914" s="2">
        <v>30405</v>
      </c>
      <c r="L914" t="s">
        <v>36</v>
      </c>
      <c r="M914" t="s">
        <v>48</v>
      </c>
      <c r="N914" t="s">
        <v>49</v>
      </c>
      <c r="O914" t="s">
        <v>67</v>
      </c>
      <c r="P914" t="s">
        <v>78</v>
      </c>
      <c r="Q914">
        <v>3</v>
      </c>
      <c r="R914" s="2">
        <v>44973</v>
      </c>
      <c r="S914">
        <v>3</v>
      </c>
      <c r="T914">
        <v>3</v>
      </c>
      <c r="U914">
        <v>1</v>
      </c>
      <c r="V914" s="1">
        <v>44888</v>
      </c>
      <c r="W914" t="s">
        <v>92</v>
      </c>
      <c r="X914" t="s">
        <v>51</v>
      </c>
      <c r="Y914" t="s">
        <v>63</v>
      </c>
      <c r="Z914">
        <v>3</v>
      </c>
      <c r="AA914">
        <v>249.66</v>
      </c>
      <c r="AB914">
        <v>40</v>
      </c>
    </row>
    <row r="915" spans="1:28" x14ac:dyDescent="0.2">
      <c r="A915">
        <v>1408</v>
      </c>
      <c r="B915" s="1">
        <v>44272</v>
      </c>
      <c r="C915" t="s">
        <v>28</v>
      </c>
      <c r="D915" t="s">
        <v>54</v>
      </c>
      <c r="E915" t="s">
        <v>30</v>
      </c>
      <c r="F915" t="s">
        <v>31</v>
      </c>
      <c r="G915" t="s">
        <v>56</v>
      </c>
      <c r="H915" t="s">
        <v>46</v>
      </c>
      <c r="I915" t="s">
        <v>34</v>
      </c>
      <c r="J915" t="s">
        <v>70</v>
      </c>
      <c r="K915" s="2">
        <v>29558</v>
      </c>
      <c r="L915" t="s">
        <v>36</v>
      </c>
      <c r="M915" t="s">
        <v>37</v>
      </c>
      <c r="N915" t="s">
        <v>60</v>
      </c>
      <c r="O915" t="s">
        <v>61</v>
      </c>
      <c r="P915" t="s">
        <v>78</v>
      </c>
      <c r="Q915">
        <v>3</v>
      </c>
      <c r="R915" s="2">
        <v>45084</v>
      </c>
      <c r="S915">
        <v>3</v>
      </c>
      <c r="T915">
        <v>3</v>
      </c>
      <c r="U915">
        <v>3</v>
      </c>
      <c r="V915" s="1">
        <v>44919</v>
      </c>
      <c r="W915" t="s">
        <v>92</v>
      </c>
      <c r="X915" t="s">
        <v>42</v>
      </c>
      <c r="Y915" t="s">
        <v>73</v>
      </c>
      <c r="Z915">
        <v>5</v>
      </c>
      <c r="AA915">
        <v>691.82</v>
      </c>
      <c r="AB915">
        <v>41</v>
      </c>
    </row>
    <row r="916" spans="1:28" x14ac:dyDescent="0.2">
      <c r="A916">
        <v>1409</v>
      </c>
      <c r="B916" s="1">
        <v>43535</v>
      </c>
      <c r="C916" t="s">
        <v>28</v>
      </c>
      <c r="D916" t="s">
        <v>87</v>
      </c>
      <c r="E916" t="s">
        <v>108</v>
      </c>
      <c r="F916" t="s">
        <v>55</v>
      </c>
      <c r="G916" t="s">
        <v>45</v>
      </c>
      <c r="H916" t="s">
        <v>46</v>
      </c>
      <c r="I916" t="s">
        <v>34</v>
      </c>
      <c r="J916" t="s">
        <v>65</v>
      </c>
      <c r="K916" s="2">
        <v>29678</v>
      </c>
      <c r="L916" t="s">
        <v>36</v>
      </c>
      <c r="M916" t="s">
        <v>37</v>
      </c>
      <c r="N916" t="s">
        <v>60</v>
      </c>
      <c r="O916" t="s">
        <v>39</v>
      </c>
      <c r="P916" t="s">
        <v>78</v>
      </c>
      <c r="Q916">
        <v>3</v>
      </c>
      <c r="R916" s="2">
        <v>45063</v>
      </c>
      <c r="S916">
        <v>2</v>
      </c>
      <c r="T916">
        <v>2</v>
      </c>
      <c r="U916">
        <v>1</v>
      </c>
      <c r="V916" s="1">
        <v>44796</v>
      </c>
      <c r="W916" t="s">
        <v>50</v>
      </c>
      <c r="X916" t="s">
        <v>42</v>
      </c>
      <c r="Y916" t="s">
        <v>73</v>
      </c>
      <c r="Z916">
        <v>4</v>
      </c>
      <c r="AA916">
        <v>938.59</v>
      </c>
      <c r="AB916">
        <v>38</v>
      </c>
    </row>
    <row r="917" spans="1:28" x14ac:dyDescent="0.2">
      <c r="A917">
        <v>1410</v>
      </c>
      <c r="B917" s="1">
        <v>44617</v>
      </c>
      <c r="C917" t="s">
        <v>28</v>
      </c>
      <c r="D917" t="s">
        <v>85</v>
      </c>
      <c r="E917" t="s">
        <v>30</v>
      </c>
      <c r="F917" t="s">
        <v>31</v>
      </c>
      <c r="G917" t="s">
        <v>32</v>
      </c>
      <c r="H917" t="s">
        <v>33</v>
      </c>
      <c r="I917" t="s">
        <v>34</v>
      </c>
      <c r="J917" t="s">
        <v>101</v>
      </c>
      <c r="K917" s="2">
        <v>16657</v>
      </c>
      <c r="L917" t="s">
        <v>36</v>
      </c>
      <c r="M917" t="s">
        <v>37</v>
      </c>
      <c r="N917" t="s">
        <v>38</v>
      </c>
      <c r="O917" t="s">
        <v>39</v>
      </c>
      <c r="P917" t="s">
        <v>78</v>
      </c>
      <c r="Q917">
        <v>3</v>
      </c>
      <c r="R917" s="2">
        <v>45018</v>
      </c>
      <c r="S917">
        <v>2</v>
      </c>
      <c r="T917">
        <v>2</v>
      </c>
      <c r="U917">
        <v>4</v>
      </c>
      <c r="V917" s="1">
        <v>44890</v>
      </c>
      <c r="W917" t="s">
        <v>62</v>
      </c>
      <c r="X917" t="s">
        <v>51</v>
      </c>
      <c r="Y917" t="s">
        <v>63</v>
      </c>
      <c r="Z917">
        <v>1</v>
      </c>
      <c r="AA917">
        <v>746.8</v>
      </c>
      <c r="AB917">
        <v>77</v>
      </c>
    </row>
    <row r="918" spans="1:28" x14ac:dyDescent="0.2">
      <c r="A918">
        <v>1411</v>
      </c>
      <c r="B918" s="1">
        <v>43648</v>
      </c>
      <c r="C918" t="s">
        <v>28</v>
      </c>
      <c r="D918" t="s">
        <v>44</v>
      </c>
      <c r="E918" t="s">
        <v>30</v>
      </c>
      <c r="F918" t="s">
        <v>46</v>
      </c>
      <c r="G918" t="s">
        <v>32</v>
      </c>
      <c r="H918" t="s">
        <v>46</v>
      </c>
      <c r="I918" t="s">
        <v>34</v>
      </c>
      <c r="J918" t="s">
        <v>47</v>
      </c>
      <c r="K918" s="2">
        <v>29367</v>
      </c>
      <c r="L918" t="s">
        <v>36</v>
      </c>
      <c r="M918" t="s">
        <v>37</v>
      </c>
      <c r="N918" t="s">
        <v>49</v>
      </c>
      <c r="O918" t="s">
        <v>67</v>
      </c>
      <c r="P918" t="s">
        <v>78</v>
      </c>
      <c r="Q918">
        <v>3</v>
      </c>
      <c r="R918" s="2">
        <v>45102</v>
      </c>
      <c r="S918">
        <v>5</v>
      </c>
      <c r="T918">
        <v>4</v>
      </c>
      <c r="U918">
        <v>5</v>
      </c>
      <c r="V918" s="1">
        <v>44909</v>
      </c>
      <c r="W918" t="s">
        <v>68</v>
      </c>
      <c r="X918" t="s">
        <v>51</v>
      </c>
      <c r="Y918" t="s">
        <v>52</v>
      </c>
      <c r="Z918">
        <v>1</v>
      </c>
      <c r="AA918">
        <v>690.75</v>
      </c>
      <c r="AB918">
        <v>39</v>
      </c>
    </row>
    <row r="919" spans="1:28" x14ac:dyDescent="0.2">
      <c r="A919">
        <v>1412</v>
      </c>
      <c r="B919" s="1">
        <v>43636</v>
      </c>
      <c r="C919" t="s">
        <v>28</v>
      </c>
      <c r="D919" t="s">
        <v>87</v>
      </c>
      <c r="E919" t="s">
        <v>30</v>
      </c>
      <c r="F919" t="s">
        <v>46</v>
      </c>
      <c r="G919" t="s">
        <v>56</v>
      </c>
      <c r="H919" t="s">
        <v>55</v>
      </c>
      <c r="I919" t="s">
        <v>34</v>
      </c>
      <c r="J919" t="s">
        <v>70</v>
      </c>
      <c r="K919" s="2">
        <v>30213</v>
      </c>
      <c r="L919" t="s">
        <v>36</v>
      </c>
      <c r="M919" t="s">
        <v>37</v>
      </c>
      <c r="N919" t="s">
        <v>38</v>
      </c>
      <c r="O919" t="s">
        <v>39</v>
      </c>
      <c r="P919" t="s">
        <v>78</v>
      </c>
      <c r="Q919">
        <v>3</v>
      </c>
      <c r="R919" s="2">
        <v>45093</v>
      </c>
      <c r="S919">
        <v>4</v>
      </c>
      <c r="T919">
        <v>3</v>
      </c>
      <c r="U919">
        <v>5</v>
      </c>
      <c r="V919" s="1">
        <v>44797</v>
      </c>
      <c r="W919" t="s">
        <v>62</v>
      </c>
      <c r="X919" t="s">
        <v>51</v>
      </c>
      <c r="Y919" t="s">
        <v>52</v>
      </c>
      <c r="Z919">
        <v>4</v>
      </c>
      <c r="AA919">
        <v>544.19000000000005</v>
      </c>
      <c r="AB919">
        <v>37</v>
      </c>
    </row>
    <row r="920" spans="1:28" x14ac:dyDescent="0.2">
      <c r="A920">
        <v>1413</v>
      </c>
      <c r="B920" s="1">
        <v>43735</v>
      </c>
      <c r="C920" t="s">
        <v>28</v>
      </c>
      <c r="D920" t="s">
        <v>64</v>
      </c>
      <c r="E920" t="s">
        <v>30</v>
      </c>
      <c r="F920" t="s">
        <v>46</v>
      </c>
      <c r="G920" t="s">
        <v>45</v>
      </c>
      <c r="H920" t="s">
        <v>55</v>
      </c>
      <c r="I920" t="s">
        <v>34</v>
      </c>
      <c r="J920" t="s">
        <v>35</v>
      </c>
      <c r="K920" s="2">
        <v>15777</v>
      </c>
      <c r="L920" t="s">
        <v>36</v>
      </c>
      <c r="M920" t="s">
        <v>48</v>
      </c>
      <c r="N920" t="s">
        <v>72</v>
      </c>
      <c r="O920" t="s">
        <v>39</v>
      </c>
      <c r="P920" t="s">
        <v>98</v>
      </c>
      <c r="Q920">
        <v>3</v>
      </c>
      <c r="R920" s="2">
        <v>44865</v>
      </c>
      <c r="S920">
        <v>4</v>
      </c>
      <c r="T920">
        <v>3</v>
      </c>
      <c r="U920">
        <v>2</v>
      </c>
      <c r="V920" s="1">
        <v>44974</v>
      </c>
      <c r="W920" t="s">
        <v>68</v>
      </c>
      <c r="X920" t="s">
        <v>42</v>
      </c>
      <c r="Y920" t="s">
        <v>63</v>
      </c>
      <c r="Z920">
        <v>5</v>
      </c>
      <c r="AA920">
        <v>918.34</v>
      </c>
      <c r="AB920">
        <v>76</v>
      </c>
    </row>
    <row r="921" spans="1:28" x14ac:dyDescent="0.2">
      <c r="A921">
        <v>1414</v>
      </c>
      <c r="B921" s="1">
        <v>44880</v>
      </c>
      <c r="C921" t="s">
        <v>28</v>
      </c>
      <c r="D921" t="s">
        <v>69</v>
      </c>
      <c r="E921" t="s">
        <v>30</v>
      </c>
      <c r="F921" t="s">
        <v>31</v>
      </c>
      <c r="G921" t="s">
        <v>32</v>
      </c>
      <c r="H921" t="s">
        <v>55</v>
      </c>
      <c r="I921" t="s">
        <v>34</v>
      </c>
      <c r="J921" t="s">
        <v>47</v>
      </c>
      <c r="K921" s="2">
        <v>24261</v>
      </c>
      <c r="L921" t="s">
        <v>36</v>
      </c>
      <c r="M921" t="s">
        <v>48</v>
      </c>
      <c r="N921" t="s">
        <v>84</v>
      </c>
      <c r="O921" t="s">
        <v>67</v>
      </c>
      <c r="P921" t="s">
        <v>78</v>
      </c>
      <c r="Q921">
        <v>3</v>
      </c>
      <c r="R921" s="2">
        <v>44786</v>
      </c>
      <c r="S921">
        <v>1</v>
      </c>
      <c r="T921">
        <v>4</v>
      </c>
      <c r="U921">
        <v>4</v>
      </c>
      <c r="V921" s="1">
        <v>44947</v>
      </c>
      <c r="W921" t="s">
        <v>50</v>
      </c>
      <c r="X921" t="s">
        <v>42</v>
      </c>
      <c r="Y921" t="s">
        <v>43</v>
      </c>
      <c r="Z921">
        <v>3</v>
      </c>
      <c r="AA921">
        <v>997.2</v>
      </c>
      <c r="AB921">
        <v>56</v>
      </c>
    </row>
    <row r="922" spans="1:28" x14ac:dyDescent="0.2">
      <c r="A922">
        <v>1415</v>
      </c>
      <c r="B922" s="1">
        <v>44065</v>
      </c>
      <c r="C922" t="s">
        <v>28</v>
      </c>
      <c r="D922" t="s">
        <v>29</v>
      </c>
      <c r="E922" t="s">
        <v>30</v>
      </c>
      <c r="F922" t="s">
        <v>46</v>
      </c>
      <c r="G922" t="s">
        <v>45</v>
      </c>
      <c r="H922" t="s">
        <v>46</v>
      </c>
      <c r="I922" t="s">
        <v>34</v>
      </c>
      <c r="J922" t="s">
        <v>70</v>
      </c>
      <c r="K922" s="2">
        <v>28351</v>
      </c>
      <c r="L922" t="s">
        <v>36</v>
      </c>
      <c r="M922" t="s">
        <v>48</v>
      </c>
      <c r="N922" t="s">
        <v>84</v>
      </c>
      <c r="O922" t="s">
        <v>77</v>
      </c>
      <c r="P922" t="s">
        <v>78</v>
      </c>
      <c r="Q922">
        <v>3</v>
      </c>
      <c r="R922" s="2">
        <v>44820</v>
      </c>
      <c r="S922">
        <v>2</v>
      </c>
      <c r="T922">
        <v>2</v>
      </c>
      <c r="U922">
        <v>1</v>
      </c>
      <c r="V922" s="1">
        <v>44923</v>
      </c>
      <c r="W922" t="s">
        <v>50</v>
      </c>
      <c r="X922" t="s">
        <v>42</v>
      </c>
      <c r="Y922" t="s">
        <v>52</v>
      </c>
      <c r="Z922">
        <v>3</v>
      </c>
      <c r="AA922">
        <v>633.96</v>
      </c>
      <c r="AB922">
        <v>43</v>
      </c>
    </row>
    <row r="923" spans="1:28" x14ac:dyDescent="0.2">
      <c r="A923">
        <v>1416</v>
      </c>
      <c r="B923" s="1">
        <v>43930</v>
      </c>
      <c r="C923" t="s">
        <v>28</v>
      </c>
      <c r="D923" t="s">
        <v>44</v>
      </c>
      <c r="E923" t="s">
        <v>30</v>
      </c>
      <c r="F923" t="s">
        <v>46</v>
      </c>
      <c r="G923" t="s">
        <v>56</v>
      </c>
      <c r="H923" t="s">
        <v>55</v>
      </c>
      <c r="I923" t="s">
        <v>34</v>
      </c>
      <c r="J923" t="s">
        <v>70</v>
      </c>
      <c r="K923" s="2">
        <v>19614</v>
      </c>
      <c r="L923" t="s">
        <v>36</v>
      </c>
      <c r="M923" t="s">
        <v>48</v>
      </c>
      <c r="N923" t="s">
        <v>84</v>
      </c>
      <c r="O923" t="s">
        <v>39</v>
      </c>
      <c r="P923" t="s">
        <v>78</v>
      </c>
      <c r="Q923">
        <v>3</v>
      </c>
      <c r="R923" s="2">
        <v>45057</v>
      </c>
      <c r="S923">
        <v>5</v>
      </c>
      <c r="T923">
        <v>4</v>
      </c>
      <c r="U923">
        <v>3</v>
      </c>
      <c r="V923" s="1">
        <v>44861</v>
      </c>
      <c r="W923" t="s">
        <v>50</v>
      </c>
      <c r="X923" t="s">
        <v>51</v>
      </c>
      <c r="Y923" t="s">
        <v>73</v>
      </c>
      <c r="Z923">
        <v>2</v>
      </c>
      <c r="AA923">
        <v>638.69000000000005</v>
      </c>
      <c r="AB923">
        <v>67</v>
      </c>
    </row>
    <row r="924" spans="1:28" x14ac:dyDescent="0.2">
      <c r="A924">
        <v>1417</v>
      </c>
      <c r="B924" s="1">
        <v>44285</v>
      </c>
      <c r="C924" t="s">
        <v>28</v>
      </c>
      <c r="D924" t="s">
        <v>87</v>
      </c>
      <c r="E924" t="s">
        <v>30</v>
      </c>
      <c r="F924" t="s">
        <v>55</v>
      </c>
      <c r="G924" t="s">
        <v>32</v>
      </c>
      <c r="H924" t="s">
        <v>46</v>
      </c>
      <c r="I924" t="s">
        <v>34</v>
      </c>
      <c r="J924" t="s">
        <v>47</v>
      </c>
      <c r="K924" s="2">
        <v>17931</v>
      </c>
      <c r="L924" t="s">
        <v>36</v>
      </c>
      <c r="M924" t="s">
        <v>37</v>
      </c>
      <c r="N924" t="s">
        <v>60</v>
      </c>
      <c r="O924" t="s">
        <v>61</v>
      </c>
      <c r="P924" t="s">
        <v>78</v>
      </c>
      <c r="Q924">
        <v>3</v>
      </c>
      <c r="R924" s="2">
        <v>44926</v>
      </c>
      <c r="S924">
        <v>3</v>
      </c>
      <c r="T924">
        <v>5</v>
      </c>
      <c r="U924">
        <v>2</v>
      </c>
      <c r="V924" s="1">
        <v>44931</v>
      </c>
      <c r="W924" t="s">
        <v>62</v>
      </c>
      <c r="X924" t="s">
        <v>42</v>
      </c>
      <c r="Y924" t="s">
        <v>73</v>
      </c>
      <c r="Z924">
        <v>1</v>
      </c>
      <c r="AA924">
        <v>643.82000000000005</v>
      </c>
      <c r="AB924">
        <v>72</v>
      </c>
    </row>
    <row r="925" spans="1:28" x14ac:dyDescent="0.2">
      <c r="A925">
        <v>1418</v>
      </c>
      <c r="B925" s="1">
        <v>43369</v>
      </c>
      <c r="C925" t="s">
        <v>28</v>
      </c>
      <c r="D925" t="s">
        <v>81</v>
      </c>
      <c r="E925" t="s">
        <v>30</v>
      </c>
      <c r="F925" t="s">
        <v>46</v>
      </c>
      <c r="G925" t="s">
        <v>32</v>
      </c>
      <c r="H925" t="s">
        <v>33</v>
      </c>
      <c r="I925" t="s">
        <v>34</v>
      </c>
      <c r="J925" t="s">
        <v>101</v>
      </c>
      <c r="K925" s="2">
        <v>36890</v>
      </c>
      <c r="L925" t="s">
        <v>36</v>
      </c>
      <c r="M925" t="s">
        <v>37</v>
      </c>
      <c r="N925" t="s">
        <v>60</v>
      </c>
      <c r="O925" t="s">
        <v>67</v>
      </c>
      <c r="P925" t="s">
        <v>98</v>
      </c>
      <c r="Q925">
        <v>3</v>
      </c>
      <c r="R925" s="2">
        <v>44890</v>
      </c>
      <c r="S925">
        <v>2</v>
      </c>
      <c r="T925">
        <v>1</v>
      </c>
      <c r="U925">
        <v>3</v>
      </c>
      <c r="V925" s="1">
        <v>45101</v>
      </c>
      <c r="W925" t="s">
        <v>62</v>
      </c>
      <c r="X925" t="s">
        <v>51</v>
      </c>
      <c r="Y925" t="s">
        <v>43</v>
      </c>
      <c r="Z925">
        <v>1</v>
      </c>
      <c r="AA925">
        <v>840.76</v>
      </c>
      <c r="AB925">
        <v>18</v>
      </c>
    </row>
    <row r="926" spans="1:28" x14ac:dyDescent="0.2">
      <c r="A926">
        <v>1419</v>
      </c>
      <c r="B926" s="1">
        <v>45068</v>
      </c>
      <c r="C926" t="s">
        <v>28</v>
      </c>
      <c r="D926" t="s">
        <v>54</v>
      </c>
      <c r="E926" t="s">
        <v>30</v>
      </c>
      <c r="F926" t="s">
        <v>31</v>
      </c>
      <c r="G926" t="s">
        <v>32</v>
      </c>
      <c r="H926" t="s">
        <v>55</v>
      </c>
      <c r="I926" t="s">
        <v>34</v>
      </c>
      <c r="J926" t="s">
        <v>70</v>
      </c>
      <c r="K926" s="2">
        <v>30692</v>
      </c>
      <c r="L926" t="s">
        <v>36</v>
      </c>
      <c r="M926" t="s">
        <v>37</v>
      </c>
      <c r="N926" t="s">
        <v>60</v>
      </c>
      <c r="O926" t="s">
        <v>77</v>
      </c>
      <c r="P926" t="s">
        <v>78</v>
      </c>
      <c r="Q926">
        <v>3</v>
      </c>
      <c r="R926" s="2">
        <v>44968</v>
      </c>
      <c r="S926">
        <v>4</v>
      </c>
      <c r="T926">
        <v>2</v>
      </c>
      <c r="U926">
        <v>1</v>
      </c>
      <c r="V926" s="1">
        <v>45029</v>
      </c>
      <c r="W926" t="s">
        <v>41</v>
      </c>
      <c r="X926" t="s">
        <v>42</v>
      </c>
      <c r="Y926" t="s">
        <v>73</v>
      </c>
      <c r="Z926">
        <v>1</v>
      </c>
      <c r="AA926">
        <v>108.04</v>
      </c>
      <c r="AB926">
        <v>39</v>
      </c>
    </row>
    <row r="927" spans="1:28" x14ac:dyDescent="0.2">
      <c r="A927">
        <v>1420</v>
      </c>
      <c r="B927" s="1">
        <v>44351</v>
      </c>
      <c r="C927" t="s">
        <v>28</v>
      </c>
      <c r="D927" t="s">
        <v>94</v>
      </c>
      <c r="E927" t="s">
        <v>30</v>
      </c>
      <c r="F927" t="s">
        <v>31</v>
      </c>
      <c r="G927" t="s">
        <v>56</v>
      </c>
      <c r="H927" t="s">
        <v>33</v>
      </c>
      <c r="I927" t="s">
        <v>34</v>
      </c>
      <c r="J927" t="s">
        <v>96</v>
      </c>
      <c r="K927" s="2">
        <v>18626</v>
      </c>
      <c r="L927" t="s">
        <v>36</v>
      </c>
      <c r="M927" t="s">
        <v>37</v>
      </c>
      <c r="N927" t="s">
        <v>38</v>
      </c>
      <c r="O927" t="s">
        <v>77</v>
      </c>
      <c r="P927" t="s">
        <v>78</v>
      </c>
      <c r="Q927">
        <v>3</v>
      </c>
      <c r="R927" s="2">
        <v>45089</v>
      </c>
      <c r="S927">
        <v>1</v>
      </c>
      <c r="T927">
        <v>2</v>
      </c>
      <c r="U927">
        <v>4</v>
      </c>
      <c r="V927" s="1">
        <v>44973</v>
      </c>
      <c r="W927" t="s">
        <v>92</v>
      </c>
      <c r="X927" t="s">
        <v>42</v>
      </c>
      <c r="Y927" t="s">
        <v>63</v>
      </c>
      <c r="Z927">
        <v>5</v>
      </c>
      <c r="AA927">
        <v>889.57</v>
      </c>
      <c r="AB927">
        <v>71</v>
      </c>
    </row>
    <row r="928" spans="1:28" x14ac:dyDescent="0.2">
      <c r="A928">
        <v>1421</v>
      </c>
      <c r="B928" s="1">
        <v>43760</v>
      </c>
      <c r="C928" t="s">
        <v>28</v>
      </c>
      <c r="D928" t="s">
        <v>85</v>
      </c>
      <c r="E928" t="s">
        <v>30</v>
      </c>
      <c r="F928" t="s">
        <v>31</v>
      </c>
      <c r="G928" t="s">
        <v>32</v>
      </c>
      <c r="H928" t="s">
        <v>55</v>
      </c>
      <c r="I928" t="s">
        <v>34</v>
      </c>
      <c r="J928" t="s">
        <v>65</v>
      </c>
      <c r="K928" s="2">
        <v>17867</v>
      </c>
      <c r="L928" t="s">
        <v>36</v>
      </c>
      <c r="M928" t="s">
        <v>37</v>
      </c>
      <c r="N928" t="s">
        <v>60</v>
      </c>
      <c r="O928" t="s">
        <v>67</v>
      </c>
      <c r="P928" t="s">
        <v>78</v>
      </c>
      <c r="Q928">
        <v>3</v>
      </c>
      <c r="R928" s="2">
        <v>44807</v>
      </c>
      <c r="S928">
        <v>3</v>
      </c>
      <c r="T928">
        <v>5</v>
      </c>
      <c r="U928">
        <v>5</v>
      </c>
      <c r="V928" s="1">
        <v>44903</v>
      </c>
      <c r="W928" t="s">
        <v>50</v>
      </c>
      <c r="X928" t="s">
        <v>42</v>
      </c>
      <c r="Y928" t="s">
        <v>63</v>
      </c>
      <c r="Z928">
        <v>5</v>
      </c>
      <c r="AA928">
        <v>835.97</v>
      </c>
      <c r="AB928">
        <v>71</v>
      </c>
    </row>
    <row r="929" spans="1:28" x14ac:dyDescent="0.2">
      <c r="A929">
        <v>1423</v>
      </c>
      <c r="B929" s="1">
        <v>44737</v>
      </c>
      <c r="C929" t="s">
        <v>28</v>
      </c>
      <c r="D929" t="s">
        <v>74</v>
      </c>
      <c r="E929" t="s">
        <v>30</v>
      </c>
      <c r="F929" t="s">
        <v>55</v>
      </c>
      <c r="G929" t="s">
        <v>45</v>
      </c>
      <c r="H929" t="s">
        <v>55</v>
      </c>
      <c r="I929" t="s">
        <v>34</v>
      </c>
      <c r="J929" t="s">
        <v>47</v>
      </c>
      <c r="K929" s="2">
        <v>33675</v>
      </c>
      <c r="L929" t="s">
        <v>36</v>
      </c>
      <c r="M929" t="s">
        <v>37</v>
      </c>
      <c r="N929" t="s">
        <v>38</v>
      </c>
      <c r="O929" t="s">
        <v>61</v>
      </c>
      <c r="P929" t="s">
        <v>98</v>
      </c>
      <c r="Q929">
        <v>3</v>
      </c>
      <c r="R929" s="2">
        <v>45008</v>
      </c>
      <c r="S929">
        <v>2</v>
      </c>
      <c r="T929">
        <v>5</v>
      </c>
      <c r="U929">
        <v>5</v>
      </c>
      <c r="V929" s="1">
        <v>45000</v>
      </c>
      <c r="W929" t="s">
        <v>92</v>
      </c>
      <c r="X929" t="s">
        <v>42</v>
      </c>
      <c r="Y929" t="s">
        <v>73</v>
      </c>
      <c r="Z929">
        <v>3</v>
      </c>
      <c r="AA929">
        <v>255.55</v>
      </c>
      <c r="AB929">
        <v>30</v>
      </c>
    </row>
    <row r="930" spans="1:28" x14ac:dyDescent="0.2">
      <c r="A930">
        <v>1425</v>
      </c>
      <c r="B930" s="1">
        <v>43681</v>
      </c>
      <c r="C930" t="s">
        <v>28</v>
      </c>
      <c r="D930" t="s">
        <v>29</v>
      </c>
      <c r="E930" t="s">
        <v>30</v>
      </c>
      <c r="F930" t="s">
        <v>46</v>
      </c>
      <c r="G930" t="s">
        <v>56</v>
      </c>
      <c r="H930" t="s">
        <v>55</v>
      </c>
      <c r="I930" t="s">
        <v>34</v>
      </c>
      <c r="J930" t="s">
        <v>70</v>
      </c>
      <c r="K930" s="2">
        <v>15513</v>
      </c>
      <c r="L930" t="s">
        <v>36</v>
      </c>
      <c r="M930" t="s">
        <v>37</v>
      </c>
      <c r="N930" t="s">
        <v>72</v>
      </c>
      <c r="O930" t="s">
        <v>61</v>
      </c>
      <c r="P930" t="s">
        <v>98</v>
      </c>
      <c r="Q930">
        <v>3</v>
      </c>
      <c r="R930" s="2">
        <v>44810</v>
      </c>
      <c r="S930">
        <v>2</v>
      </c>
      <c r="T930">
        <v>3</v>
      </c>
      <c r="U930">
        <v>1</v>
      </c>
      <c r="V930" s="1">
        <v>44998</v>
      </c>
      <c r="W930" t="s">
        <v>68</v>
      </c>
      <c r="X930" t="s">
        <v>42</v>
      </c>
      <c r="Y930" t="s">
        <v>43</v>
      </c>
      <c r="Z930">
        <v>1</v>
      </c>
      <c r="AA930">
        <v>850.15</v>
      </c>
      <c r="AB930">
        <v>77</v>
      </c>
    </row>
    <row r="931" spans="1:28" x14ac:dyDescent="0.2">
      <c r="A931">
        <v>1426</v>
      </c>
      <c r="B931" s="1">
        <v>44628</v>
      </c>
      <c r="C931" t="s">
        <v>28</v>
      </c>
      <c r="D931" t="s">
        <v>44</v>
      </c>
      <c r="E931" t="s">
        <v>108</v>
      </c>
      <c r="F931" t="s">
        <v>55</v>
      </c>
      <c r="G931" t="s">
        <v>45</v>
      </c>
      <c r="H931" t="s">
        <v>55</v>
      </c>
      <c r="I931" t="s">
        <v>34</v>
      </c>
      <c r="J931" t="s">
        <v>65</v>
      </c>
      <c r="K931" s="2">
        <v>36726</v>
      </c>
      <c r="L931" t="s">
        <v>36</v>
      </c>
      <c r="M931" t="s">
        <v>37</v>
      </c>
      <c r="N931" t="s">
        <v>49</v>
      </c>
      <c r="O931" t="s">
        <v>39</v>
      </c>
      <c r="P931" t="s">
        <v>78</v>
      </c>
      <c r="Q931">
        <v>3</v>
      </c>
      <c r="R931" s="2">
        <v>45118</v>
      </c>
      <c r="S931">
        <v>4</v>
      </c>
      <c r="T931">
        <v>5</v>
      </c>
      <c r="U931">
        <v>5</v>
      </c>
      <c r="V931" s="1">
        <v>44897</v>
      </c>
      <c r="W931" t="s">
        <v>62</v>
      </c>
      <c r="X931" t="s">
        <v>51</v>
      </c>
      <c r="Y931" t="s">
        <v>63</v>
      </c>
      <c r="Z931">
        <v>3</v>
      </c>
      <c r="AA931">
        <v>938.04</v>
      </c>
      <c r="AB931">
        <v>22</v>
      </c>
    </row>
    <row r="932" spans="1:28" x14ac:dyDescent="0.2">
      <c r="A932">
        <v>1427</v>
      </c>
      <c r="B932" s="1">
        <v>43518</v>
      </c>
      <c r="C932" t="s">
        <v>106</v>
      </c>
      <c r="D932" t="s">
        <v>29</v>
      </c>
      <c r="E932" t="s">
        <v>30</v>
      </c>
      <c r="F932" t="s">
        <v>55</v>
      </c>
      <c r="G932" t="s">
        <v>45</v>
      </c>
      <c r="H932" t="s">
        <v>46</v>
      </c>
      <c r="I932" t="s">
        <v>34</v>
      </c>
      <c r="J932" t="s">
        <v>79</v>
      </c>
      <c r="K932" s="2">
        <v>19488</v>
      </c>
      <c r="L932" t="s">
        <v>36</v>
      </c>
      <c r="M932" t="s">
        <v>48</v>
      </c>
      <c r="N932" t="s">
        <v>84</v>
      </c>
      <c r="O932" t="s">
        <v>77</v>
      </c>
      <c r="P932" t="s">
        <v>98</v>
      </c>
      <c r="Q932">
        <v>3</v>
      </c>
      <c r="R932" s="2">
        <v>44966</v>
      </c>
      <c r="S932">
        <v>1</v>
      </c>
      <c r="T932">
        <v>2</v>
      </c>
      <c r="U932">
        <v>3</v>
      </c>
      <c r="V932" s="1">
        <v>45041</v>
      </c>
      <c r="W932" t="s">
        <v>62</v>
      </c>
      <c r="X932" t="s">
        <v>51</v>
      </c>
      <c r="Y932" t="s">
        <v>73</v>
      </c>
      <c r="Z932">
        <v>1</v>
      </c>
      <c r="AA932">
        <v>684.24</v>
      </c>
      <c r="AB932">
        <v>66</v>
      </c>
    </row>
    <row r="933" spans="1:28" x14ac:dyDescent="0.2">
      <c r="A933">
        <v>1428</v>
      </c>
      <c r="B933" s="1">
        <v>44903</v>
      </c>
      <c r="C933" t="s">
        <v>106</v>
      </c>
      <c r="D933" t="s">
        <v>85</v>
      </c>
      <c r="E933" t="s">
        <v>30</v>
      </c>
      <c r="F933" t="s">
        <v>55</v>
      </c>
      <c r="G933" t="s">
        <v>32</v>
      </c>
      <c r="H933" t="s">
        <v>46</v>
      </c>
      <c r="I933" t="s">
        <v>34</v>
      </c>
      <c r="J933" t="s">
        <v>82</v>
      </c>
      <c r="K933" s="2">
        <v>25625</v>
      </c>
      <c r="L933" t="s">
        <v>36</v>
      </c>
      <c r="M933" t="s">
        <v>48</v>
      </c>
      <c r="N933" t="s">
        <v>38</v>
      </c>
      <c r="O933" t="s">
        <v>77</v>
      </c>
      <c r="P933" t="s">
        <v>78</v>
      </c>
      <c r="Q933">
        <v>3</v>
      </c>
      <c r="R933" s="2">
        <v>45081</v>
      </c>
      <c r="S933">
        <v>3</v>
      </c>
      <c r="T933">
        <v>5</v>
      </c>
      <c r="U933">
        <v>2</v>
      </c>
      <c r="V933" s="1">
        <v>44803</v>
      </c>
      <c r="W933" t="s">
        <v>68</v>
      </c>
      <c r="X933" t="s">
        <v>42</v>
      </c>
      <c r="Y933" t="s">
        <v>43</v>
      </c>
      <c r="Z933">
        <v>5</v>
      </c>
      <c r="AA933">
        <v>956.11</v>
      </c>
      <c r="AB933">
        <v>52</v>
      </c>
    </row>
    <row r="934" spans="1:28" x14ac:dyDescent="0.2">
      <c r="A934">
        <v>1429</v>
      </c>
      <c r="B934" s="1">
        <v>43791</v>
      </c>
      <c r="C934" t="s">
        <v>106</v>
      </c>
      <c r="D934" t="s">
        <v>44</v>
      </c>
      <c r="E934" t="s">
        <v>108</v>
      </c>
      <c r="F934" t="s">
        <v>31</v>
      </c>
      <c r="G934" t="s">
        <v>56</v>
      </c>
      <c r="H934" t="s">
        <v>33</v>
      </c>
      <c r="I934" t="s">
        <v>34</v>
      </c>
      <c r="J934" t="s">
        <v>70</v>
      </c>
      <c r="K934" s="2">
        <v>16317</v>
      </c>
      <c r="L934" t="s">
        <v>36</v>
      </c>
      <c r="M934" t="s">
        <v>37</v>
      </c>
      <c r="N934" t="s">
        <v>49</v>
      </c>
      <c r="O934" t="s">
        <v>77</v>
      </c>
      <c r="P934" t="s">
        <v>78</v>
      </c>
      <c r="Q934">
        <v>3</v>
      </c>
      <c r="R934" s="2">
        <v>45008</v>
      </c>
      <c r="S934">
        <v>1</v>
      </c>
      <c r="T934">
        <v>4</v>
      </c>
      <c r="U934">
        <v>3</v>
      </c>
      <c r="V934" s="1">
        <v>44891</v>
      </c>
      <c r="W934" t="s">
        <v>92</v>
      </c>
      <c r="X934" t="s">
        <v>51</v>
      </c>
      <c r="Y934" t="s">
        <v>43</v>
      </c>
      <c r="Z934">
        <v>4</v>
      </c>
      <c r="AA934">
        <v>441.43</v>
      </c>
      <c r="AB934">
        <v>75</v>
      </c>
    </row>
    <row r="935" spans="1:28" x14ac:dyDescent="0.2">
      <c r="A935">
        <v>1430</v>
      </c>
      <c r="B935" s="1">
        <v>44970</v>
      </c>
      <c r="C935" t="s">
        <v>106</v>
      </c>
      <c r="D935" t="s">
        <v>87</v>
      </c>
      <c r="E935" t="s">
        <v>108</v>
      </c>
      <c r="F935" t="s">
        <v>46</v>
      </c>
      <c r="G935" t="s">
        <v>45</v>
      </c>
      <c r="H935" t="s">
        <v>33</v>
      </c>
      <c r="I935" t="s">
        <v>34</v>
      </c>
      <c r="J935" t="s">
        <v>105</v>
      </c>
      <c r="K935" s="2">
        <v>21569</v>
      </c>
      <c r="L935" t="s">
        <v>36</v>
      </c>
      <c r="M935" t="s">
        <v>37</v>
      </c>
      <c r="N935" t="s">
        <v>84</v>
      </c>
      <c r="O935" t="s">
        <v>61</v>
      </c>
      <c r="P935" t="s">
        <v>98</v>
      </c>
      <c r="Q935">
        <v>3</v>
      </c>
      <c r="R935" s="2">
        <v>44819</v>
      </c>
      <c r="S935">
        <v>2</v>
      </c>
      <c r="T935">
        <v>2</v>
      </c>
      <c r="U935">
        <v>2</v>
      </c>
      <c r="V935" s="1">
        <v>44799</v>
      </c>
      <c r="W935" t="s">
        <v>41</v>
      </c>
      <c r="X935" t="s">
        <v>51</v>
      </c>
      <c r="Y935" t="s">
        <v>73</v>
      </c>
      <c r="Z935">
        <v>4</v>
      </c>
      <c r="AA935">
        <v>193.99</v>
      </c>
      <c r="AB935">
        <v>64</v>
      </c>
    </row>
    <row r="936" spans="1:28" x14ac:dyDescent="0.2">
      <c r="A936">
        <v>1431</v>
      </c>
      <c r="B936" s="1">
        <v>43539</v>
      </c>
      <c r="C936" t="s">
        <v>106</v>
      </c>
      <c r="D936" t="s">
        <v>64</v>
      </c>
      <c r="E936" t="s">
        <v>30</v>
      </c>
      <c r="F936" t="s">
        <v>55</v>
      </c>
      <c r="G936" t="s">
        <v>56</v>
      </c>
      <c r="H936" t="s">
        <v>55</v>
      </c>
      <c r="I936" t="s">
        <v>34</v>
      </c>
      <c r="J936" t="s">
        <v>70</v>
      </c>
      <c r="K936" s="2">
        <v>18932</v>
      </c>
      <c r="L936" t="s">
        <v>36</v>
      </c>
      <c r="M936" t="s">
        <v>37</v>
      </c>
      <c r="N936" t="s">
        <v>72</v>
      </c>
      <c r="O936" t="s">
        <v>39</v>
      </c>
      <c r="P936" t="s">
        <v>78</v>
      </c>
      <c r="Q936">
        <v>3</v>
      </c>
      <c r="R936" s="2">
        <v>44862</v>
      </c>
      <c r="S936">
        <v>2</v>
      </c>
      <c r="T936">
        <v>1</v>
      </c>
      <c r="U936">
        <v>1</v>
      </c>
      <c r="V936" s="1">
        <v>44849</v>
      </c>
      <c r="W936" t="s">
        <v>68</v>
      </c>
      <c r="X936" t="s">
        <v>51</v>
      </c>
      <c r="Y936" t="s">
        <v>43</v>
      </c>
      <c r="Z936">
        <v>3</v>
      </c>
      <c r="AA936">
        <v>790.72</v>
      </c>
      <c r="AB936">
        <v>68</v>
      </c>
    </row>
    <row r="937" spans="1:28" x14ac:dyDescent="0.2">
      <c r="A937">
        <v>1432</v>
      </c>
      <c r="B937" s="1">
        <v>43664</v>
      </c>
      <c r="C937" t="s">
        <v>106</v>
      </c>
      <c r="D937" t="s">
        <v>94</v>
      </c>
      <c r="E937" t="s">
        <v>30</v>
      </c>
      <c r="F937" t="s">
        <v>31</v>
      </c>
      <c r="G937" t="s">
        <v>45</v>
      </c>
      <c r="H937" t="s">
        <v>46</v>
      </c>
      <c r="I937" t="s">
        <v>34</v>
      </c>
      <c r="J937" t="s">
        <v>96</v>
      </c>
      <c r="K937" s="2">
        <v>33448</v>
      </c>
      <c r="L937" t="s">
        <v>36</v>
      </c>
      <c r="M937" t="s">
        <v>48</v>
      </c>
      <c r="N937" t="s">
        <v>38</v>
      </c>
      <c r="O937" t="s">
        <v>67</v>
      </c>
      <c r="P937" t="s">
        <v>78</v>
      </c>
      <c r="Q937">
        <v>3</v>
      </c>
      <c r="R937" s="2">
        <v>44847</v>
      </c>
      <c r="S937">
        <v>4</v>
      </c>
      <c r="T937">
        <v>3</v>
      </c>
      <c r="U937">
        <v>4</v>
      </c>
      <c r="V937" s="1">
        <v>44779</v>
      </c>
      <c r="W937" t="s">
        <v>92</v>
      </c>
      <c r="X937" t="s">
        <v>42</v>
      </c>
      <c r="Y937" t="s">
        <v>63</v>
      </c>
      <c r="Z937">
        <v>4</v>
      </c>
      <c r="AA937">
        <v>894.75</v>
      </c>
      <c r="AB937">
        <v>28</v>
      </c>
    </row>
    <row r="938" spans="1:28" x14ac:dyDescent="0.2">
      <c r="A938">
        <v>1433</v>
      </c>
      <c r="B938" s="1">
        <v>44295</v>
      </c>
      <c r="C938" t="s">
        <v>28</v>
      </c>
      <c r="D938" t="s">
        <v>85</v>
      </c>
      <c r="E938" t="s">
        <v>30</v>
      </c>
      <c r="F938" t="s">
        <v>46</v>
      </c>
      <c r="G938" t="s">
        <v>32</v>
      </c>
      <c r="H938" t="s">
        <v>46</v>
      </c>
      <c r="I938" t="s">
        <v>34</v>
      </c>
      <c r="J938" t="s">
        <v>65</v>
      </c>
      <c r="K938" s="2">
        <v>34936</v>
      </c>
      <c r="L938" t="s">
        <v>36</v>
      </c>
      <c r="M938" t="s">
        <v>37</v>
      </c>
      <c r="N938" t="s">
        <v>38</v>
      </c>
      <c r="O938" t="s">
        <v>39</v>
      </c>
      <c r="P938" t="s">
        <v>98</v>
      </c>
      <c r="Q938">
        <v>3</v>
      </c>
      <c r="R938" s="2">
        <v>44779</v>
      </c>
      <c r="S938">
        <v>5</v>
      </c>
      <c r="T938">
        <v>1</v>
      </c>
      <c r="U938">
        <v>3</v>
      </c>
      <c r="V938" s="1">
        <v>44822</v>
      </c>
      <c r="W938" t="s">
        <v>50</v>
      </c>
      <c r="X938" t="s">
        <v>42</v>
      </c>
      <c r="Y938" t="s">
        <v>73</v>
      </c>
      <c r="Z938">
        <v>4</v>
      </c>
      <c r="AA938">
        <v>863.73</v>
      </c>
      <c r="AB938">
        <v>26</v>
      </c>
    </row>
    <row r="939" spans="1:28" x14ac:dyDescent="0.2">
      <c r="A939">
        <v>1434</v>
      </c>
      <c r="B939" s="1">
        <v>43464</v>
      </c>
      <c r="C939" t="s">
        <v>28</v>
      </c>
      <c r="D939" t="s">
        <v>44</v>
      </c>
      <c r="E939" t="s">
        <v>30</v>
      </c>
      <c r="F939" t="s">
        <v>46</v>
      </c>
      <c r="G939" t="s">
        <v>32</v>
      </c>
      <c r="H939" t="s">
        <v>46</v>
      </c>
      <c r="I939" t="s">
        <v>34</v>
      </c>
      <c r="J939" t="s">
        <v>89</v>
      </c>
      <c r="K939" s="2">
        <v>31774</v>
      </c>
      <c r="L939" t="s">
        <v>36</v>
      </c>
      <c r="M939" t="s">
        <v>37</v>
      </c>
      <c r="N939" t="s">
        <v>38</v>
      </c>
      <c r="O939" t="s">
        <v>77</v>
      </c>
      <c r="P939" t="s">
        <v>78</v>
      </c>
      <c r="Q939">
        <v>3</v>
      </c>
      <c r="R939" s="2">
        <v>44855</v>
      </c>
      <c r="S939">
        <v>1</v>
      </c>
      <c r="T939">
        <v>2</v>
      </c>
      <c r="U939">
        <v>3</v>
      </c>
      <c r="V939" s="1">
        <v>45043</v>
      </c>
      <c r="W939" t="s">
        <v>62</v>
      </c>
      <c r="X939" t="s">
        <v>51</v>
      </c>
      <c r="Y939" t="s">
        <v>52</v>
      </c>
      <c r="Z939">
        <v>2</v>
      </c>
      <c r="AA939">
        <v>746.99</v>
      </c>
      <c r="AB939">
        <v>32</v>
      </c>
    </row>
    <row r="940" spans="1:28" x14ac:dyDescent="0.2">
      <c r="A940">
        <v>1435</v>
      </c>
      <c r="B940" s="1">
        <v>44407</v>
      </c>
      <c r="C940" t="s">
        <v>28</v>
      </c>
      <c r="D940" t="s">
        <v>87</v>
      </c>
      <c r="E940" t="s">
        <v>30</v>
      </c>
      <c r="F940" t="s">
        <v>31</v>
      </c>
      <c r="G940" t="s">
        <v>32</v>
      </c>
      <c r="H940" t="s">
        <v>33</v>
      </c>
      <c r="I940" t="s">
        <v>34</v>
      </c>
      <c r="J940" t="s">
        <v>70</v>
      </c>
      <c r="K940" s="2">
        <v>36128</v>
      </c>
      <c r="L940" t="s">
        <v>36</v>
      </c>
      <c r="M940" t="s">
        <v>37</v>
      </c>
      <c r="N940" t="s">
        <v>49</v>
      </c>
      <c r="O940" t="s">
        <v>61</v>
      </c>
      <c r="P940" t="s">
        <v>78</v>
      </c>
      <c r="Q940">
        <v>3</v>
      </c>
      <c r="R940" s="2">
        <v>45008</v>
      </c>
      <c r="S940">
        <v>4</v>
      </c>
      <c r="T940">
        <v>2</v>
      </c>
      <c r="U940">
        <v>3</v>
      </c>
      <c r="V940" s="1">
        <v>44825</v>
      </c>
      <c r="W940" t="s">
        <v>41</v>
      </c>
      <c r="X940" t="s">
        <v>42</v>
      </c>
      <c r="Y940" t="s">
        <v>73</v>
      </c>
      <c r="Z940">
        <v>4</v>
      </c>
      <c r="AA940">
        <v>360.38</v>
      </c>
      <c r="AB940">
        <v>23</v>
      </c>
    </row>
    <row r="941" spans="1:28" x14ac:dyDescent="0.2">
      <c r="A941">
        <v>1436</v>
      </c>
      <c r="B941" s="1">
        <v>44862</v>
      </c>
      <c r="C941" t="s">
        <v>28</v>
      </c>
      <c r="D941" t="s">
        <v>64</v>
      </c>
      <c r="E941" t="s">
        <v>30</v>
      </c>
      <c r="F941" t="s">
        <v>55</v>
      </c>
      <c r="G941" t="s">
        <v>32</v>
      </c>
      <c r="H941" t="s">
        <v>33</v>
      </c>
      <c r="I941" t="s">
        <v>34</v>
      </c>
      <c r="J941" t="s">
        <v>70</v>
      </c>
      <c r="K941" s="2">
        <v>32655</v>
      </c>
      <c r="L941" t="s">
        <v>36</v>
      </c>
      <c r="M941" t="s">
        <v>48</v>
      </c>
      <c r="N941" t="s">
        <v>49</v>
      </c>
      <c r="O941" t="s">
        <v>67</v>
      </c>
      <c r="P941" t="s">
        <v>98</v>
      </c>
      <c r="Q941">
        <v>3</v>
      </c>
      <c r="R941" s="2">
        <v>45116</v>
      </c>
      <c r="S941">
        <v>1</v>
      </c>
      <c r="T941">
        <v>2</v>
      </c>
      <c r="U941">
        <v>2</v>
      </c>
      <c r="V941" s="1">
        <v>44799</v>
      </c>
      <c r="W941" t="s">
        <v>68</v>
      </c>
      <c r="X941" t="s">
        <v>42</v>
      </c>
      <c r="Y941" t="s">
        <v>52</v>
      </c>
      <c r="Z941">
        <v>1</v>
      </c>
      <c r="AA941">
        <v>298.3</v>
      </c>
      <c r="AB941">
        <v>33</v>
      </c>
    </row>
    <row r="942" spans="1:28" x14ac:dyDescent="0.2">
      <c r="A942">
        <v>1437</v>
      </c>
      <c r="B942" s="1">
        <v>44133</v>
      </c>
      <c r="C942" t="s">
        <v>28</v>
      </c>
      <c r="D942" t="s">
        <v>94</v>
      </c>
      <c r="E942" t="s">
        <v>30</v>
      </c>
      <c r="F942" t="s">
        <v>31</v>
      </c>
      <c r="G942" t="s">
        <v>32</v>
      </c>
      <c r="H942" t="s">
        <v>33</v>
      </c>
      <c r="I942" t="s">
        <v>34</v>
      </c>
      <c r="J942" t="s">
        <v>96</v>
      </c>
      <c r="K942" s="2">
        <v>35241</v>
      </c>
      <c r="L942" t="s">
        <v>36</v>
      </c>
      <c r="M942" t="s">
        <v>48</v>
      </c>
      <c r="N942" t="s">
        <v>84</v>
      </c>
      <c r="O942" t="s">
        <v>61</v>
      </c>
      <c r="P942" t="s">
        <v>78</v>
      </c>
      <c r="Q942">
        <v>3</v>
      </c>
      <c r="R942" s="2">
        <v>44932</v>
      </c>
      <c r="S942">
        <v>4</v>
      </c>
      <c r="T942">
        <v>5</v>
      </c>
      <c r="U942">
        <v>5</v>
      </c>
      <c r="V942" s="1">
        <v>44923</v>
      </c>
      <c r="W942" t="s">
        <v>41</v>
      </c>
      <c r="X942" t="s">
        <v>51</v>
      </c>
      <c r="Y942" t="s">
        <v>73</v>
      </c>
      <c r="Z942">
        <v>3</v>
      </c>
      <c r="AA942">
        <v>537.12</v>
      </c>
      <c r="AB942">
        <v>24</v>
      </c>
    </row>
    <row r="943" spans="1:28" x14ac:dyDescent="0.2">
      <c r="A943">
        <v>1438</v>
      </c>
      <c r="B943" s="1">
        <v>45002</v>
      </c>
      <c r="C943" t="s">
        <v>28</v>
      </c>
      <c r="D943" t="s">
        <v>74</v>
      </c>
      <c r="E943" t="s">
        <v>30</v>
      </c>
      <c r="F943" t="s">
        <v>31</v>
      </c>
      <c r="G943" t="s">
        <v>56</v>
      </c>
      <c r="H943" t="s">
        <v>46</v>
      </c>
      <c r="I943" t="s">
        <v>34</v>
      </c>
      <c r="J943" t="s">
        <v>70</v>
      </c>
      <c r="K943" s="2">
        <v>28475</v>
      </c>
      <c r="L943" t="s">
        <v>36</v>
      </c>
      <c r="M943" t="s">
        <v>48</v>
      </c>
      <c r="N943" t="s">
        <v>84</v>
      </c>
      <c r="O943" t="s">
        <v>67</v>
      </c>
      <c r="P943" t="s">
        <v>78</v>
      </c>
      <c r="Q943">
        <v>3</v>
      </c>
      <c r="R943" s="2">
        <v>44947</v>
      </c>
      <c r="S943">
        <v>1</v>
      </c>
      <c r="T943">
        <v>4</v>
      </c>
      <c r="U943">
        <v>1</v>
      </c>
      <c r="V943" s="1">
        <v>45058</v>
      </c>
      <c r="W943" t="s">
        <v>50</v>
      </c>
      <c r="X943" t="s">
        <v>51</v>
      </c>
      <c r="Y943" t="s">
        <v>73</v>
      </c>
      <c r="Z943">
        <v>2</v>
      </c>
      <c r="AA943">
        <v>996.18</v>
      </c>
      <c r="AB943">
        <v>46</v>
      </c>
    </row>
    <row r="944" spans="1:28" x14ac:dyDescent="0.2">
      <c r="A944">
        <v>1439</v>
      </c>
      <c r="B944" s="1">
        <v>44762</v>
      </c>
      <c r="C944" t="s">
        <v>28</v>
      </c>
      <c r="D944" t="s">
        <v>81</v>
      </c>
      <c r="E944" t="s">
        <v>30</v>
      </c>
      <c r="F944" t="s">
        <v>55</v>
      </c>
      <c r="G944" t="s">
        <v>45</v>
      </c>
      <c r="H944" t="s">
        <v>33</v>
      </c>
      <c r="I944" t="s">
        <v>34</v>
      </c>
      <c r="J944" t="s">
        <v>65</v>
      </c>
      <c r="K944" s="2">
        <v>32166</v>
      </c>
      <c r="L944" t="s">
        <v>36</v>
      </c>
      <c r="M944" t="s">
        <v>37</v>
      </c>
      <c r="N944" t="s">
        <v>84</v>
      </c>
      <c r="O944" t="s">
        <v>39</v>
      </c>
      <c r="P944" t="s">
        <v>98</v>
      </c>
      <c r="Q944">
        <v>3</v>
      </c>
      <c r="R944" s="2">
        <v>44894</v>
      </c>
      <c r="S944">
        <v>3</v>
      </c>
      <c r="T944">
        <v>1</v>
      </c>
      <c r="U944">
        <v>3</v>
      </c>
      <c r="V944" s="1">
        <v>45097</v>
      </c>
      <c r="W944" t="s">
        <v>92</v>
      </c>
      <c r="X944" t="s">
        <v>42</v>
      </c>
      <c r="Y944" t="s">
        <v>63</v>
      </c>
      <c r="Z944">
        <v>4</v>
      </c>
      <c r="AA944">
        <v>764.43</v>
      </c>
      <c r="AB944">
        <v>34</v>
      </c>
    </row>
    <row r="945" spans="1:28" x14ac:dyDescent="0.2">
      <c r="A945">
        <v>1440</v>
      </c>
      <c r="B945" s="1">
        <v>45142</v>
      </c>
      <c r="C945" t="s">
        <v>28</v>
      </c>
      <c r="D945" t="s">
        <v>54</v>
      </c>
      <c r="E945" t="s">
        <v>30</v>
      </c>
      <c r="F945" t="s">
        <v>46</v>
      </c>
      <c r="G945" t="s">
        <v>45</v>
      </c>
      <c r="H945" t="s">
        <v>33</v>
      </c>
      <c r="I945" t="s">
        <v>34</v>
      </c>
      <c r="J945" t="s">
        <v>70</v>
      </c>
      <c r="K945" s="2">
        <v>35482</v>
      </c>
      <c r="L945" t="s">
        <v>36</v>
      </c>
      <c r="M945" t="s">
        <v>37</v>
      </c>
      <c r="N945" t="s">
        <v>49</v>
      </c>
      <c r="O945" t="s">
        <v>61</v>
      </c>
      <c r="P945" t="s">
        <v>98</v>
      </c>
      <c r="Q945">
        <v>3</v>
      </c>
      <c r="R945" s="2">
        <v>44867</v>
      </c>
      <c r="S945">
        <v>3</v>
      </c>
      <c r="T945">
        <v>1</v>
      </c>
      <c r="U945">
        <v>4</v>
      </c>
      <c r="V945" s="1">
        <v>44878</v>
      </c>
      <c r="W945" t="s">
        <v>92</v>
      </c>
      <c r="X945" t="s">
        <v>51</v>
      </c>
      <c r="Y945" t="s">
        <v>43</v>
      </c>
      <c r="Z945">
        <v>5</v>
      </c>
      <c r="AA945">
        <v>490.33</v>
      </c>
      <c r="AB945">
        <v>26</v>
      </c>
    </row>
    <row r="946" spans="1:28" x14ac:dyDescent="0.2">
      <c r="A946">
        <v>1441</v>
      </c>
      <c r="B946" s="1">
        <v>44526</v>
      </c>
      <c r="C946" t="s">
        <v>28</v>
      </c>
      <c r="D946" t="s">
        <v>69</v>
      </c>
      <c r="E946" t="s">
        <v>30</v>
      </c>
      <c r="F946" t="s">
        <v>31</v>
      </c>
      <c r="G946" t="s">
        <v>45</v>
      </c>
      <c r="H946" t="s">
        <v>33</v>
      </c>
      <c r="I946" t="s">
        <v>34</v>
      </c>
      <c r="J946" t="s">
        <v>70</v>
      </c>
      <c r="K946" s="2">
        <v>30026</v>
      </c>
      <c r="L946" t="s">
        <v>36</v>
      </c>
      <c r="M946" t="s">
        <v>37</v>
      </c>
      <c r="N946" t="s">
        <v>49</v>
      </c>
      <c r="O946" t="s">
        <v>67</v>
      </c>
      <c r="P946" t="s">
        <v>98</v>
      </c>
      <c r="Q946">
        <v>3</v>
      </c>
      <c r="R946" s="2">
        <v>45023</v>
      </c>
      <c r="S946">
        <v>1</v>
      </c>
      <c r="T946">
        <v>1</v>
      </c>
      <c r="U946">
        <v>5</v>
      </c>
      <c r="V946" s="1">
        <v>44857</v>
      </c>
      <c r="W946" t="s">
        <v>50</v>
      </c>
      <c r="X946" t="s">
        <v>42</v>
      </c>
      <c r="Y946" t="s">
        <v>52</v>
      </c>
      <c r="Z946">
        <v>4</v>
      </c>
      <c r="AA946">
        <v>758.41</v>
      </c>
      <c r="AB946">
        <v>39</v>
      </c>
    </row>
    <row r="947" spans="1:28" x14ac:dyDescent="0.2">
      <c r="A947">
        <v>1442</v>
      </c>
      <c r="B947" s="1">
        <v>43370</v>
      </c>
      <c r="C947" t="s">
        <v>28</v>
      </c>
      <c r="D947" t="s">
        <v>29</v>
      </c>
      <c r="E947" t="s">
        <v>30</v>
      </c>
      <c r="F947" t="s">
        <v>55</v>
      </c>
      <c r="G947" t="s">
        <v>45</v>
      </c>
      <c r="H947" t="s">
        <v>33</v>
      </c>
      <c r="I947" t="s">
        <v>34</v>
      </c>
      <c r="J947" t="s">
        <v>135</v>
      </c>
      <c r="K947" s="2">
        <v>34160</v>
      </c>
      <c r="L947" t="s">
        <v>36</v>
      </c>
      <c r="M947" t="s">
        <v>37</v>
      </c>
      <c r="N947" t="s">
        <v>72</v>
      </c>
      <c r="O947" t="s">
        <v>61</v>
      </c>
      <c r="P947" t="s">
        <v>98</v>
      </c>
      <c r="Q947">
        <v>3</v>
      </c>
      <c r="R947" s="2">
        <v>44937</v>
      </c>
      <c r="S947">
        <v>2</v>
      </c>
      <c r="T947">
        <v>4</v>
      </c>
      <c r="U947">
        <v>2</v>
      </c>
      <c r="V947" s="1">
        <v>44978</v>
      </c>
      <c r="W947" t="s">
        <v>68</v>
      </c>
      <c r="X947" t="s">
        <v>51</v>
      </c>
      <c r="Y947" t="s">
        <v>52</v>
      </c>
      <c r="Z947">
        <v>3</v>
      </c>
      <c r="AA947">
        <v>367.56</v>
      </c>
      <c r="AB947">
        <v>25</v>
      </c>
    </row>
    <row r="948" spans="1:28" x14ac:dyDescent="0.2">
      <c r="A948">
        <v>1443</v>
      </c>
      <c r="B948" s="1">
        <v>43681</v>
      </c>
      <c r="C948" t="s">
        <v>28</v>
      </c>
      <c r="D948" t="s">
        <v>85</v>
      </c>
      <c r="E948" t="s">
        <v>30</v>
      </c>
      <c r="F948" t="s">
        <v>31</v>
      </c>
      <c r="G948" t="s">
        <v>32</v>
      </c>
      <c r="H948" t="s">
        <v>46</v>
      </c>
      <c r="I948" t="s">
        <v>34</v>
      </c>
      <c r="J948" t="s">
        <v>70</v>
      </c>
      <c r="K948" s="2">
        <v>21971</v>
      </c>
      <c r="L948" t="s">
        <v>36</v>
      </c>
      <c r="M948" t="s">
        <v>37</v>
      </c>
      <c r="N948" t="s">
        <v>38</v>
      </c>
      <c r="O948" t="s">
        <v>77</v>
      </c>
      <c r="P948" t="s">
        <v>98</v>
      </c>
      <c r="Q948">
        <v>3</v>
      </c>
      <c r="R948" s="2">
        <v>45089</v>
      </c>
      <c r="S948">
        <v>5</v>
      </c>
      <c r="T948">
        <v>2</v>
      </c>
      <c r="U948">
        <v>3</v>
      </c>
      <c r="V948" s="1">
        <v>45049</v>
      </c>
      <c r="W948" t="s">
        <v>41</v>
      </c>
      <c r="X948" t="s">
        <v>42</v>
      </c>
      <c r="Y948" t="s">
        <v>43</v>
      </c>
      <c r="Z948">
        <v>5</v>
      </c>
      <c r="AA948">
        <v>582.49</v>
      </c>
      <c r="AB948">
        <v>59</v>
      </c>
    </row>
    <row r="949" spans="1:28" x14ac:dyDescent="0.2">
      <c r="A949">
        <v>1444</v>
      </c>
      <c r="B949" s="1">
        <v>43741</v>
      </c>
      <c r="C949" t="s">
        <v>28</v>
      </c>
      <c r="D949" t="s">
        <v>44</v>
      </c>
      <c r="E949" t="s">
        <v>30</v>
      </c>
      <c r="F949" t="s">
        <v>31</v>
      </c>
      <c r="G949" t="s">
        <v>32</v>
      </c>
      <c r="H949" t="s">
        <v>46</v>
      </c>
      <c r="I949" t="s">
        <v>34</v>
      </c>
      <c r="J949" t="s">
        <v>65</v>
      </c>
      <c r="K949" s="2">
        <v>26350</v>
      </c>
      <c r="L949" t="s">
        <v>36</v>
      </c>
      <c r="M949" t="s">
        <v>37</v>
      </c>
      <c r="N949" t="s">
        <v>38</v>
      </c>
      <c r="O949" t="s">
        <v>77</v>
      </c>
      <c r="P949" t="s">
        <v>98</v>
      </c>
      <c r="Q949">
        <v>3</v>
      </c>
      <c r="R949" s="2">
        <v>44916</v>
      </c>
      <c r="S949">
        <v>5</v>
      </c>
      <c r="T949">
        <v>5</v>
      </c>
      <c r="U949">
        <v>3</v>
      </c>
      <c r="V949" s="1">
        <v>44956</v>
      </c>
      <c r="W949" t="s">
        <v>41</v>
      </c>
      <c r="X949" t="s">
        <v>51</v>
      </c>
      <c r="Y949" t="s">
        <v>52</v>
      </c>
      <c r="Z949">
        <v>2</v>
      </c>
      <c r="AA949">
        <v>561.14</v>
      </c>
      <c r="AB949">
        <v>47</v>
      </c>
    </row>
    <row r="950" spans="1:28" x14ac:dyDescent="0.2">
      <c r="A950">
        <v>1448</v>
      </c>
      <c r="B950" s="1">
        <v>44087</v>
      </c>
      <c r="C950" t="s">
        <v>28</v>
      </c>
      <c r="D950" t="s">
        <v>74</v>
      </c>
      <c r="E950" t="s">
        <v>30</v>
      </c>
      <c r="F950" t="s">
        <v>46</v>
      </c>
      <c r="G950" t="s">
        <v>45</v>
      </c>
      <c r="H950" t="s">
        <v>46</v>
      </c>
      <c r="I950" t="s">
        <v>34</v>
      </c>
      <c r="J950" t="s">
        <v>65</v>
      </c>
      <c r="K950" s="2">
        <v>27985</v>
      </c>
      <c r="L950" t="s">
        <v>36</v>
      </c>
      <c r="M950" t="s">
        <v>37</v>
      </c>
      <c r="N950" t="s">
        <v>60</v>
      </c>
      <c r="O950" t="s">
        <v>61</v>
      </c>
      <c r="P950" t="s">
        <v>98</v>
      </c>
      <c r="Q950">
        <v>3</v>
      </c>
      <c r="R950" s="2">
        <v>44857</v>
      </c>
      <c r="S950">
        <v>1</v>
      </c>
      <c r="T950">
        <v>1</v>
      </c>
      <c r="U950">
        <v>3</v>
      </c>
      <c r="V950" s="1">
        <v>44779</v>
      </c>
      <c r="W950" t="s">
        <v>41</v>
      </c>
      <c r="X950" t="s">
        <v>42</v>
      </c>
      <c r="Y950" t="s">
        <v>43</v>
      </c>
      <c r="Z950">
        <v>5</v>
      </c>
      <c r="AA950">
        <v>151.43</v>
      </c>
      <c r="AB950">
        <v>44</v>
      </c>
    </row>
    <row r="951" spans="1:28" x14ac:dyDescent="0.2">
      <c r="A951">
        <v>1449</v>
      </c>
      <c r="B951" s="1">
        <v>44880</v>
      </c>
      <c r="C951" t="s">
        <v>106</v>
      </c>
      <c r="D951" t="s">
        <v>54</v>
      </c>
      <c r="E951" t="s">
        <v>30</v>
      </c>
      <c r="F951" t="s">
        <v>46</v>
      </c>
      <c r="G951" t="s">
        <v>56</v>
      </c>
      <c r="H951" t="s">
        <v>33</v>
      </c>
      <c r="I951" t="s">
        <v>34</v>
      </c>
      <c r="J951" t="s">
        <v>58</v>
      </c>
      <c r="K951" s="2">
        <v>23999</v>
      </c>
      <c r="L951" t="s">
        <v>36</v>
      </c>
      <c r="M951" t="s">
        <v>48</v>
      </c>
      <c r="N951" t="s">
        <v>60</v>
      </c>
      <c r="O951" t="s">
        <v>77</v>
      </c>
      <c r="P951" t="s">
        <v>98</v>
      </c>
      <c r="Q951">
        <v>3</v>
      </c>
      <c r="R951" s="2">
        <v>44784</v>
      </c>
      <c r="S951">
        <v>4</v>
      </c>
      <c r="T951">
        <v>2</v>
      </c>
      <c r="U951">
        <v>2</v>
      </c>
      <c r="V951" s="1">
        <v>44843</v>
      </c>
      <c r="W951" t="s">
        <v>50</v>
      </c>
      <c r="X951" t="s">
        <v>42</v>
      </c>
      <c r="Y951" t="s">
        <v>73</v>
      </c>
      <c r="Z951">
        <v>5</v>
      </c>
      <c r="AA951">
        <v>675.71</v>
      </c>
      <c r="AB951">
        <v>57</v>
      </c>
    </row>
    <row r="952" spans="1:28" x14ac:dyDescent="0.2">
      <c r="A952">
        <v>1450</v>
      </c>
      <c r="B952" s="1">
        <v>43868</v>
      </c>
      <c r="C952" t="s">
        <v>106</v>
      </c>
      <c r="D952" t="s">
        <v>94</v>
      </c>
      <c r="E952" t="s">
        <v>108</v>
      </c>
      <c r="F952" t="s">
        <v>55</v>
      </c>
      <c r="G952" t="s">
        <v>32</v>
      </c>
      <c r="H952" t="s">
        <v>33</v>
      </c>
      <c r="I952" t="s">
        <v>34</v>
      </c>
      <c r="J952" t="s">
        <v>70</v>
      </c>
      <c r="K952" s="2">
        <v>21236</v>
      </c>
      <c r="L952" t="s">
        <v>36</v>
      </c>
      <c r="M952" t="s">
        <v>48</v>
      </c>
      <c r="N952" t="s">
        <v>38</v>
      </c>
      <c r="O952" t="s">
        <v>61</v>
      </c>
      <c r="P952" t="s">
        <v>98</v>
      </c>
      <c r="Q952">
        <v>3</v>
      </c>
      <c r="R952" s="2">
        <v>45038</v>
      </c>
      <c r="S952">
        <v>5</v>
      </c>
      <c r="T952">
        <v>1</v>
      </c>
      <c r="U952">
        <v>2</v>
      </c>
      <c r="V952" s="1">
        <v>45100</v>
      </c>
      <c r="W952" t="s">
        <v>62</v>
      </c>
      <c r="X952" t="s">
        <v>42</v>
      </c>
      <c r="Y952" t="s">
        <v>52</v>
      </c>
      <c r="Z952">
        <v>5</v>
      </c>
      <c r="AA952">
        <v>436.63</v>
      </c>
      <c r="AB952">
        <v>62</v>
      </c>
    </row>
    <row r="953" spans="1:28" x14ac:dyDescent="0.2">
      <c r="A953">
        <v>1451</v>
      </c>
      <c r="B953" s="1">
        <v>44926</v>
      </c>
      <c r="C953" t="s">
        <v>106</v>
      </c>
      <c r="D953" t="s">
        <v>85</v>
      </c>
      <c r="E953" t="s">
        <v>30</v>
      </c>
      <c r="F953" t="s">
        <v>46</v>
      </c>
      <c r="G953" t="s">
        <v>45</v>
      </c>
      <c r="H953" t="s">
        <v>46</v>
      </c>
      <c r="I953" t="s">
        <v>34</v>
      </c>
      <c r="J953" t="s">
        <v>89</v>
      </c>
      <c r="K953" s="2">
        <v>16426</v>
      </c>
      <c r="L953" t="s">
        <v>36</v>
      </c>
      <c r="M953" t="s">
        <v>37</v>
      </c>
      <c r="N953" t="s">
        <v>49</v>
      </c>
      <c r="O953" t="s">
        <v>39</v>
      </c>
      <c r="P953" t="s">
        <v>98</v>
      </c>
      <c r="Q953">
        <v>3</v>
      </c>
      <c r="R953" s="2">
        <v>44922</v>
      </c>
      <c r="S953">
        <v>4</v>
      </c>
      <c r="T953">
        <v>3</v>
      </c>
      <c r="U953">
        <v>4</v>
      </c>
      <c r="V953" s="1">
        <v>44859</v>
      </c>
      <c r="W953" t="s">
        <v>92</v>
      </c>
      <c r="X953" t="s">
        <v>51</v>
      </c>
      <c r="Y953" t="s">
        <v>63</v>
      </c>
      <c r="Z953">
        <v>2</v>
      </c>
      <c r="AA953">
        <v>387.11</v>
      </c>
      <c r="AB953">
        <v>78</v>
      </c>
    </row>
    <row r="954" spans="1:28" x14ac:dyDescent="0.2">
      <c r="A954">
        <v>1452</v>
      </c>
      <c r="B954" s="1">
        <v>43550</v>
      </c>
      <c r="C954" t="s">
        <v>106</v>
      </c>
      <c r="D954" t="s">
        <v>64</v>
      </c>
      <c r="E954" t="s">
        <v>30</v>
      </c>
      <c r="F954" t="s">
        <v>55</v>
      </c>
      <c r="G954" t="s">
        <v>56</v>
      </c>
      <c r="H954" t="s">
        <v>55</v>
      </c>
      <c r="I954" t="s">
        <v>34</v>
      </c>
      <c r="J954" t="s">
        <v>70</v>
      </c>
      <c r="K954" s="2">
        <v>19447</v>
      </c>
      <c r="L954" t="s">
        <v>36</v>
      </c>
      <c r="M954" t="s">
        <v>37</v>
      </c>
      <c r="N954" t="s">
        <v>38</v>
      </c>
      <c r="O954" t="s">
        <v>61</v>
      </c>
      <c r="P954" t="s">
        <v>98</v>
      </c>
      <c r="Q954">
        <v>3</v>
      </c>
      <c r="R954" s="2">
        <v>44787</v>
      </c>
      <c r="S954">
        <v>4</v>
      </c>
      <c r="T954">
        <v>4</v>
      </c>
      <c r="U954">
        <v>5</v>
      </c>
      <c r="V954" s="1">
        <v>44808</v>
      </c>
      <c r="W954" t="s">
        <v>68</v>
      </c>
      <c r="X954" t="s">
        <v>42</v>
      </c>
      <c r="Y954" t="s">
        <v>73</v>
      </c>
      <c r="Z954">
        <v>4</v>
      </c>
      <c r="AA954">
        <v>320.38</v>
      </c>
      <c r="AB954">
        <v>66</v>
      </c>
    </row>
    <row r="955" spans="1:28" x14ac:dyDescent="0.2">
      <c r="A955">
        <v>1453</v>
      </c>
      <c r="B955" s="1">
        <v>45007</v>
      </c>
      <c r="C955" t="s">
        <v>106</v>
      </c>
      <c r="D955" t="s">
        <v>74</v>
      </c>
      <c r="E955" t="s">
        <v>30</v>
      </c>
      <c r="F955" t="s">
        <v>55</v>
      </c>
      <c r="G955" t="s">
        <v>32</v>
      </c>
      <c r="H955" t="s">
        <v>33</v>
      </c>
      <c r="I955" t="s">
        <v>34</v>
      </c>
      <c r="J955" t="s">
        <v>79</v>
      </c>
      <c r="K955" s="2">
        <v>33105</v>
      </c>
      <c r="L955" t="s">
        <v>36</v>
      </c>
      <c r="M955" t="s">
        <v>48</v>
      </c>
      <c r="N955" t="s">
        <v>72</v>
      </c>
      <c r="O955" t="s">
        <v>61</v>
      </c>
      <c r="P955" t="s">
        <v>98</v>
      </c>
      <c r="Q955">
        <v>3</v>
      </c>
      <c r="R955" s="2">
        <v>44816</v>
      </c>
      <c r="S955">
        <v>1</v>
      </c>
      <c r="T955">
        <v>5</v>
      </c>
      <c r="U955">
        <v>1</v>
      </c>
      <c r="V955" s="1">
        <v>45021</v>
      </c>
      <c r="W955" t="s">
        <v>68</v>
      </c>
      <c r="X955" t="s">
        <v>42</v>
      </c>
      <c r="Y955" t="s">
        <v>73</v>
      </c>
      <c r="Z955">
        <v>2</v>
      </c>
      <c r="AA955">
        <v>294.55</v>
      </c>
      <c r="AB955">
        <v>33</v>
      </c>
    </row>
    <row r="956" spans="1:28" x14ac:dyDescent="0.2">
      <c r="A956">
        <v>1454</v>
      </c>
      <c r="B956" s="1">
        <v>44918</v>
      </c>
      <c r="C956" t="s">
        <v>106</v>
      </c>
      <c r="D956" t="s">
        <v>74</v>
      </c>
      <c r="E956" t="s">
        <v>108</v>
      </c>
      <c r="F956" t="s">
        <v>55</v>
      </c>
      <c r="G956" t="s">
        <v>32</v>
      </c>
      <c r="H956" t="s">
        <v>33</v>
      </c>
      <c r="I956" t="s">
        <v>34</v>
      </c>
      <c r="J956" t="s">
        <v>65</v>
      </c>
      <c r="K956" s="2">
        <v>28196</v>
      </c>
      <c r="L956" t="s">
        <v>36</v>
      </c>
      <c r="M956" t="s">
        <v>48</v>
      </c>
      <c r="N956" t="s">
        <v>49</v>
      </c>
      <c r="O956" t="s">
        <v>67</v>
      </c>
      <c r="P956" t="s">
        <v>98</v>
      </c>
      <c r="Q956">
        <v>3</v>
      </c>
      <c r="R956" s="2">
        <v>45135</v>
      </c>
      <c r="S956">
        <v>2</v>
      </c>
      <c r="T956">
        <v>2</v>
      </c>
      <c r="U956">
        <v>1</v>
      </c>
      <c r="V956" s="1">
        <v>44909</v>
      </c>
      <c r="W956" t="s">
        <v>50</v>
      </c>
      <c r="X956" t="s">
        <v>51</v>
      </c>
      <c r="Y956" t="s">
        <v>63</v>
      </c>
      <c r="Z956">
        <v>1</v>
      </c>
      <c r="AA956">
        <v>832.86</v>
      </c>
      <c r="AB956">
        <v>45</v>
      </c>
    </row>
    <row r="957" spans="1:28" x14ac:dyDescent="0.2">
      <c r="A957">
        <v>1455</v>
      </c>
      <c r="B957" s="1">
        <v>43826</v>
      </c>
      <c r="C957" t="s">
        <v>28</v>
      </c>
      <c r="D957" t="s">
        <v>54</v>
      </c>
      <c r="E957" t="s">
        <v>30</v>
      </c>
      <c r="F957" t="s">
        <v>31</v>
      </c>
      <c r="G957" t="s">
        <v>32</v>
      </c>
      <c r="H957" t="s">
        <v>55</v>
      </c>
      <c r="I957" t="s">
        <v>34</v>
      </c>
      <c r="J957" t="s">
        <v>58</v>
      </c>
      <c r="K957" s="2">
        <v>34777</v>
      </c>
      <c r="L957" t="s">
        <v>36</v>
      </c>
      <c r="M957" t="s">
        <v>37</v>
      </c>
      <c r="N957" t="s">
        <v>60</v>
      </c>
      <c r="O957" t="s">
        <v>39</v>
      </c>
      <c r="P957" t="s">
        <v>98</v>
      </c>
      <c r="Q957">
        <v>3</v>
      </c>
      <c r="R957" s="2">
        <v>45111</v>
      </c>
      <c r="S957">
        <v>2</v>
      </c>
      <c r="T957">
        <v>2</v>
      </c>
      <c r="U957">
        <v>4</v>
      </c>
      <c r="V957" s="1">
        <v>45061</v>
      </c>
      <c r="W957" t="s">
        <v>41</v>
      </c>
      <c r="X957" t="s">
        <v>42</v>
      </c>
      <c r="Y957" t="s">
        <v>73</v>
      </c>
      <c r="Z957">
        <v>5</v>
      </c>
      <c r="AA957">
        <v>223.34</v>
      </c>
      <c r="AB957">
        <v>24</v>
      </c>
    </row>
    <row r="958" spans="1:28" x14ac:dyDescent="0.2">
      <c r="A958">
        <v>1456</v>
      </c>
      <c r="B958" s="1">
        <v>43641</v>
      </c>
      <c r="C958" t="s">
        <v>28</v>
      </c>
      <c r="D958" t="s">
        <v>94</v>
      </c>
      <c r="E958" t="s">
        <v>30</v>
      </c>
      <c r="F958" t="s">
        <v>55</v>
      </c>
      <c r="G958" t="s">
        <v>56</v>
      </c>
      <c r="H958" t="s">
        <v>55</v>
      </c>
      <c r="I958" t="s">
        <v>34</v>
      </c>
      <c r="J958" t="s">
        <v>79</v>
      </c>
      <c r="K958" s="2">
        <v>20736</v>
      </c>
      <c r="L958" t="s">
        <v>36</v>
      </c>
      <c r="M958" t="s">
        <v>37</v>
      </c>
      <c r="N958" t="s">
        <v>49</v>
      </c>
      <c r="O958" t="s">
        <v>67</v>
      </c>
      <c r="P958" t="s">
        <v>78</v>
      </c>
      <c r="Q958">
        <v>3</v>
      </c>
      <c r="R958" s="2">
        <v>44804</v>
      </c>
      <c r="S958">
        <v>2</v>
      </c>
      <c r="T958">
        <v>1</v>
      </c>
      <c r="U958">
        <v>5</v>
      </c>
      <c r="V958" s="1">
        <v>44834</v>
      </c>
      <c r="W958" t="s">
        <v>50</v>
      </c>
      <c r="X958" t="s">
        <v>51</v>
      </c>
      <c r="Y958" t="s">
        <v>52</v>
      </c>
      <c r="Z958">
        <v>3</v>
      </c>
      <c r="AA958">
        <v>456.95</v>
      </c>
      <c r="AB958">
        <v>63</v>
      </c>
    </row>
    <row r="959" spans="1:28" x14ac:dyDescent="0.2">
      <c r="A959">
        <v>1457</v>
      </c>
      <c r="B959" s="1">
        <v>43427</v>
      </c>
      <c r="C959" t="s">
        <v>28</v>
      </c>
      <c r="D959" t="s">
        <v>85</v>
      </c>
      <c r="E959" t="s">
        <v>30</v>
      </c>
      <c r="F959" t="s">
        <v>31</v>
      </c>
      <c r="G959" t="s">
        <v>45</v>
      </c>
      <c r="H959" t="s">
        <v>46</v>
      </c>
      <c r="I959" t="s">
        <v>34</v>
      </c>
      <c r="J959" t="s">
        <v>70</v>
      </c>
      <c r="K959" s="2">
        <v>28340</v>
      </c>
      <c r="L959" t="s">
        <v>36</v>
      </c>
      <c r="M959" t="s">
        <v>37</v>
      </c>
      <c r="N959" t="s">
        <v>60</v>
      </c>
      <c r="O959" t="s">
        <v>67</v>
      </c>
      <c r="P959" t="s">
        <v>78</v>
      </c>
      <c r="Q959">
        <v>3</v>
      </c>
      <c r="R959" s="2">
        <v>45109</v>
      </c>
      <c r="S959">
        <v>2</v>
      </c>
      <c r="T959">
        <v>1</v>
      </c>
      <c r="U959">
        <v>1</v>
      </c>
      <c r="V959" s="1">
        <v>45057</v>
      </c>
      <c r="W959" t="s">
        <v>62</v>
      </c>
      <c r="X959" t="s">
        <v>51</v>
      </c>
      <c r="Y959" t="s">
        <v>73</v>
      </c>
      <c r="Z959">
        <v>5</v>
      </c>
      <c r="AA959">
        <v>988.47</v>
      </c>
      <c r="AB959">
        <v>41</v>
      </c>
    </row>
    <row r="960" spans="1:28" x14ac:dyDescent="0.2">
      <c r="A960">
        <v>1458</v>
      </c>
      <c r="B960" s="1">
        <v>44213</v>
      </c>
      <c r="C960" t="s">
        <v>28</v>
      </c>
      <c r="D960" t="s">
        <v>64</v>
      </c>
      <c r="E960" t="s">
        <v>30</v>
      </c>
      <c r="F960" t="s">
        <v>55</v>
      </c>
      <c r="G960" t="s">
        <v>45</v>
      </c>
      <c r="H960" t="s">
        <v>46</v>
      </c>
      <c r="I960" t="s">
        <v>34</v>
      </c>
      <c r="J960" t="s">
        <v>101</v>
      </c>
      <c r="K960" s="2">
        <v>34412</v>
      </c>
      <c r="L960" t="s">
        <v>36</v>
      </c>
      <c r="M960" t="s">
        <v>37</v>
      </c>
      <c r="N960" t="s">
        <v>49</v>
      </c>
      <c r="O960" t="s">
        <v>61</v>
      </c>
      <c r="P960" t="s">
        <v>78</v>
      </c>
      <c r="Q960">
        <v>3</v>
      </c>
      <c r="R960" s="2">
        <v>44963</v>
      </c>
      <c r="S960">
        <v>2</v>
      </c>
      <c r="T960">
        <v>2</v>
      </c>
      <c r="U960">
        <v>4</v>
      </c>
      <c r="V960" s="1">
        <v>45068</v>
      </c>
      <c r="W960" t="s">
        <v>68</v>
      </c>
      <c r="X960" t="s">
        <v>51</v>
      </c>
      <c r="Y960" t="s">
        <v>52</v>
      </c>
      <c r="Z960">
        <v>1</v>
      </c>
      <c r="AA960">
        <v>429.49</v>
      </c>
      <c r="AB960">
        <v>27</v>
      </c>
    </row>
    <row r="961" spans="1:28" x14ac:dyDescent="0.2">
      <c r="A961">
        <v>1459</v>
      </c>
      <c r="B961" s="1">
        <v>44447</v>
      </c>
      <c r="C961" t="s">
        <v>28</v>
      </c>
      <c r="D961" t="s">
        <v>74</v>
      </c>
      <c r="E961" t="s">
        <v>30</v>
      </c>
      <c r="F961" t="s">
        <v>31</v>
      </c>
      <c r="G961" t="s">
        <v>32</v>
      </c>
      <c r="H961" t="s">
        <v>33</v>
      </c>
      <c r="I961" t="s">
        <v>34</v>
      </c>
      <c r="J961" t="s">
        <v>79</v>
      </c>
      <c r="K961" s="2">
        <v>17026</v>
      </c>
      <c r="L961" t="s">
        <v>36</v>
      </c>
      <c r="M961" t="s">
        <v>48</v>
      </c>
      <c r="N961" t="s">
        <v>72</v>
      </c>
      <c r="O961" t="s">
        <v>61</v>
      </c>
      <c r="P961" t="s">
        <v>78</v>
      </c>
      <c r="Q961">
        <v>3</v>
      </c>
      <c r="R961" s="2">
        <v>44814</v>
      </c>
      <c r="S961">
        <v>5</v>
      </c>
      <c r="T961">
        <v>2</v>
      </c>
      <c r="U961">
        <v>5</v>
      </c>
      <c r="V961" s="1">
        <v>44852</v>
      </c>
      <c r="W961" t="s">
        <v>62</v>
      </c>
      <c r="X961" t="s">
        <v>42</v>
      </c>
      <c r="Y961" t="s">
        <v>43</v>
      </c>
      <c r="Z961">
        <v>3</v>
      </c>
      <c r="AA961">
        <v>798.97</v>
      </c>
      <c r="AB961">
        <v>75</v>
      </c>
    </row>
    <row r="962" spans="1:28" x14ac:dyDescent="0.2">
      <c r="A962">
        <v>1460</v>
      </c>
      <c r="B962" s="1">
        <v>44251</v>
      </c>
      <c r="C962" t="s">
        <v>28</v>
      </c>
      <c r="D962" t="s">
        <v>69</v>
      </c>
      <c r="E962" t="s">
        <v>30</v>
      </c>
      <c r="F962" t="s">
        <v>55</v>
      </c>
      <c r="G962" t="s">
        <v>45</v>
      </c>
      <c r="H962" t="s">
        <v>33</v>
      </c>
      <c r="I962" t="s">
        <v>34</v>
      </c>
      <c r="J962" t="s">
        <v>101</v>
      </c>
      <c r="K962" s="2">
        <v>20238</v>
      </c>
      <c r="L962" t="s">
        <v>36</v>
      </c>
      <c r="M962" t="s">
        <v>48</v>
      </c>
      <c r="N962" t="s">
        <v>60</v>
      </c>
      <c r="O962" t="s">
        <v>77</v>
      </c>
      <c r="P962" t="s">
        <v>78</v>
      </c>
      <c r="Q962">
        <v>3</v>
      </c>
      <c r="R962" s="2">
        <v>44980</v>
      </c>
      <c r="S962">
        <v>2</v>
      </c>
      <c r="T962">
        <v>3</v>
      </c>
      <c r="U962">
        <v>1</v>
      </c>
      <c r="V962" s="1">
        <v>44991</v>
      </c>
      <c r="W962" t="s">
        <v>50</v>
      </c>
      <c r="X962" t="s">
        <v>42</v>
      </c>
      <c r="Y962" t="s">
        <v>52</v>
      </c>
      <c r="Z962">
        <v>2</v>
      </c>
      <c r="AA962">
        <v>864.22</v>
      </c>
      <c r="AB962">
        <v>66</v>
      </c>
    </row>
    <row r="963" spans="1:28" x14ac:dyDescent="0.2">
      <c r="A963">
        <v>1461</v>
      </c>
      <c r="B963" s="1">
        <v>43567</v>
      </c>
      <c r="C963" t="s">
        <v>28</v>
      </c>
      <c r="D963" t="s">
        <v>29</v>
      </c>
      <c r="E963" t="s">
        <v>30</v>
      </c>
      <c r="F963" t="s">
        <v>55</v>
      </c>
      <c r="G963" t="s">
        <v>32</v>
      </c>
      <c r="H963" t="s">
        <v>55</v>
      </c>
      <c r="I963" t="s">
        <v>34</v>
      </c>
      <c r="J963" t="s">
        <v>96</v>
      </c>
      <c r="K963" s="2">
        <v>36953</v>
      </c>
      <c r="L963" t="s">
        <v>36</v>
      </c>
      <c r="M963" t="s">
        <v>37</v>
      </c>
      <c r="N963" t="s">
        <v>84</v>
      </c>
      <c r="O963" t="s">
        <v>39</v>
      </c>
      <c r="P963" t="s">
        <v>78</v>
      </c>
      <c r="Q963">
        <v>3</v>
      </c>
      <c r="R963" s="2">
        <v>45025</v>
      </c>
      <c r="S963">
        <v>1</v>
      </c>
      <c r="T963">
        <v>1</v>
      </c>
      <c r="U963">
        <v>2</v>
      </c>
      <c r="V963" s="1">
        <v>45078</v>
      </c>
      <c r="W963" t="s">
        <v>92</v>
      </c>
      <c r="X963" t="s">
        <v>42</v>
      </c>
      <c r="Y963" t="s">
        <v>73</v>
      </c>
      <c r="Z963">
        <v>1</v>
      </c>
      <c r="AA963">
        <v>302.52</v>
      </c>
      <c r="AB963">
        <v>18</v>
      </c>
    </row>
    <row r="964" spans="1:28" x14ac:dyDescent="0.2">
      <c r="A964">
        <v>1462</v>
      </c>
      <c r="B964" s="1">
        <v>45120</v>
      </c>
      <c r="C964" t="s">
        <v>28</v>
      </c>
      <c r="D964" t="s">
        <v>44</v>
      </c>
      <c r="E964" t="s">
        <v>30</v>
      </c>
      <c r="F964" t="s">
        <v>31</v>
      </c>
      <c r="G964" t="s">
        <v>32</v>
      </c>
      <c r="H964" t="s">
        <v>33</v>
      </c>
      <c r="I964" t="s">
        <v>34</v>
      </c>
      <c r="J964" t="s">
        <v>97</v>
      </c>
      <c r="K964" s="2">
        <v>21982</v>
      </c>
      <c r="L964" t="s">
        <v>36</v>
      </c>
      <c r="M964" t="s">
        <v>37</v>
      </c>
      <c r="N964" t="s">
        <v>60</v>
      </c>
      <c r="O964" t="s">
        <v>39</v>
      </c>
      <c r="P964" t="s">
        <v>78</v>
      </c>
      <c r="Q964">
        <v>3</v>
      </c>
      <c r="R964" s="2">
        <v>44804</v>
      </c>
      <c r="S964">
        <v>4</v>
      </c>
      <c r="T964">
        <v>5</v>
      </c>
      <c r="U964">
        <v>5</v>
      </c>
      <c r="V964" s="1">
        <v>44959</v>
      </c>
      <c r="W964" t="s">
        <v>41</v>
      </c>
      <c r="X964" t="s">
        <v>51</v>
      </c>
      <c r="Y964" t="s">
        <v>63</v>
      </c>
      <c r="Z964">
        <v>4</v>
      </c>
      <c r="AA964">
        <v>152.66</v>
      </c>
      <c r="AB964">
        <v>63</v>
      </c>
    </row>
    <row r="965" spans="1:28" x14ac:dyDescent="0.2">
      <c r="A965">
        <v>1463</v>
      </c>
      <c r="B965" s="1">
        <v>44109</v>
      </c>
      <c r="C965" t="s">
        <v>28</v>
      </c>
      <c r="D965" t="s">
        <v>87</v>
      </c>
      <c r="E965" t="s">
        <v>30</v>
      </c>
      <c r="F965" t="s">
        <v>31</v>
      </c>
      <c r="G965" t="s">
        <v>32</v>
      </c>
      <c r="H965" t="s">
        <v>33</v>
      </c>
      <c r="I965" t="s">
        <v>34</v>
      </c>
      <c r="J965" t="s">
        <v>70</v>
      </c>
      <c r="K965" s="2">
        <v>27726</v>
      </c>
      <c r="L965" t="s">
        <v>36</v>
      </c>
      <c r="M965" t="s">
        <v>37</v>
      </c>
      <c r="N965" t="s">
        <v>49</v>
      </c>
      <c r="O965" t="s">
        <v>77</v>
      </c>
      <c r="P965" t="s">
        <v>78</v>
      </c>
      <c r="Q965">
        <v>3</v>
      </c>
      <c r="R965" s="2">
        <v>44998</v>
      </c>
      <c r="S965">
        <v>5</v>
      </c>
      <c r="T965">
        <v>4</v>
      </c>
      <c r="U965">
        <v>5</v>
      </c>
      <c r="V965" s="1">
        <v>45030</v>
      </c>
      <c r="W965" t="s">
        <v>50</v>
      </c>
      <c r="X965" t="s">
        <v>42</v>
      </c>
      <c r="Y965" t="s">
        <v>63</v>
      </c>
      <c r="Z965">
        <v>2</v>
      </c>
      <c r="AA965">
        <v>399.05</v>
      </c>
      <c r="AB965">
        <v>45</v>
      </c>
    </row>
    <row r="966" spans="1:28" x14ac:dyDescent="0.2">
      <c r="A966">
        <v>1464</v>
      </c>
      <c r="B966" s="1">
        <v>43492</v>
      </c>
      <c r="C966" t="s">
        <v>28</v>
      </c>
      <c r="D966" t="s">
        <v>81</v>
      </c>
      <c r="E966" t="s">
        <v>30</v>
      </c>
      <c r="F966" t="s">
        <v>46</v>
      </c>
      <c r="G966" t="s">
        <v>32</v>
      </c>
      <c r="H966" t="s">
        <v>55</v>
      </c>
      <c r="I966" t="s">
        <v>34</v>
      </c>
      <c r="J966" t="s">
        <v>58</v>
      </c>
      <c r="K966" s="2">
        <v>21094</v>
      </c>
      <c r="L966" t="s">
        <v>36</v>
      </c>
      <c r="M966" t="s">
        <v>37</v>
      </c>
      <c r="N966" t="s">
        <v>84</v>
      </c>
      <c r="O966" t="s">
        <v>67</v>
      </c>
      <c r="P966" t="s">
        <v>78</v>
      </c>
      <c r="Q966">
        <v>3</v>
      </c>
      <c r="R966" s="2">
        <v>45111</v>
      </c>
      <c r="S966">
        <v>2</v>
      </c>
      <c r="T966">
        <v>5</v>
      </c>
      <c r="U966">
        <v>1</v>
      </c>
      <c r="V966" s="1">
        <v>45102</v>
      </c>
      <c r="W966" t="s">
        <v>50</v>
      </c>
      <c r="X966" t="s">
        <v>42</v>
      </c>
      <c r="Y966" t="s">
        <v>63</v>
      </c>
      <c r="Z966">
        <v>2</v>
      </c>
      <c r="AA966">
        <v>791.74</v>
      </c>
      <c r="AB966">
        <v>62</v>
      </c>
    </row>
    <row r="967" spans="1:28" x14ac:dyDescent="0.2">
      <c r="A967">
        <v>1465</v>
      </c>
      <c r="B967" s="1">
        <v>44182</v>
      </c>
      <c r="C967" t="s">
        <v>28</v>
      </c>
      <c r="D967" t="s">
        <v>54</v>
      </c>
      <c r="E967" t="s">
        <v>30</v>
      </c>
      <c r="F967" t="s">
        <v>46</v>
      </c>
      <c r="G967" t="s">
        <v>45</v>
      </c>
      <c r="H967" t="s">
        <v>55</v>
      </c>
      <c r="I967" t="s">
        <v>34</v>
      </c>
      <c r="J967" t="s">
        <v>110</v>
      </c>
      <c r="K967" s="2">
        <v>21358</v>
      </c>
      <c r="L967" t="s">
        <v>36</v>
      </c>
      <c r="M967" t="s">
        <v>37</v>
      </c>
      <c r="N967" t="s">
        <v>60</v>
      </c>
      <c r="O967" t="s">
        <v>61</v>
      </c>
      <c r="P967" t="s">
        <v>78</v>
      </c>
      <c r="Q967">
        <v>3</v>
      </c>
      <c r="R967" s="2">
        <v>45079</v>
      </c>
      <c r="S967">
        <v>1</v>
      </c>
      <c r="T967">
        <v>1</v>
      </c>
      <c r="U967">
        <v>3</v>
      </c>
      <c r="V967" s="1">
        <v>44901</v>
      </c>
      <c r="W967" t="s">
        <v>41</v>
      </c>
      <c r="X967" t="s">
        <v>51</v>
      </c>
      <c r="Y967" t="s">
        <v>52</v>
      </c>
      <c r="Z967">
        <v>4</v>
      </c>
      <c r="AA967">
        <v>770.23</v>
      </c>
      <c r="AB967">
        <v>62</v>
      </c>
    </row>
    <row r="968" spans="1:28" x14ac:dyDescent="0.2">
      <c r="A968">
        <v>1466</v>
      </c>
      <c r="B968" s="1">
        <v>44259</v>
      </c>
      <c r="C968" t="s">
        <v>28</v>
      </c>
      <c r="D968" t="s">
        <v>94</v>
      </c>
      <c r="E968" t="s">
        <v>30</v>
      </c>
      <c r="F968" t="s">
        <v>55</v>
      </c>
      <c r="G968" t="s">
        <v>45</v>
      </c>
      <c r="H968" t="s">
        <v>33</v>
      </c>
      <c r="I968" t="s">
        <v>34</v>
      </c>
      <c r="J968" t="s">
        <v>109</v>
      </c>
      <c r="K968" s="2">
        <v>32575</v>
      </c>
      <c r="L968" t="s">
        <v>36</v>
      </c>
      <c r="M968" t="s">
        <v>37</v>
      </c>
      <c r="N968" t="s">
        <v>38</v>
      </c>
      <c r="O968" t="s">
        <v>39</v>
      </c>
      <c r="P968" t="s">
        <v>78</v>
      </c>
      <c r="Q968">
        <v>3</v>
      </c>
      <c r="R968" s="2">
        <v>44900</v>
      </c>
      <c r="S968">
        <v>1</v>
      </c>
      <c r="T968">
        <v>4</v>
      </c>
      <c r="U968">
        <v>5</v>
      </c>
      <c r="V968" s="1">
        <v>44911</v>
      </c>
      <c r="W968" t="s">
        <v>62</v>
      </c>
      <c r="X968" t="s">
        <v>51</v>
      </c>
      <c r="Y968" t="s">
        <v>63</v>
      </c>
      <c r="Z968">
        <v>3</v>
      </c>
      <c r="AA968">
        <v>746.05</v>
      </c>
      <c r="AB968">
        <v>32</v>
      </c>
    </row>
    <row r="969" spans="1:28" x14ac:dyDescent="0.2">
      <c r="A969">
        <v>1467</v>
      </c>
      <c r="B969" s="1">
        <v>45015</v>
      </c>
      <c r="C969" t="s">
        <v>28</v>
      </c>
      <c r="D969" t="s">
        <v>85</v>
      </c>
      <c r="E969" t="s">
        <v>30</v>
      </c>
      <c r="F969" t="s">
        <v>55</v>
      </c>
      <c r="G969" t="s">
        <v>45</v>
      </c>
      <c r="H969" t="s">
        <v>33</v>
      </c>
      <c r="I969" t="s">
        <v>34</v>
      </c>
      <c r="J969" t="s">
        <v>104</v>
      </c>
      <c r="K969" s="2">
        <v>32614</v>
      </c>
      <c r="L969" t="s">
        <v>36</v>
      </c>
      <c r="M969" t="s">
        <v>37</v>
      </c>
      <c r="N969" t="s">
        <v>72</v>
      </c>
      <c r="O969" t="s">
        <v>67</v>
      </c>
      <c r="P969" t="s">
        <v>40</v>
      </c>
      <c r="Q969">
        <v>3</v>
      </c>
      <c r="R969" s="2">
        <v>44786</v>
      </c>
      <c r="S969">
        <v>3</v>
      </c>
      <c r="T969">
        <v>4</v>
      </c>
      <c r="U969">
        <v>2</v>
      </c>
      <c r="V969" s="1">
        <v>44939</v>
      </c>
      <c r="W969" t="s">
        <v>68</v>
      </c>
      <c r="X969" t="s">
        <v>51</v>
      </c>
      <c r="Y969" t="s">
        <v>63</v>
      </c>
      <c r="Z969">
        <v>2</v>
      </c>
      <c r="AA969">
        <v>177.66</v>
      </c>
      <c r="AB969">
        <v>34</v>
      </c>
    </row>
    <row r="970" spans="1:28" x14ac:dyDescent="0.2">
      <c r="A970">
        <v>1468</v>
      </c>
      <c r="B970" s="1">
        <v>43461</v>
      </c>
      <c r="C970" t="s">
        <v>28</v>
      </c>
      <c r="D970" t="s">
        <v>64</v>
      </c>
      <c r="E970" t="s">
        <v>30</v>
      </c>
      <c r="F970" t="s">
        <v>31</v>
      </c>
      <c r="G970" t="s">
        <v>45</v>
      </c>
      <c r="H970" t="s">
        <v>46</v>
      </c>
      <c r="I970" t="s">
        <v>34</v>
      </c>
      <c r="J970" t="s">
        <v>70</v>
      </c>
      <c r="K970" s="2">
        <v>23984</v>
      </c>
      <c r="L970" t="s">
        <v>36</v>
      </c>
      <c r="M970" t="s">
        <v>37</v>
      </c>
      <c r="N970" t="s">
        <v>49</v>
      </c>
      <c r="O970" t="s">
        <v>77</v>
      </c>
      <c r="P970" t="s">
        <v>78</v>
      </c>
      <c r="Q970">
        <v>3</v>
      </c>
      <c r="R970" s="2">
        <v>45037</v>
      </c>
      <c r="S970">
        <v>3</v>
      </c>
      <c r="T970">
        <v>1</v>
      </c>
      <c r="U970">
        <v>3</v>
      </c>
      <c r="V970" s="1">
        <v>45026</v>
      </c>
      <c r="W970" t="s">
        <v>41</v>
      </c>
      <c r="X970" t="s">
        <v>42</v>
      </c>
      <c r="Y970" t="s">
        <v>73</v>
      </c>
      <c r="Z970">
        <v>5</v>
      </c>
      <c r="AA970">
        <v>429.38</v>
      </c>
      <c r="AB970">
        <v>53</v>
      </c>
    </row>
    <row r="971" spans="1:28" x14ac:dyDescent="0.2">
      <c r="A971">
        <v>1469</v>
      </c>
      <c r="B971" s="1">
        <v>44459</v>
      </c>
      <c r="C971" t="s">
        <v>28</v>
      </c>
      <c r="D971" t="s">
        <v>74</v>
      </c>
      <c r="E971" t="s">
        <v>30</v>
      </c>
      <c r="F971" t="s">
        <v>55</v>
      </c>
      <c r="G971" t="s">
        <v>56</v>
      </c>
      <c r="H971" t="s">
        <v>33</v>
      </c>
      <c r="I971" t="s">
        <v>34</v>
      </c>
      <c r="J971" t="s">
        <v>70</v>
      </c>
      <c r="K971" s="2">
        <v>27989</v>
      </c>
      <c r="L971" t="s">
        <v>36</v>
      </c>
      <c r="M971" t="s">
        <v>37</v>
      </c>
      <c r="N971" t="s">
        <v>84</v>
      </c>
      <c r="O971" t="s">
        <v>67</v>
      </c>
      <c r="P971" t="s">
        <v>78</v>
      </c>
      <c r="Q971">
        <v>3</v>
      </c>
      <c r="R971" s="2">
        <v>44980</v>
      </c>
      <c r="S971">
        <v>4</v>
      </c>
      <c r="T971">
        <v>2</v>
      </c>
      <c r="U971">
        <v>4</v>
      </c>
      <c r="V971" s="1">
        <v>44798</v>
      </c>
      <c r="W971" t="s">
        <v>41</v>
      </c>
      <c r="X971" t="s">
        <v>51</v>
      </c>
      <c r="Y971" t="s">
        <v>52</v>
      </c>
      <c r="Z971">
        <v>3</v>
      </c>
      <c r="AA971">
        <v>867.59</v>
      </c>
      <c r="AB971">
        <v>45</v>
      </c>
    </row>
    <row r="972" spans="1:28" x14ac:dyDescent="0.2">
      <c r="A972">
        <v>1470</v>
      </c>
      <c r="B972" s="1">
        <v>44965</v>
      </c>
      <c r="C972" t="s">
        <v>28</v>
      </c>
      <c r="D972" t="s">
        <v>69</v>
      </c>
      <c r="E972" t="s">
        <v>30</v>
      </c>
      <c r="F972" t="s">
        <v>46</v>
      </c>
      <c r="G972" t="s">
        <v>56</v>
      </c>
      <c r="H972" t="s">
        <v>46</v>
      </c>
      <c r="I972" t="s">
        <v>34</v>
      </c>
      <c r="J972" t="s">
        <v>58</v>
      </c>
      <c r="K972" s="2">
        <v>34962</v>
      </c>
      <c r="L972" t="s">
        <v>36</v>
      </c>
      <c r="M972" t="s">
        <v>37</v>
      </c>
      <c r="N972" t="s">
        <v>84</v>
      </c>
      <c r="O972" t="s">
        <v>67</v>
      </c>
      <c r="P972" t="s">
        <v>78</v>
      </c>
      <c r="Q972">
        <v>3</v>
      </c>
      <c r="R972" s="2">
        <v>45006</v>
      </c>
      <c r="S972">
        <v>1</v>
      </c>
      <c r="T972">
        <v>4</v>
      </c>
      <c r="U972">
        <v>1</v>
      </c>
      <c r="V972" s="1">
        <v>45033</v>
      </c>
      <c r="W972" t="s">
        <v>92</v>
      </c>
      <c r="X972" t="s">
        <v>51</v>
      </c>
      <c r="Y972" t="s">
        <v>43</v>
      </c>
      <c r="Z972">
        <v>5</v>
      </c>
      <c r="AA972">
        <v>502.65</v>
      </c>
      <c r="AB972">
        <v>28</v>
      </c>
    </row>
    <row r="973" spans="1:28" x14ac:dyDescent="0.2">
      <c r="A973">
        <v>1471</v>
      </c>
      <c r="B973" s="1">
        <v>43754</v>
      </c>
      <c r="C973" t="s">
        <v>106</v>
      </c>
      <c r="D973" t="s">
        <v>29</v>
      </c>
      <c r="E973" t="s">
        <v>108</v>
      </c>
      <c r="F973" t="s">
        <v>55</v>
      </c>
      <c r="G973" t="s">
        <v>56</v>
      </c>
      <c r="H973" t="s">
        <v>46</v>
      </c>
      <c r="I973" t="s">
        <v>34</v>
      </c>
      <c r="J973" t="s">
        <v>70</v>
      </c>
      <c r="K973" s="2">
        <v>22015</v>
      </c>
      <c r="L973" t="s">
        <v>36</v>
      </c>
      <c r="M973" t="s">
        <v>48</v>
      </c>
      <c r="N973" t="s">
        <v>38</v>
      </c>
      <c r="O973" t="s">
        <v>77</v>
      </c>
      <c r="P973" t="s">
        <v>78</v>
      </c>
      <c r="Q973">
        <v>3</v>
      </c>
      <c r="R973" s="2">
        <v>44918</v>
      </c>
      <c r="S973">
        <v>3</v>
      </c>
      <c r="T973">
        <v>4</v>
      </c>
      <c r="U973">
        <v>2</v>
      </c>
      <c r="V973" s="1">
        <v>44991</v>
      </c>
      <c r="W973" t="s">
        <v>68</v>
      </c>
      <c r="X973" t="s">
        <v>42</v>
      </c>
      <c r="Y973" t="s">
        <v>63</v>
      </c>
      <c r="Z973">
        <v>3</v>
      </c>
      <c r="AA973">
        <v>488.68</v>
      </c>
      <c r="AB973">
        <v>59</v>
      </c>
    </row>
    <row r="974" spans="1:28" x14ac:dyDescent="0.2">
      <c r="A974">
        <v>1472</v>
      </c>
      <c r="B974" s="1">
        <v>44439</v>
      </c>
      <c r="C974" t="s">
        <v>106</v>
      </c>
      <c r="D974" t="s">
        <v>85</v>
      </c>
      <c r="E974" t="s">
        <v>30</v>
      </c>
      <c r="F974" t="s">
        <v>31</v>
      </c>
      <c r="G974" t="s">
        <v>32</v>
      </c>
      <c r="H974" t="s">
        <v>55</v>
      </c>
      <c r="I974" t="s">
        <v>34</v>
      </c>
      <c r="J974" t="s">
        <v>96</v>
      </c>
      <c r="K974" s="2">
        <v>26403</v>
      </c>
      <c r="L974" t="s">
        <v>36</v>
      </c>
      <c r="M974" t="s">
        <v>48</v>
      </c>
      <c r="N974" t="s">
        <v>60</v>
      </c>
      <c r="O974" t="s">
        <v>61</v>
      </c>
      <c r="P974" t="s">
        <v>78</v>
      </c>
      <c r="Q974">
        <v>3</v>
      </c>
      <c r="R974" s="2">
        <v>44806</v>
      </c>
      <c r="S974">
        <v>2</v>
      </c>
      <c r="T974">
        <v>4</v>
      </c>
      <c r="U974">
        <v>1</v>
      </c>
      <c r="V974" s="1">
        <v>45027</v>
      </c>
      <c r="W974" t="s">
        <v>62</v>
      </c>
      <c r="X974" t="s">
        <v>42</v>
      </c>
      <c r="Y974" t="s">
        <v>73</v>
      </c>
      <c r="Z974">
        <v>3</v>
      </c>
      <c r="AA974">
        <v>416.76</v>
      </c>
      <c r="AB974">
        <v>49</v>
      </c>
    </row>
    <row r="975" spans="1:28" x14ac:dyDescent="0.2">
      <c r="A975">
        <v>1473</v>
      </c>
      <c r="B975" s="1">
        <v>44099</v>
      </c>
      <c r="C975" t="s">
        <v>106</v>
      </c>
      <c r="D975" t="s">
        <v>44</v>
      </c>
      <c r="E975" t="s">
        <v>30</v>
      </c>
      <c r="F975" t="s">
        <v>31</v>
      </c>
      <c r="G975" t="s">
        <v>56</v>
      </c>
      <c r="H975" t="s">
        <v>55</v>
      </c>
      <c r="I975" t="s">
        <v>34</v>
      </c>
      <c r="J975" t="s">
        <v>70</v>
      </c>
      <c r="K975" s="2">
        <v>15620</v>
      </c>
      <c r="L975" t="s">
        <v>36</v>
      </c>
      <c r="M975" t="s">
        <v>37</v>
      </c>
      <c r="N975" t="s">
        <v>72</v>
      </c>
      <c r="O975" t="s">
        <v>77</v>
      </c>
      <c r="P975" t="s">
        <v>78</v>
      </c>
      <c r="Q975">
        <v>3</v>
      </c>
      <c r="R975" s="2">
        <v>44906</v>
      </c>
      <c r="S975">
        <v>5</v>
      </c>
      <c r="T975">
        <v>2</v>
      </c>
      <c r="U975">
        <v>1</v>
      </c>
      <c r="V975" s="1">
        <v>44968</v>
      </c>
      <c r="W975" t="s">
        <v>41</v>
      </c>
      <c r="X975" t="s">
        <v>51</v>
      </c>
      <c r="Y975" t="s">
        <v>73</v>
      </c>
      <c r="Z975">
        <v>4</v>
      </c>
      <c r="AA975">
        <v>336.08</v>
      </c>
      <c r="AB975">
        <v>78</v>
      </c>
    </row>
    <row r="976" spans="1:28" x14ac:dyDescent="0.2">
      <c r="A976">
        <v>1474</v>
      </c>
      <c r="B976" s="1">
        <v>44958</v>
      </c>
      <c r="C976" t="s">
        <v>106</v>
      </c>
      <c r="D976" t="s">
        <v>87</v>
      </c>
      <c r="E976" t="s">
        <v>108</v>
      </c>
      <c r="F976" t="s">
        <v>55</v>
      </c>
      <c r="G976" t="s">
        <v>32</v>
      </c>
      <c r="H976" t="s">
        <v>46</v>
      </c>
      <c r="I976" t="s">
        <v>34</v>
      </c>
      <c r="J976" t="s">
        <v>79</v>
      </c>
      <c r="K976" s="2">
        <v>15535</v>
      </c>
      <c r="L976" t="s">
        <v>36</v>
      </c>
      <c r="M976" t="s">
        <v>37</v>
      </c>
      <c r="N976" t="s">
        <v>49</v>
      </c>
      <c r="O976" t="s">
        <v>67</v>
      </c>
      <c r="P976" t="s">
        <v>78</v>
      </c>
      <c r="Q976">
        <v>3</v>
      </c>
      <c r="R976" s="2">
        <v>44826</v>
      </c>
      <c r="S976">
        <v>2</v>
      </c>
      <c r="T976">
        <v>1</v>
      </c>
      <c r="U976">
        <v>3</v>
      </c>
      <c r="V976" s="1">
        <v>44976</v>
      </c>
      <c r="W976" t="s">
        <v>62</v>
      </c>
      <c r="X976" t="s">
        <v>51</v>
      </c>
      <c r="Y976" t="s">
        <v>43</v>
      </c>
      <c r="Z976">
        <v>1</v>
      </c>
      <c r="AA976">
        <v>798.37</v>
      </c>
      <c r="AB976">
        <v>81</v>
      </c>
    </row>
    <row r="977" spans="1:28" x14ac:dyDescent="0.2">
      <c r="A977">
        <v>1475</v>
      </c>
      <c r="B977" s="1">
        <v>44943</v>
      </c>
      <c r="C977" t="s">
        <v>106</v>
      </c>
      <c r="D977" t="s">
        <v>64</v>
      </c>
      <c r="E977" t="s">
        <v>30</v>
      </c>
      <c r="F977" t="s">
        <v>55</v>
      </c>
      <c r="G977" t="s">
        <v>45</v>
      </c>
      <c r="H977" t="s">
        <v>33</v>
      </c>
      <c r="I977" t="s">
        <v>34</v>
      </c>
      <c r="J977" t="s">
        <v>101</v>
      </c>
      <c r="K977" s="2">
        <v>34200</v>
      </c>
      <c r="L977" t="s">
        <v>36</v>
      </c>
      <c r="M977" t="s">
        <v>48</v>
      </c>
      <c r="N977" t="s">
        <v>60</v>
      </c>
      <c r="O977" t="s">
        <v>67</v>
      </c>
      <c r="P977" t="s">
        <v>78</v>
      </c>
      <c r="Q977">
        <v>3</v>
      </c>
      <c r="R977" s="2">
        <v>45132</v>
      </c>
      <c r="S977">
        <v>2</v>
      </c>
      <c r="T977">
        <v>3</v>
      </c>
      <c r="U977">
        <v>3</v>
      </c>
      <c r="V977" s="1">
        <v>44869</v>
      </c>
      <c r="W977" t="s">
        <v>68</v>
      </c>
      <c r="X977" t="s">
        <v>42</v>
      </c>
      <c r="Y977" t="s">
        <v>73</v>
      </c>
      <c r="Z977">
        <v>3</v>
      </c>
      <c r="AA977">
        <v>499.48</v>
      </c>
      <c r="AB977">
        <v>30</v>
      </c>
    </row>
    <row r="978" spans="1:28" x14ac:dyDescent="0.2">
      <c r="A978">
        <v>1476</v>
      </c>
      <c r="B978" s="1">
        <v>43806</v>
      </c>
      <c r="C978" t="s">
        <v>106</v>
      </c>
      <c r="D978" t="s">
        <v>94</v>
      </c>
      <c r="E978" t="s">
        <v>108</v>
      </c>
      <c r="F978" t="s">
        <v>31</v>
      </c>
      <c r="G978" t="s">
        <v>32</v>
      </c>
      <c r="H978" t="s">
        <v>46</v>
      </c>
      <c r="I978" t="s">
        <v>34</v>
      </c>
      <c r="J978" t="s">
        <v>70</v>
      </c>
      <c r="K978" s="2">
        <v>22957</v>
      </c>
      <c r="L978" t="s">
        <v>36</v>
      </c>
      <c r="M978" t="s">
        <v>48</v>
      </c>
      <c r="N978" t="s">
        <v>60</v>
      </c>
      <c r="O978" t="s">
        <v>77</v>
      </c>
      <c r="P978" t="s">
        <v>107</v>
      </c>
      <c r="Q978">
        <v>3</v>
      </c>
      <c r="R978" s="2">
        <v>44916</v>
      </c>
      <c r="S978">
        <v>1</v>
      </c>
      <c r="T978">
        <v>4</v>
      </c>
      <c r="U978">
        <v>1</v>
      </c>
      <c r="V978" s="1">
        <v>44993</v>
      </c>
      <c r="W978" t="s">
        <v>68</v>
      </c>
      <c r="X978" t="s">
        <v>51</v>
      </c>
      <c r="Y978" t="s">
        <v>63</v>
      </c>
      <c r="Z978">
        <v>2</v>
      </c>
      <c r="AA978">
        <v>615.32000000000005</v>
      </c>
      <c r="AB978">
        <v>57</v>
      </c>
    </row>
    <row r="979" spans="1:28" x14ac:dyDescent="0.2">
      <c r="A979">
        <v>1477</v>
      </c>
      <c r="B979" s="1">
        <v>43425</v>
      </c>
      <c r="C979" t="s">
        <v>28</v>
      </c>
      <c r="D979" t="s">
        <v>29</v>
      </c>
      <c r="E979" t="s">
        <v>30</v>
      </c>
      <c r="F979" t="s">
        <v>31</v>
      </c>
      <c r="G979" t="s">
        <v>56</v>
      </c>
      <c r="H979" t="s">
        <v>55</v>
      </c>
      <c r="I979" t="s">
        <v>34</v>
      </c>
      <c r="J979" t="s">
        <v>101</v>
      </c>
      <c r="K979" s="2">
        <v>23266</v>
      </c>
      <c r="L979" t="s">
        <v>36</v>
      </c>
      <c r="M979" t="s">
        <v>37</v>
      </c>
      <c r="N979" t="s">
        <v>84</v>
      </c>
      <c r="O979" t="s">
        <v>67</v>
      </c>
      <c r="P979" t="s">
        <v>78</v>
      </c>
      <c r="Q979">
        <v>3</v>
      </c>
      <c r="R979" s="2">
        <v>44981</v>
      </c>
      <c r="S979">
        <v>5</v>
      </c>
      <c r="T979">
        <v>5</v>
      </c>
      <c r="U979">
        <v>3</v>
      </c>
      <c r="V979" s="1">
        <v>44997</v>
      </c>
      <c r="W979" t="s">
        <v>68</v>
      </c>
      <c r="X979" t="s">
        <v>51</v>
      </c>
      <c r="Y979" t="s">
        <v>43</v>
      </c>
      <c r="Z979">
        <v>5</v>
      </c>
      <c r="AA979">
        <v>410.36</v>
      </c>
      <c r="AB979">
        <v>55</v>
      </c>
    </row>
    <row r="980" spans="1:28" x14ac:dyDescent="0.2">
      <c r="A980">
        <v>1478</v>
      </c>
      <c r="B980" s="1">
        <v>44242</v>
      </c>
      <c r="C980" t="s">
        <v>28</v>
      </c>
      <c r="D980" t="s">
        <v>85</v>
      </c>
      <c r="E980" t="s">
        <v>30</v>
      </c>
      <c r="F980" t="s">
        <v>46</v>
      </c>
      <c r="G980" t="s">
        <v>56</v>
      </c>
      <c r="H980" t="s">
        <v>46</v>
      </c>
      <c r="I980" t="s">
        <v>34</v>
      </c>
      <c r="J980" t="s">
        <v>70</v>
      </c>
      <c r="K980" s="2">
        <v>19623</v>
      </c>
      <c r="L980" t="s">
        <v>36</v>
      </c>
      <c r="M980" t="s">
        <v>37</v>
      </c>
      <c r="N980" t="s">
        <v>60</v>
      </c>
      <c r="O980" t="s">
        <v>77</v>
      </c>
      <c r="P980" t="s">
        <v>78</v>
      </c>
      <c r="Q980">
        <v>3</v>
      </c>
      <c r="R980" s="2">
        <v>44887</v>
      </c>
      <c r="S980">
        <v>1</v>
      </c>
      <c r="T980">
        <v>1</v>
      </c>
      <c r="U980">
        <v>3</v>
      </c>
      <c r="V980" s="1">
        <v>45141</v>
      </c>
      <c r="W980" t="s">
        <v>41</v>
      </c>
      <c r="X980" t="s">
        <v>51</v>
      </c>
      <c r="Y980" t="s">
        <v>43</v>
      </c>
      <c r="Z980">
        <v>5</v>
      </c>
      <c r="AA980">
        <v>453.86</v>
      </c>
      <c r="AB980">
        <v>68</v>
      </c>
    </row>
    <row r="981" spans="1:28" x14ac:dyDescent="0.2">
      <c r="A981">
        <v>1479</v>
      </c>
      <c r="B981" s="1">
        <v>44202</v>
      </c>
      <c r="C981" t="s">
        <v>28</v>
      </c>
      <c r="D981" t="s">
        <v>44</v>
      </c>
      <c r="E981" t="s">
        <v>30</v>
      </c>
      <c r="F981" t="s">
        <v>46</v>
      </c>
      <c r="G981" t="s">
        <v>56</v>
      </c>
      <c r="H981" t="s">
        <v>55</v>
      </c>
      <c r="I981" t="s">
        <v>34</v>
      </c>
      <c r="J981" t="s">
        <v>96</v>
      </c>
      <c r="K981" s="2">
        <v>18966</v>
      </c>
      <c r="L981" t="s">
        <v>36</v>
      </c>
      <c r="M981" t="s">
        <v>37</v>
      </c>
      <c r="N981" t="s">
        <v>38</v>
      </c>
      <c r="O981" t="s">
        <v>67</v>
      </c>
      <c r="P981" t="s">
        <v>78</v>
      </c>
      <c r="Q981">
        <v>3</v>
      </c>
      <c r="R981" s="2">
        <v>44796</v>
      </c>
      <c r="S981">
        <v>3</v>
      </c>
      <c r="T981">
        <v>4</v>
      </c>
      <c r="U981">
        <v>2</v>
      </c>
      <c r="V981" s="1">
        <v>44949</v>
      </c>
      <c r="W981" t="s">
        <v>62</v>
      </c>
      <c r="X981" t="s">
        <v>42</v>
      </c>
      <c r="Y981" t="s">
        <v>43</v>
      </c>
      <c r="Z981">
        <v>1</v>
      </c>
      <c r="AA981">
        <v>975.27</v>
      </c>
      <c r="AB981">
        <v>70</v>
      </c>
    </row>
    <row r="982" spans="1:28" x14ac:dyDescent="0.2">
      <c r="A982">
        <v>1480</v>
      </c>
      <c r="B982" s="1">
        <v>43483</v>
      </c>
      <c r="C982" t="s">
        <v>28</v>
      </c>
      <c r="D982" t="s">
        <v>87</v>
      </c>
      <c r="E982" t="s">
        <v>30</v>
      </c>
      <c r="F982" t="s">
        <v>46</v>
      </c>
      <c r="G982" t="s">
        <v>56</v>
      </c>
      <c r="H982" t="s">
        <v>46</v>
      </c>
      <c r="I982" t="s">
        <v>34</v>
      </c>
      <c r="J982" t="s">
        <v>100</v>
      </c>
      <c r="K982" s="2">
        <v>34451</v>
      </c>
      <c r="L982" t="s">
        <v>36</v>
      </c>
      <c r="M982" t="s">
        <v>48</v>
      </c>
      <c r="N982" t="s">
        <v>72</v>
      </c>
      <c r="O982" t="s">
        <v>67</v>
      </c>
      <c r="P982" t="s">
        <v>98</v>
      </c>
      <c r="Q982">
        <v>3</v>
      </c>
      <c r="R982" s="2">
        <v>44973</v>
      </c>
      <c r="S982">
        <v>5</v>
      </c>
      <c r="T982">
        <v>1</v>
      </c>
      <c r="U982">
        <v>4</v>
      </c>
      <c r="V982" s="1">
        <v>45034</v>
      </c>
      <c r="W982" t="s">
        <v>41</v>
      </c>
      <c r="X982" t="s">
        <v>51</v>
      </c>
      <c r="Y982" t="s">
        <v>43</v>
      </c>
      <c r="Z982">
        <v>2</v>
      </c>
      <c r="AA982">
        <v>946.81</v>
      </c>
      <c r="AB982">
        <v>25</v>
      </c>
    </row>
    <row r="983" spans="1:28" x14ac:dyDescent="0.2">
      <c r="A983">
        <v>1481</v>
      </c>
      <c r="B983" s="1">
        <v>45000</v>
      </c>
      <c r="C983" t="s">
        <v>28</v>
      </c>
      <c r="D983" t="s">
        <v>64</v>
      </c>
      <c r="E983" t="s">
        <v>30</v>
      </c>
      <c r="F983" t="s">
        <v>55</v>
      </c>
      <c r="G983" t="s">
        <v>45</v>
      </c>
      <c r="H983" t="s">
        <v>46</v>
      </c>
      <c r="I983" t="s">
        <v>34</v>
      </c>
      <c r="J983" t="s">
        <v>70</v>
      </c>
      <c r="K983" s="2">
        <v>36716</v>
      </c>
      <c r="L983" t="s">
        <v>36</v>
      </c>
      <c r="M983" t="s">
        <v>48</v>
      </c>
      <c r="N983" t="s">
        <v>84</v>
      </c>
      <c r="O983" t="s">
        <v>61</v>
      </c>
      <c r="P983" t="s">
        <v>78</v>
      </c>
      <c r="Q983">
        <v>3</v>
      </c>
      <c r="R983" s="2">
        <v>45131</v>
      </c>
      <c r="S983">
        <v>3</v>
      </c>
      <c r="T983">
        <v>5</v>
      </c>
      <c r="U983">
        <v>3</v>
      </c>
      <c r="V983" s="1">
        <v>45062</v>
      </c>
      <c r="W983" t="s">
        <v>92</v>
      </c>
      <c r="X983" t="s">
        <v>42</v>
      </c>
      <c r="Y983" t="s">
        <v>63</v>
      </c>
      <c r="Z983">
        <v>5</v>
      </c>
      <c r="AA983">
        <v>142.57</v>
      </c>
      <c r="AB983">
        <v>23</v>
      </c>
    </row>
    <row r="984" spans="1:28" x14ac:dyDescent="0.2">
      <c r="A984">
        <v>1482</v>
      </c>
      <c r="B984" s="1">
        <v>43780</v>
      </c>
      <c r="C984" t="s">
        <v>28</v>
      </c>
      <c r="D984" t="s">
        <v>94</v>
      </c>
      <c r="E984" t="s">
        <v>30</v>
      </c>
      <c r="F984" t="s">
        <v>31</v>
      </c>
      <c r="G984" t="s">
        <v>32</v>
      </c>
      <c r="H984" t="s">
        <v>33</v>
      </c>
      <c r="I984" t="s">
        <v>34</v>
      </c>
      <c r="J984" t="s">
        <v>35</v>
      </c>
      <c r="K984" s="2">
        <v>19026</v>
      </c>
      <c r="L984" t="s">
        <v>36</v>
      </c>
      <c r="M984" t="s">
        <v>37</v>
      </c>
      <c r="N984" t="s">
        <v>84</v>
      </c>
      <c r="O984" t="s">
        <v>39</v>
      </c>
      <c r="P984" t="s">
        <v>78</v>
      </c>
      <c r="Q984">
        <v>3</v>
      </c>
      <c r="R984" s="2">
        <v>45039</v>
      </c>
      <c r="S984">
        <v>1</v>
      </c>
      <c r="T984">
        <v>1</v>
      </c>
      <c r="U984">
        <v>1</v>
      </c>
      <c r="V984" s="1">
        <v>44847</v>
      </c>
      <c r="W984" t="s">
        <v>50</v>
      </c>
      <c r="X984" t="s">
        <v>42</v>
      </c>
      <c r="Y984" t="s">
        <v>63</v>
      </c>
      <c r="Z984">
        <v>5</v>
      </c>
      <c r="AA984">
        <v>186.57</v>
      </c>
      <c r="AB984">
        <v>67</v>
      </c>
    </row>
    <row r="985" spans="1:28" x14ac:dyDescent="0.2">
      <c r="A985">
        <v>1483</v>
      </c>
      <c r="B985" s="1">
        <v>44794</v>
      </c>
      <c r="C985" t="s">
        <v>28</v>
      </c>
      <c r="D985" t="s">
        <v>74</v>
      </c>
      <c r="E985" t="s">
        <v>30</v>
      </c>
      <c r="F985" t="s">
        <v>55</v>
      </c>
      <c r="G985" t="s">
        <v>45</v>
      </c>
      <c r="H985" t="s">
        <v>55</v>
      </c>
      <c r="I985" t="s">
        <v>34</v>
      </c>
      <c r="J985" t="s">
        <v>100</v>
      </c>
      <c r="K985" s="2">
        <v>22569</v>
      </c>
      <c r="L985" t="s">
        <v>36</v>
      </c>
      <c r="M985" t="s">
        <v>37</v>
      </c>
      <c r="N985" t="s">
        <v>49</v>
      </c>
      <c r="O985" t="s">
        <v>61</v>
      </c>
      <c r="P985" t="s">
        <v>78</v>
      </c>
      <c r="Q985">
        <v>3</v>
      </c>
      <c r="R985" s="2">
        <v>44792</v>
      </c>
      <c r="S985">
        <v>3</v>
      </c>
      <c r="T985">
        <v>5</v>
      </c>
      <c r="U985">
        <v>4</v>
      </c>
      <c r="V985" s="1">
        <v>44795</v>
      </c>
      <c r="W985" t="s">
        <v>92</v>
      </c>
      <c r="X985" t="s">
        <v>51</v>
      </c>
      <c r="Y985" t="s">
        <v>52</v>
      </c>
      <c r="Z985">
        <v>4</v>
      </c>
      <c r="AA985">
        <v>168.71</v>
      </c>
      <c r="AB985">
        <v>61</v>
      </c>
    </row>
    <row r="986" spans="1:28" x14ac:dyDescent="0.2">
      <c r="A986">
        <v>1484</v>
      </c>
      <c r="B986" s="1">
        <v>43956</v>
      </c>
      <c r="C986" t="s">
        <v>28</v>
      </c>
      <c r="D986" t="s">
        <v>81</v>
      </c>
      <c r="E986" t="s">
        <v>30</v>
      </c>
      <c r="F986" t="s">
        <v>55</v>
      </c>
      <c r="G986" t="s">
        <v>56</v>
      </c>
      <c r="H986" t="s">
        <v>55</v>
      </c>
      <c r="I986" t="s">
        <v>34</v>
      </c>
      <c r="J986" t="s">
        <v>65</v>
      </c>
      <c r="K986" s="2">
        <v>33421</v>
      </c>
      <c r="L986" t="s">
        <v>36</v>
      </c>
      <c r="M986" t="s">
        <v>37</v>
      </c>
      <c r="N986" t="s">
        <v>49</v>
      </c>
      <c r="O986" t="s">
        <v>67</v>
      </c>
      <c r="P986" t="s">
        <v>78</v>
      </c>
      <c r="Q986">
        <v>3</v>
      </c>
      <c r="R986" s="2">
        <v>44920</v>
      </c>
      <c r="S986">
        <v>5</v>
      </c>
      <c r="T986">
        <v>2</v>
      </c>
      <c r="U986">
        <v>1</v>
      </c>
      <c r="V986" s="1">
        <v>45136</v>
      </c>
      <c r="W986" t="s">
        <v>92</v>
      </c>
      <c r="X986" t="s">
        <v>51</v>
      </c>
      <c r="Y986" t="s">
        <v>52</v>
      </c>
      <c r="Z986">
        <v>1</v>
      </c>
      <c r="AA986">
        <v>473.77</v>
      </c>
      <c r="AB986">
        <v>29</v>
      </c>
    </row>
    <row r="987" spans="1:28" x14ac:dyDescent="0.2">
      <c r="A987">
        <v>1485</v>
      </c>
      <c r="B987" s="1">
        <v>44260</v>
      </c>
      <c r="C987" t="s">
        <v>28</v>
      </c>
      <c r="D987" t="s">
        <v>54</v>
      </c>
      <c r="E987" t="s">
        <v>30</v>
      </c>
      <c r="F987" t="s">
        <v>31</v>
      </c>
      <c r="G987" t="s">
        <v>45</v>
      </c>
      <c r="H987" t="s">
        <v>46</v>
      </c>
      <c r="I987" t="s">
        <v>34</v>
      </c>
      <c r="J987" t="s">
        <v>47</v>
      </c>
      <c r="K987" s="2">
        <v>26283</v>
      </c>
      <c r="L987" t="s">
        <v>36</v>
      </c>
      <c r="M987" t="s">
        <v>37</v>
      </c>
      <c r="N987" t="s">
        <v>84</v>
      </c>
      <c r="O987" t="s">
        <v>67</v>
      </c>
      <c r="P987" t="s">
        <v>78</v>
      </c>
      <c r="Q987">
        <v>3</v>
      </c>
      <c r="R987" s="2">
        <v>44909</v>
      </c>
      <c r="S987">
        <v>1</v>
      </c>
      <c r="T987">
        <v>2</v>
      </c>
      <c r="U987">
        <v>1</v>
      </c>
      <c r="V987" s="1">
        <v>45109</v>
      </c>
      <c r="W987" t="s">
        <v>41</v>
      </c>
      <c r="X987" t="s">
        <v>51</v>
      </c>
      <c r="Y987" t="s">
        <v>63</v>
      </c>
      <c r="Z987">
        <v>5</v>
      </c>
      <c r="AA987">
        <v>654.35</v>
      </c>
      <c r="AB987">
        <v>50</v>
      </c>
    </row>
    <row r="988" spans="1:28" x14ac:dyDescent="0.2">
      <c r="A988">
        <v>1486</v>
      </c>
      <c r="B988" s="1">
        <v>43531</v>
      </c>
      <c r="C988" t="s">
        <v>28</v>
      </c>
      <c r="D988" t="s">
        <v>69</v>
      </c>
      <c r="E988" t="s">
        <v>30</v>
      </c>
      <c r="F988" t="s">
        <v>46</v>
      </c>
      <c r="G988" t="s">
        <v>45</v>
      </c>
      <c r="H988" t="s">
        <v>55</v>
      </c>
      <c r="I988" t="s">
        <v>34</v>
      </c>
      <c r="J988" t="s">
        <v>79</v>
      </c>
      <c r="K988" s="2">
        <v>36293</v>
      </c>
      <c r="L988" t="s">
        <v>36</v>
      </c>
      <c r="M988" t="s">
        <v>37</v>
      </c>
      <c r="N988" t="s">
        <v>49</v>
      </c>
      <c r="O988" t="s">
        <v>77</v>
      </c>
      <c r="P988" t="s">
        <v>40</v>
      </c>
      <c r="Q988">
        <v>3</v>
      </c>
      <c r="R988" s="2">
        <v>44990</v>
      </c>
      <c r="S988">
        <v>5</v>
      </c>
      <c r="T988">
        <v>5</v>
      </c>
      <c r="U988">
        <v>2</v>
      </c>
      <c r="V988" s="1">
        <v>45076</v>
      </c>
      <c r="W988" t="s">
        <v>50</v>
      </c>
      <c r="X988" t="s">
        <v>42</v>
      </c>
      <c r="Y988" t="s">
        <v>52</v>
      </c>
      <c r="Z988">
        <v>2</v>
      </c>
      <c r="AA988">
        <v>176.63</v>
      </c>
      <c r="AB988">
        <v>20</v>
      </c>
    </row>
    <row r="989" spans="1:28" x14ac:dyDescent="0.2">
      <c r="A989">
        <v>1487</v>
      </c>
      <c r="B989" s="1">
        <v>44689</v>
      </c>
      <c r="C989" t="s">
        <v>28</v>
      </c>
      <c r="D989" t="s">
        <v>29</v>
      </c>
      <c r="E989" t="s">
        <v>30</v>
      </c>
      <c r="F989" t="s">
        <v>55</v>
      </c>
      <c r="G989" t="s">
        <v>56</v>
      </c>
      <c r="H989" t="s">
        <v>46</v>
      </c>
      <c r="I989" t="s">
        <v>34</v>
      </c>
      <c r="J989" t="s">
        <v>65</v>
      </c>
      <c r="K989" s="2">
        <v>26173</v>
      </c>
      <c r="L989" t="s">
        <v>36</v>
      </c>
      <c r="M989" t="s">
        <v>37</v>
      </c>
      <c r="N989" t="s">
        <v>84</v>
      </c>
      <c r="O989" t="s">
        <v>39</v>
      </c>
      <c r="P989" t="s">
        <v>40</v>
      </c>
      <c r="Q989">
        <v>3</v>
      </c>
      <c r="R989" s="2">
        <v>45066</v>
      </c>
      <c r="S989">
        <v>4</v>
      </c>
      <c r="T989">
        <v>4</v>
      </c>
      <c r="U989">
        <v>2</v>
      </c>
      <c r="V989" s="1">
        <v>44781</v>
      </c>
      <c r="W989" t="s">
        <v>50</v>
      </c>
      <c r="X989" t="s">
        <v>51</v>
      </c>
      <c r="Y989" t="s">
        <v>43</v>
      </c>
      <c r="Z989">
        <v>3</v>
      </c>
      <c r="AA989">
        <v>385.82</v>
      </c>
      <c r="AB989">
        <v>51</v>
      </c>
    </row>
    <row r="990" spans="1:28" x14ac:dyDescent="0.2">
      <c r="A990">
        <v>1489</v>
      </c>
      <c r="B990" s="1">
        <v>44166</v>
      </c>
      <c r="C990" t="s">
        <v>28</v>
      </c>
      <c r="D990" t="s">
        <v>44</v>
      </c>
      <c r="E990" t="s">
        <v>30</v>
      </c>
      <c r="F990" t="s">
        <v>31</v>
      </c>
      <c r="G990" t="s">
        <v>45</v>
      </c>
      <c r="H990" t="s">
        <v>46</v>
      </c>
      <c r="I990" t="s">
        <v>34</v>
      </c>
      <c r="J990" t="s">
        <v>97</v>
      </c>
      <c r="K990" s="2">
        <v>16303</v>
      </c>
      <c r="L990" t="s">
        <v>36</v>
      </c>
      <c r="M990" t="s">
        <v>37</v>
      </c>
      <c r="N990" t="s">
        <v>38</v>
      </c>
      <c r="O990" t="s">
        <v>39</v>
      </c>
      <c r="P990" t="s">
        <v>40</v>
      </c>
      <c r="Q990">
        <v>3</v>
      </c>
      <c r="R990" s="2">
        <v>44847</v>
      </c>
      <c r="S990">
        <v>3</v>
      </c>
      <c r="T990">
        <v>5</v>
      </c>
      <c r="U990">
        <v>2</v>
      </c>
      <c r="V990" s="1">
        <v>44835</v>
      </c>
      <c r="W990" t="s">
        <v>41</v>
      </c>
      <c r="X990" t="s">
        <v>51</v>
      </c>
      <c r="Y990" t="s">
        <v>63</v>
      </c>
      <c r="Z990">
        <v>5</v>
      </c>
      <c r="AA990">
        <v>112.64</v>
      </c>
      <c r="AB990">
        <v>76</v>
      </c>
    </row>
    <row r="991" spans="1:28" x14ac:dyDescent="0.2">
      <c r="A991">
        <v>1490</v>
      </c>
      <c r="B991" s="1">
        <v>43690</v>
      </c>
      <c r="C991" t="s">
        <v>28</v>
      </c>
      <c r="D991" t="s">
        <v>87</v>
      </c>
      <c r="E991" t="s">
        <v>30</v>
      </c>
      <c r="F991" t="s">
        <v>31</v>
      </c>
      <c r="G991" t="s">
        <v>45</v>
      </c>
      <c r="H991" t="s">
        <v>33</v>
      </c>
      <c r="I991" t="s">
        <v>34</v>
      </c>
      <c r="J991" t="s">
        <v>79</v>
      </c>
      <c r="K991" s="2">
        <v>25650</v>
      </c>
      <c r="L991" t="s">
        <v>36</v>
      </c>
      <c r="M991" t="s">
        <v>37</v>
      </c>
      <c r="N991" t="s">
        <v>38</v>
      </c>
      <c r="O991" t="s">
        <v>39</v>
      </c>
      <c r="P991" t="s">
        <v>98</v>
      </c>
      <c r="Q991">
        <v>3</v>
      </c>
      <c r="R991" s="2">
        <v>44991</v>
      </c>
      <c r="S991">
        <v>2</v>
      </c>
      <c r="T991">
        <v>3</v>
      </c>
      <c r="U991">
        <v>4</v>
      </c>
      <c r="V991" s="1">
        <v>45130</v>
      </c>
      <c r="W991" t="s">
        <v>92</v>
      </c>
      <c r="X991" t="s">
        <v>51</v>
      </c>
      <c r="Y991" t="s">
        <v>52</v>
      </c>
      <c r="Z991">
        <v>4</v>
      </c>
      <c r="AA991">
        <v>849.95</v>
      </c>
      <c r="AB991">
        <v>49</v>
      </c>
    </row>
    <row r="992" spans="1:28" x14ac:dyDescent="0.2">
      <c r="A992">
        <v>1491</v>
      </c>
      <c r="B992" s="1">
        <v>43899</v>
      </c>
      <c r="C992" t="s">
        <v>28</v>
      </c>
      <c r="D992" t="s">
        <v>64</v>
      </c>
      <c r="E992" t="s">
        <v>30</v>
      </c>
      <c r="F992" t="s">
        <v>46</v>
      </c>
      <c r="G992" t="s">
        <v>32</v>
      </c>
      <c r="H992" t="s">
        <v>33</v>
      </c>
      <c r="I992" t="s">
        <v>34</v>
      </c>
      <c r="J992" t="s">
        <v>96</v>
      </c>
      <c r="K992" s="2">
        <v>30009</v>
      </c>
      <c r="L992" t="s">
        <v>36</v>
      </c>
      <c r="M992" t="s">
        <v>37</v>
      </c>
      <c r="N992" t="s">
        <v>49</v>
      </c>
      <c r="O992" t="s">
        <v>67</v>
      </c>
      <c r="P992" t="s">
        <v>78</v>
      </c>
      <c r="Q992">
        <v>3</v>
      </c>
      <c r="R992" s="2">
        <v>45014</v>
      </c>
      <c r="S992">
        <v>1</v>
      </c>
      <c r="T992">
        <v>3</v>
      </c>
      <c r="U992">
        <v>3</v>
      </c>
      <c r="V992" s="1">
        <v>44783</v>
      </c>
      <c r="W992" t="s">
        <v>68</v>
      </c>
      <c r="X992" t="s">
        <v>51</v>
      </c>
      <c r="Y992" t="s">
        <v>43</v>
      </c>
      <c r="Z992">
        <v>5</v>
      </c>
      <c r="AA992">
        <v>187.65</v>
      </c>
      <c r="AB992">
        <v>38</v>
      </c>
    </row>
    <row r="993" spans="1:28" x14ac:dyDescent="0.2">
      <c r="A993">
        <v>1492</v>
      </c>
      <c r="B993" s="1">
        <v>43957</v>
      </c>
      <c r="C993" t="s">
        <v>106</v>
      </c>
      <c r="D993" t="s">
        <v>29</v>
      </c>
      <c r="E993" t="s">
        <v>30</v>
      </c>
      <c r="F993" t="s">
        <v>55</v>
      </c>
      <c r="G993" t="s">
        <v>56</v>
      </c>
      <c r="H993" t="s">
        <v>33</v>
      </c>
      <c r="I993" t="s">
        <v>34</v>
      </c>
      <c r="J993" t="s">
        <v>79</v>
      </c>
      <c r="K993" s="2">
        <v>20431</v>
      </c>
      <c r="L993" t="s">
        <v>36</v>
      </c>
      <c r="M993" t="s">
        <v>48</v>
      </c>
      <c r="N993" t="s">
        <v>60</v>
      </c>
      <c r="O993" t="s">
        <v>77</v>
      </c>
      <c r="P993" t="s">
        <v>78</v>
      </c>
      <c r="Q993">
        <v>3</v>
      </c>
      <c r="R993" s="2">
        <v>45033</v>
      </c>
      <c r="S993">
        <v>4</v>
      </c>
      <c r="T993">
        <v>5</v>
      </c>
      <c r="U993">
        <v>2</v>
      </c>
      <c r="V993" s="1">
        <v>44920</v>
      </c>
      <c r="W993" t="s">
        <v>50</v>
      </c>
      <c r="X993" t="s">
        <v>42</v>
      </c>
      <c r="Y993" t="s">
        <v>43</v>
      </c>
      <c r="Z993">
        <v>1</v>
      </c>
      <c r="AA993">
        <v>285.56</v>
      </c>
      <c r="AB993">
        <v>65</v>
      </c>
    </row>
    <row r="994" spans="1:28" x14ac:dyDescent="0.2">
      <c r="A994">
        <v>1493</v>
      </c>
      <c r="B994" s="1">
        <v>44776</v>
      </c>
      <c r="C994" t="s">
        <v>106</v>
      </c>
      <c r="D994" t="s">
        <v>85</v>
      </c>
      <c r="E994" t="s">
        <v>30</v>
      </c>
      <c r="F994" t="s">
        <v>55</v>
      </c>
      <c r="G994" t="s">
        <v>56</v>
      </c>
      <c r="H994" t="s">
        <v>33</v>
      </c>
      <c r="I994" t="s">
        <v>34</v>
      </c>
      <c r="J994" t="s">
        <v>70</v>
      </c>
      <c r="K994" s="2">
        <v>29421</v>
      </c>
      <c r="L994" t="s">
        <v>36</v>
      </c>
      <c r="M994" t="s">
        <v>48</v>
      </c>
      <c r="N994" t="s">
        <v>72</v>
      </c>
      <c r="O994" t="s">
        <v>67</v>
      </c>
      <c r="P994" t="s">
        <v>40</v>
      </c>
      <c r="Q994">
        <v>3</v>
      </c>
      <c r="R994" s="2">
        <v>44901</v>
      </c>
      <c r="S994">
        <v>2</v>
      </c>
      <c r="T994">
        <v>2</v>
      </c>
      <c r="U994">
        <v>4</v>
      </c>
      <c r="V994" s="1">
        <v>44843</v>
      </c>
      <c r="W994" t="s">
        <v>92</v>
      </c>
      <c r="X994" t="s">
        <v>42</v>
      </c>
      <c r="Y994" t="s">
        <v>52</v>
      </c>
      <c r="Z994">
        <v>3</v>
      </c>
      <c r="AA994">
        <v>793.43</v>
      </c>
      <c r="AB994">
        <v>42</v>
      </c>
    </row>
    <row r="995" spans="1:28" x14ac:dyDescent="0.2">
      <c r="A995">
        <v>1494</v>
      </c>
      <c r="B995" s="1">
        <v>43386</v>
      </c>
      <c r="C995" t="s">
        <v>106</v>
      </c>
      <c r="D995" t="s">
        <v>44</v>
      </c>
      <c r="E995" t="s">
        <v>108</v>
      </c>
      <c r="F995" t="s">
        <v>31</v>
      </c>
      <c r="G995" t="s">
        <v>56</v>
      </c>
      <c r="H995" t="s">
        <v>55</v>
      </c>
      <c r="I995" t="s">
        <v>34</v>
      </c>
      <c r="J995" t="s">
        <v>89</v>
      </c>
      <c r="K995" s="2">
        <v>17969</v>
      </c>
      <c r="L995" t="s">
        <v>36</v>
      </c>
      <c r="M995" t="s">
        <v>37</v>
      </c>
      <c r="N995" t="s">
        <v>49</v>
      </c>
      <c r="O995" t="s">
        <v>77</v>
      </c>
      <c r="P995" t="s">
        <v>40</v>
      </c>
      <c r="Q995">
        <v>3</v>
      </c>
      <c r="R995" s="2">
        <v>45052</v>
      </c>
      <c r="S995">
        <v>5</v>
      </c>
      <c r="T995">
        <v>5</v>
      </c>
      <c r="U995">
        <v>5</v>
      </c>
      <c r="V995" s="1">
        <v>44958</v>
      </c>
      <c r="W995" t="s">
        <v>50</v>
      </c>
      <c r="X995" t="s">
        <v>51</v>
      </c>
      <c r="Y995" t="s">
        <v>73</v>
      </c>
      <c r="Z995">
        <v>5</v>
      </c>
      <c r="AA995">
        <v>978.89</v>
      </c>
      <c r="AB995">
        <v>69</v>
      </c>
    </row>
    <row r="996" spans="1:28" x14ac:dyDescent="0.2">
      <c r="A996">
        <v>1495</v>
      </c>
      <c r="B996" s="1">
        <v>44381</v>
      </c>
      <c r="C996" t="s">
        <v>106</v>
      </c>
      <c r="D996" t="s">
        <v>87</v>
      </c>
      <c r="E996" t="s">
        <v>30</v>
      </c>
      <c r="F996" t="s">
        <v>46</v>
      </c>
      <c r="G996" t="s">
        <v>45</v>
      </c>
      <c r="H996" t="s">
        <v>33</v>
      </c>
      <c r="I996" t="s">
        <v>34</v>
      </c>
      <c r="J996" t="s">
        <v>65</v>
      </c>
      <c r="K996" s="2">
        <v>25944</v>
      </c>
      <c r="L996" t="s">
        <v>36</v>
      </c>
      <c r="M996" t="s">
        <v>48</v>
      </c>
      <c r="N996" t="s">
        <v>49</v>
      </c>
      <c r="O996" t="s">
        <v>61</v>
      </c>
      <c r="P996" t="s">
        <v>40</v>
      </c>
      <c r="Q996">
        <v>3</v>
      </c>
      <c r="R996" s="2">
        <v>44925</v>
      </c>
      <c r="S996">
        <v>3</v>
      </c>
      <c r="T996">
        <v>3</v>
      </c>
      <c r="U996">
        <v>4</v>
      </c>
      <c r="V996" s="1">
        <v>44982</v>
      </c>
      <c r="W996" t="s">
        <v>50</v>
      </c>
      <c r="X996" t="s">
        <v>42</v>
      </c>
      <c r="Y996" t="s">
        <v>63</v>
      </c>
      <c r="Z996">
        <v>4</v>
      </c>
      <c r="AA996">
        <v>993.66</v>
      </c>
      <c r="AB996">
        <v>50</v>
      </c>
    </row>
    <row r="997" spans="1:28" x14ac:dyDescent="0.2">
      <c r="A997">
        <v>1496</v>
      </c>
      <c r="B997" s="1">
        <v>43585</v>
      </c>
      <c r="C997" t="s">
        <v>106</v>
      </c>
      <c r="D997" t="s">
        <v>64</v>
      </c>
      <c r="E997" t="s">
        <v>30</v>
      </c>
      <c r="F997" t="s">
        <v>46</v>
      </c>
      <c r="G997" t="s">
        <v>45</v>
      </c>
      <c r="H997" t="s">
        <v>55</v>
      </c>
      <c r="I997" t="s">
        <v>34</v>
      </c>
      <c r="J997" t="s">
        <v>89</v>
      </c>
      <c r="K997" s="2">
        <v>18561</v>
      </c>
      <c r="L997" t="s">
        <v>36</v>
      </c>
      <c r="M997" t="s">
        <v>48</v>
      </c>
      <c r="N997" t="s">
        <v>38</v>
      </c>
      <c r="O997" t="s">
        <v>39</v>
      </c>
      <c r="P997" t="s">
        <v>40</v>
      </c>
      <c r="Q997">
        <v>3</v>
      </c>
      <c r="R997" s="2">
        <v>45116</v>
      </c>
      <c r="S997">
        <v>2</v>
      </c>
      <c r="T997">
        <v>3</v>
      </c>
      <c r="U997">
        <v>3</v>
      </c>
      <c r="V997" s="1">
        <v>44811</v>
      </c>
      <c r="W997" t="s">
        <v>50</v>
      </c>
      <c r="X997" t="s">
        <v>51</v>
      </c>
      <c r="Y997" t="s">
        <v>63</v>
      </c>
      <c r="Z997">
        <v>3</v>
      </c>
      <c r="AA997">
        <v>768.55</v>
      </c>
      <c r="AB997">
        <v>69</v>
      </c>
    </row>
    <row r="998" spans="1:28" x14ac:dyDescent="0.2">
      <c r="A998">
        <v>1497</v>
      </c>
      <c r="B998" s="1">
        <v>44138</v>
      </c>
      <c r="C998" t="s">
        <v>106</v>
      </c>
      <c r="D998" t="s">
        <v>94</v>
      </c>
      <c r="E998" t="s">
        <v>30</v>
      </c>
      <c r="F998" t="s">
        <v>31</v>
      </c>
      <c r="G998" t="s">
        <v>32</v>
      </c>
      <c r="H998" t="s">
        <v>33</v>
      </c>
      <c r="I998" t="s">
        <v>34</v>
      </c>
      <c r="J998" t="s">
        <v>79</v>
      </c>
      <c r="K998" s="2">
        <v>35044</v>
      </c>
      <c r="L998" t="s">
        <v>36</v>
      </c>
      <c r="M998" t="s">
        <v>48</v>
      </c>
      <c r="N998" t="s">
        <v>72</v>
      </c>
      <c r="O998" t="s">
        <v>39</v>
      </c>
      <c r="P998" t="s">
        <v>98</v>
      </c>
      <c r="Q998">
        <v>3</v>
      </c>
      <c r="R998" s="2">
        <v>45136</v>
      </c>
      <c r="S998">
        <v>5</v>
      </c>
      <c r="T998">
        <v>4</v>
      </c>
      <c r="U998">
        <v>5</v>
      </c>
      <c r="V998" s="1">
        <v>44796</v>
      </c>
      <c r="W998" t="s">
        <v>68</v>
      </c>
      <c r="X998" t="s">
        <v>51</v>
      </c>
      <c r="Y998" t="s">
        <v>63</v>
      </c>
      <c r="Z998">
        <v>3</v>
      </c>
      <c r="AA998">
        <v>140.78</v>
      </c>
      <c r="AB998">
        <v>25</v>
      </c>
    </row>
    <row r="999" spans="1:28" x14ac:dyDescent="0.2">
      <c r="A999">
        <v>1498</v>
      </c>
      <c r="B999" s="1">
        <v>44788</v>
      </c>
      <c r="C999" t="s">
        <v>28</v>
      </c>
      <c r="D999" t="s">
        <v>69</v>
      </c>
      <c r="E999" t="s">
        <v>30</v>
      </c>
      <c r="F999" t="s">
        <v>55</v>
      </c>
      <c r="G999" t="s">
        <v>56</v>
      </c>
      <c r="H999" t="s">
        <v>46</v>
      </c>
      <c r="I999" t="s">
        <v>34</v>
      </c>
      <c r="J999" t="s">
        <v>79</v>
      </c>
      <c r="K999" s="2">
        <v>16155</v>
      </c>
      <c r="L999" t="s">
        <v>36</v>
      </c>
      <c r="M999" t="s">
        <v>37</v>
      </c>
      <c r="N999" t="s">
        <v>72</v>
      </c>
      <c r="O999" t="s">
        <v>67</v>
      </c>
      <c r="P999" t="s">
        <v>78</v>
      </c>
      <c r="Q999">
        <v>3</v>
      </c>
      <c r="R999" s="2">
        <v>44923</v>
      </c>
      <c r="S999">
        <v>1</v>
      </c>
      <c r="T999">
        <v>5</v>
      </c>
      <c r="U999">
        <v>3</v>
      </c>
      <c r="V999" s="1">
        <v>45143</v>
      </c>
      <c r="W999" t="s">
        <v>62</v>
      </c>
      <c r="X999" t="s">
        <v>42</v>
      </c>
      <c r="Y999" t="s">
        <v>73</v>
      </c>
      <c r="Z999">
        <v>3</v>
      </c>
      <c r="AA999">
        <v>598.07000000000005</v>
      </c>
      <c r="AB999">
        <v>78</v>
      </c>
    </row>
    <row r="1000" spans="1:28" x14ac:dyDescent="0.2">
      <c r="A1000">
        <v>1499</v>
      </c>
      <c r="B1000" s="1">
        <v>44618</v>
      </c>
      <c r="C1000" t="s">
        <v>28</v>
      </c>
      <c r="D1000" t="s">
        <v>29</v>
      </c>
      <c r="E1000" t="s">
        <v>30</v>
      </c>
      <c r="F1000" t="s">
        <v>31</v>
      </c>
      <c r="G1000" t="s">
        <v>45</v>
      </c>
      <c r="H1000" t="s">
        <v>55</v>
      </c>
      <c r="I1000" t="s">
        <v>34</v>
      </c>
      <c r="J1000" t="s">
        <v>65</v>
      </c>
      <c r="K1000" s="2">
        <v>27511</v>
      </c>
      <c r="L1000" t="s">
        <v>36</v>
      </c>
      <c r="M1000" t="s">
        <v>37</v>
      </c>
      <c r="N1000" t="s">
        <v>60</v>
      </c>
      <c r="O1000" t="s">
        <v>67</v>
      </c>
      <c r="P1000" t="s">
        <v>40</v>
      </c>
      <c r="Q1000">
        <v>3</v>
      </c>
      <c r="R1000" s="2">
        <v>44893</v>
      </c>
      <c r="S1000">
        <v>4</v>
      </c>
      <c r="T1000">
        <v>2</v>
      </c>
      <c r="U1000">
        <v>3</v>
      </c>
      <c r="V1000" s="1">
        <v>44944</v>
      </c>
      <c r="W1000" t="s">
        <v>50</v>
      </c>
      <c r="X1000" t="s">
        <v>51</v>
      </c>
      <c r="Y1000" t="s">
        <v>52</v>
      </c>
      <c r="Z1000">
        <v>5</v>
      </c>
      <c r="AA1000">
        <v>543.52</v>
      </c>
      <c r="AB1000">
        <v>47</v>
      </c>
    </row>
    <row r="1001" spans="1:28" x14ac:dyDescent="0.2">
      <c r="A1001">
        <v>1500</v>
      </c>
      <c r="B1001" s="1">
        <v>43598</v>
      </c>
      <c r="C1001" t="s">
        <v>28</v>
      </c>
      <c r="D1001" t="s">
        <v>85</v>
      </c>
      <c r="E1001" t="s">
        <v>30</v>
      </c>
      <c r="F1001" t="s">
        <v>46</v>
      </c>
      <c r="G1001" t="s">
        <v>56</v>
      </c>
      <c r="H1001" t="s">
        <v>46</v>
      </c>
      <c r="I1001" t="s">
        <v>34</v>
      </c>
      <c r="J1001" t="s">
        <v>70</v>
      </c>
      <c r="K1001" s="2">
        <v>31080</v>
      </c>
      <c r="L1001" t="s">
        <v>36</v>
      </c>
      <c r="M1001" t="s">
        <v>37</v>
      </c>
      <c r="N1001" t="s">
        <v>49</v>
      </c>
      <c r="O1001" t="s">
        <v>77</v>
      </c>
      <c r="P1001" t="s">
        <v>40</v>
      </c>
      <c r="Q1001">
        <v>3</v>
      </c>
      <c r="R1001" s="2">
        <v>45131</v>
      </c>
      <c r="S1001">
        <v>1</v>
      </c>
      <c r="T1001">
        <v>4</v>
      </c>
      <c r="U1001">
        <v>4</v>
      </c>
      <c r="V1001" s="1">
        <v>44938</v>
      </c>
      <c r="W1001" t="s">
        <v>68</v>
      </c>
      <c r="X1001" t="s">
        <v>42</v>
      </c>
      <c r="Y1001" t="s">
        <v>73</v>
      </c>
      <c r="Z1001">
        <v>2</v>
      </c>
      <c r="AA1001">
        <v>916.73</v>
      </c>
      <c r="AB1001">
        <v>34</v>
      </c>
    </row>
    <row r="1002" spans="1:28" x14ac:dyDescent="0.2">
      <c r="A1002">
        <v>1501</v>
      </c>
      <c r="B1002" s="1">
        <v>44493</v>
      </c>
      <c r="C1002" t="s">
        <v>28</v>
      </c>
      <c r="D1002" t="s">
        <v>44</v>
      </c>
      <c r="E1002" t="s">
        <v>30</v>
      </c>
      <c r="F1002" t="s">
        <v>31</v>
      </c>
      <c r="G1002" t="s">
        <v>45</v>
      </c>
      <c r="H1002" t="s">
        <v>46</v>
      </c>
      <c r="I1002" t="s">
        <v>34</v>
      </c>
      <c r="J1002" t="s">
        <v>70</v>
      </c>
      <c r="K1002" s="2">
        <v>36434</v>
      </c>
      <c r="L1002" t="s">
        <v>36</v>
      </c>
      <c r="M1002" t="s">
        <v>48</v>
      </c>
      <c r="N1002" t="s">
        <v>49</v>
      </c>
      <c r="O1002" t="s">
        <v>39</v>
      </c>
      <c r="P1002" t="s">
        <v>40</v>
      </c>
      <c r="Q1002">
        <v>3</v>
      </c>
      <c r="R1002" s="2">
        <v>45054</v>
      </c>
      <c r="S1002">
        <v>5</v>
      </c>
      <c r="T1002">
        <v>4</v>
      </c>
      <c r="U1002">
        <v>4</v>
      </c>
      <c r="V1002" s="1">
        <v>45136</v>
      </c>
      <c r="W1002" t="s">
        <v>50</v>
      </c>
      <c r="X1002" t="s">
        <v>42</v>
      </c>
      <c r="Y1002" t="s">
        <v>63</v>
      </c>
      <c r="Z1002">
        <v>2</v>
      </c>
      <c r="AA1002">
        <v>491.99</v>
      </c>
      <c r="AB1002">
        <v>22</v>
      </c>
    </row>
    <row r="1003" spans="1:28" x14ac:dyDescent="0.2">
      <c r="A1003">
        <v>1502</v>
      </c>
      <c r="B1003" s="1">
        <v>44326</v>
      </c>
      <c r="C1003" t="s">
        <v>28</v>
      </c>
      <c r="D1003" t="s">
        <v>87</v>
      </c>
      <c r="E1003" t="s">
        <v>30</v>
      </c>
      <c r="F1003" t="s">
        <v>55</v>
      </c>
      <c r="G1003" t="s">
        <v>56</v>
      </c>
      <c r="H1003" t="s">
        <v>55</v>
      </c>
      <c r="I1003" t="s">
        <v>34</v>
      </c>
      <c r="J1003" t="s">
        <v>75</v>
      </c>
      <c r="K1003" s="2">
        <v>31761</v>
      </c>
      <c r="L1003" t="s">
        <v>36</v>
      </c>
      <c r="M1003" t="s">
        <v>48</v>
      </c>
      <c r="N1003" t="s">
        <v>38</v>
      </c>
      <c r="O1003" t="s">
        <v>77</v>
      </c>
      <c r="P1003" t="s">
        <v>40</v>
      </c>
      <c r="Q1003">
        <v>3</v>
      </c>
      <c r="R1003" s="2">
        <v>45085</v>
      </c>
      <c r="S1003">
        <v>5</v>
      </c>
      <c r="T1003">
        <v>3</v>
      </c>
      <c r="U1003">
        <v>5</v>
      </c>
      <c r="V1003" s="1">
        <v>44993</v>
      </c>
      <c r="W1003" t="s">
        <v>68</v>
      </c>
      <c r="X1003" t="s">
        <v>42</v>
      </c>
      <c r="Y1003" t="s">
        <v>43</v>
      </c>
      <c r="Z1003">
        <v>4</v>
      </c>
      <c r="AA1003">
        <v>245</v>
      </c>
      <c r="AB1003">
        <v>35</v>
      </c>
    </row>
    <row r="1004" spans="1:28" x14ac:dyDescent="0.2">
      <c r="A1004">
        <v>1503</v>
      </c>
      <c r="B1004" s="1">
        <v>44360</v>
      </c>
      <c r="C1004" t="s">
        <v>28</v>
      </c>
      <c r="D1004" t="s">
        <v>64</v>
      </c>
      <c r="E1004" t="s">
        <v>30</v>
      </c>
      <c r="F1004" t="s">
        <v>31</v>
      </c>
      <c r="G1004" t="s">
        <v>45</v>
      </c>
      <c r="H1004" t="s">
        <v>46</v>
      </c>
      <c r="I1004" t="s">
        <v>34</v>
      </c>
      <c r="J1004" t="s">
        <v>58</v>
      </c>
      <c r="K1004" s="2">
        <v>31158</v>
      </c>
      <c r="L1004" t="s">
        <v>36</v>
      </c>
      <c r="M1004" t="s">
        <v>37</v>
      </c>
      <c r="N1004" t="s">
        <v>72</v>
      </c>
      <c r="O1004" t="s">
        <v>61</v>
      </c>
      <c r="P1004" t="s">
        <v>40</v>
      </c>
      <c r="Q1004">
        <v>3</v>
      </c>
      <c r="R1004" s="2">
        <v>44858</v>
      </c>
      <c r="S1004">
        <v>2</v>
      </c>
      <c r="T1004">
        <v>2</v>
      </c>
      <c r="U1004">
        <v>4</v>
      </c>
      <c r="V1004" s="1">
        <v>44904</v>
      </c>
      <c r="W1004" t="s">
        <v>92</v>
      </c>
      <c r="X1004" t="s">
        <v>51</v>
      </c>
      <c r="Y1004" t="s">
        <v>43</v>
      </c>
      <c r="Z1004">
        <v>3</v>
      </c>
      <c r="AA1004">
        <v>574.9</v>
      </c>
      <c r="AB1004">
        <v>36</v>
      </c>
    </row>
    <row r="1005" spans="1:28" x14ac:dyDescent="0.2">
      <c r="A1005">
        <v>1504</v>
      </c>
      <c r="B1005" s="1">
        <v>43773</v>
      </c>
      <c r="C1005" t="s">
        <v>28</v>
      </c>
      <c r="D1005" t="s">
        <v>94</v>
      </c>
      <c r="E1005" t="s">
        <v>30</v>
      </c>
      <c r="F1005" t="s">
        <v>55</v>
      </c>
      <c r="G1005" t="s">
        <v>32</v>
      </c>
      <c r="H1005" t="s">
        <v>55</v>
      </c>
      <c r="I1005" t="s">
        <v>34</v>
      </c>
      <c r="J1005" t="s">
        <v>79</v>
      </c>
      <c r="K1005" s="2">
        <v>26168</v>
      </c>
      <c r="L1005" t="s">
        <v>36</v>
      </c>
      <c r="M1005" t="s">
        <v>37</v>
      </c>
      <c r="N1005" t="s">
        <v>60</v>
      </c>
      <c r="O1005" t="s">
        <v>67</v>
      </c>
      <c r="P1005" t="s">
        <v>98</v>
      </c>
      <c r="Q1005">
        <v>3</v>
      </c>
      <c r="R1005" s="2">
        <v>44857</v>
      </c>
      <c r="S1005">
        <v>5</v>
      </c>
      <c r="T1005">
        <v>3</v>
      </c>
      <c r="U1005">
        <v>2</v>
      </c>
      <c r="V1005" s="1">
        <v>45097</v>
      </c>
      <c r="W1005" t="s">
        <v>68</v>
      </c>
      <c r="X1005" t="s">
        <v>42</v>
      </c>
      <c r="Y1005" t="s">
        <v>43</v>
      </c>
      <c r="Z1005">
        <v>4</v>
      </c>
      <c r="AA1005">
        <v>684.08</v>
      </c>
      <c r="AB1005">
        <v>48</v>
      </c>
    </row>
    <row r="1006" spans="1:28" x14ac:dyDescent="0.2">
      <c r="A1006">
        <v>1505</v>
      </c>
      <c r="B1006" s="1">
        <v>43859</v>
      </c>
      <c r="C1006" t="s">
        <v>28</v>
      </c>
      <c r="D1006" t="s">
        <v>74</v>
      </c>
      <c r="E1006" t="s">
        <v>30</v>
      </c>
      <c r="F1006" t="s">
        <v>55</v>
      </c>
      <c r="G1006" t="s">
        <v>45</v>
      </c>
      <c r="H1006" t="s">
        <v>46</v>
      </c>
      <c r="I1006" t="s">
        <v>34</v>
      </c>
      <c r="J1006" t="s">
        <v>101</v>
      </c>
      <c r="K1006" s="2">
        <v>15570</v>
      </c>
      <c r="L1006" t="s">
        <v>36</v>
      </c>
      <c r="M1006" t="s">
        <v>37</v>
      </c>
      <c r="N1006" t="s">
        <v>60</v>
      </c>
      <c r="O1006" t="s">
        <v>39</v>
      </c>
      <c r="P1006" t="s">
        <v>78</v>
      </c>
      <c r="Q1006">
        <v>3</v>
      </c>
      <c r="R1006" s="2">
        <v>44867</v>
      </c>
      <c r="S1006">
        <v>2</v>
      </c>
      <c r="T1006">
        <v>5</v>
      </c>
      <c r="U1006">
        <v>4</v>
      </c>
      <c r="V1006" s="1">
        <v>45054</v>
      </c>
      <c r="W1006" t="s">
        <v>41</v>
      </c>
      <c r="X1006" t="s">
        <v>42</v>
      </c>
      <c r="Y1006" t="s">
        <v>73</v>
      </c>
      <c r="Z1006">
        <v>2</v>
      </c>
      <c r="AA1006">
        <v>204.1</v>
      </c>
      <c r="AB1006">
        <v>78</v>
      </c>
    </row>
    <row r="1007" spans="1:28" x14ac:dyDescent="0.2">
      <c r="A1007">
        <v>1506</v>
      </c>
      <c r="B1007" s="1">
        <v>43348</v>
      </c>
      <c r="C1007" t="s">
        <v>28</v>
      </c>
      <c r="D1007" t="s">
        <v>81</v>
      </c>
      <c r="E1007" t="s">
        <v>30</v>
      </c>
      <c r="F1007" t="s">
        <v>46</v>
      </c>
      <c r="G1007" t="s">
        <v>56</v>
      </c>
      <c r="H1007" t="s">
        <v>46</v>
      </c>
      <c r="I1007" t="s">
        <v>34</v>
      </c>
      <c r="J1007" t="s">
        <v>79</v>
      </c>
      <c r="K1007" s="2">
        <v>26468</v>
      </c>
      <c r="L1007" t="s">
        <v>36</v>
      </c>
      <c r="M1007" t="s">
        <v>37</v>
      </c>
      <c r="N1007" t="s">
        <v>49</v>
      </c>
      <c r="O1007" t="s">
        <v>61</v>
      </c>
      <c r="P1007" t="s">
        <v>78</v>
      </c>
      <c r="Q1007">
        <v>3</v>
      </c>
      <c r="R1007" s="2">
        <v>45054</v>
      </c>
      <c r="S1007">
        <v>2</v>
      </c>
      <c r="T1007">
        <v>3</v>
      </c>
      <c r="U1007">
        <v>2</v>
      </c>
      <c r="V1007" s="1">
        <v>44866</v>
      </c>
      <c r="W1007" t="s">
        <v>41</v>
      </c>
      <c r="X1007" t="s">
        <v>51</v>
      </c>
      <c r="Y1007" t="s">
        <v>43</v>
      </c>
      <c r="Z1007">
        <v>1</v>
      </c>
      <c r="AA1007">
        <v>789.33</v>
      </c>
      <c r="AB1007">
        <v>46</v>
      </c>
    </row>
    <row r="1008" spans="1:28" x14ac:dyDescent="0.2">
      <c r="A1008">
        <v>1507</v>
      </c>
      <c r="B1008" s="1">
        <v>44398</v>
      </c>
      <c r="C1008" t="s">
        <v>28</v>
      </c>
      <c r="D1008" t="s">
        <v>54</v>
      </c>
      <c r="E1008" t="s">
        <v>30</v>
      </c>
      <c r="F1008" t="s">
        <v>55</v>
      </c>
      <c r="G1008" t="s">
        <v>32</v>
      </c>
      <c r="H1008" t="s">
        <v>55</v>
      </c>
      <c r="I1008" t="s">
        <v>34</v>
      </c>
      <c r="J1008" t="s">
        <v>58</v>
      </c>
      <c r="K1008" s="2">
        <v>35292</v>
      </c>
      <c r="L1008" t="s">
        <v>36</v>
      </c>
      <c r="M1008" t="s">
        <v>37</v>
      </c>
      <c r="N1008" t="s">
        <v>72</v>
      </c>
      <c r="O1008" t="s">
        <v>39</v>
      </c>
      <c r="P1008" t="s">
        <v>40</v>
      </c>
      <c r="Q1008">
        <v>3</v>
      </c>
      <c r="R1008" s="2">
        <v>44945</v>
      </c>
      <c r="S1008">
        <v>1</v>
      </c>
      <c r="T1008">
        <v>2</v>
      </c>
      <c r="U1008">
        <v>1</v>
      </c>
      <c r="V1008" s="1">
        <v>44825</v>
      </c>
      <c r="W1008" t="s">
        <v>68</v>
      </c>
      <c r="X1008" t="s">
        <v>42</v>
      </c>
      <c r="Y1008" t="s">
        <v>63</v>
      </c>
      <c r="Z1008">
        <v>3</v>
      </c>
      <c r="AA1008">
        <v>812.13</v>
      </c>
      <c r="AB1008">
        <v>25</v>
      </c>
    </row>
    <row r="1009" spans="1:28" x14ac:dyDescent="0.2">
      <c r="A1009">
        <v>1508</v>
      </c>
      <c r="B1009" s="1">
        <v>45066</v>
      </c>
      <c r="C1009" t="s">
        <v>28</v>
      </c>
      <c r="D1009" t="s">
        <v>69</v>
      </c>
      <c r="E1009" t="s">
        <v>30</v>
      </c>
      <c r="F1009" t="s">
        <v>46</v>
      </c>
      <c r="G1009" t="s">
        <v>56</v>
      </c>
      <c r="H1009" t="s">
        <v>33</v>
      </c>
      <c r="I1009" t="s">
        <v>34</v>
      </c>
      <c r="J1009" t="s">
        <v>65</v>
      </c>
      <c r="K1009" s="2">
        <v>23736</v>
      </c>
      <c r="L1009" t="s">
        <v>36</v>
      </c>
      <c r="M1009" t="s">
        <v>37</v>
      </c>
      <c r="N1009" t="s">
        <v>38</v>
      </c>
      <c r="O1009" t="s">
        <v>61</v>
      </c>
      <c r="P1009" t="s">
        <v>40</v>
      </c>
      <c r="Q1009">
        <v>3</v>
      </c>
      <c r="R1009" s="2">
        <v>44841</v>
      </c>
      <c r="S1009">
        <v>4</v>
      </c>
      <c r="T1009">
        <v>3</v>
      </c>
      <c r="U1009">
        <v>2</v>
      </c>
      <c r="V1009" s="1">
        <v>45058</v>
      </c>
      <c r="W1009" t="s">
        <v>50</v>
      </c>
      <c r="X1009" t="s">
        <v>42</v>
      </c>
      <c r="Y1009" t="s">
        <v>73</v>
      </c>
      <c r="Z1009">
        <v>2</v>
      </c>
      <c r="AA1009">
        <v>675.02</v>
      </c>
      <c r="AB1009">
        <v>59</v>
      </c>
    </row>
    <row r="1010" spans="1:28" x14ac:dyDescent="0.2">
      <c r="A1010">
        <v>1509</v>
      </c>
      <c r="B1010" s="1">
        <v>44697</v>
      </c>
      <c r="C1010" t="s">
        <v>28</v>
      </c>
      <c r="D1010" t="s">
        <v>29</v>
      </c>
      <c r="E1010" t="s">
        <v>30</v>
      </c>
      <c r="F1010" t="s">
        <v>55</v>
      </c>
      <c r="G1010" t="s">
        <v>32</v>
      </c>
      <c r="H1010" t="s">
        <v>55</v>
      </c>
      <c r="I1010" t="s">
        <v>34</v>
      </c>
      <c r="J1010" t="s">
        <v>58</v>
      </c>
      <c r="K1010" s="2">
        <v>21939</v>
      </c>
      <c r="L1010" t="s">
        <v>36</v>
      </c>
      <c r="M1010" t="s">
        <v>37</v>
      </c>
      <c r="N1010" t="s">
        <v>60</v>
      </c>
      <c r="O1010" t="s">
        <v>61</v>
      </c>
      <c r="P1010" t="s">
        <v>40</v>
      </c>
      <c r="Q1010">
        <v>3</v>
      </c>
      <c r="R1010" s="2">
        <v>44829</v>
      </c>
      <c r="S1010">
        <v>5</v>
      </c>
      <c r="T1010">
        <v>1</v>
      </c>
      <c r="U1010">
        <v>3</v>
      </c>
      <c r="V1010" s="1">
        <v>45106</v>
      </c>
      <c r="W1010" t="s">
        <v>62</v>
      </c>
      <c r="X1010" t="s">
        <v>42</v>
      </c>
      <c r="Y1010" t="s">
        <v>52</v>
      </c>
      <c r="Z1010">
        <v>4</v>
      </c>
      <c r="AA1010">
        <v>343.07</v>
      </c>
      <c r="AB1010">
        <v>62</v>
      </c>
    </row>
    <row r="1011" spans="1:28" x14ac:dyDescent="0.2">
      <c r="A1011">
        <v>1510</v>
      </c>
      <c r="B1011" s="1">
        <v>44270</v>
      </c>
      <c r="C1011" t="s">
        <v>28</v>
      </c>
      <c r="D1011" t="s">
        <v>85</v>
      </c>
      <c r="E1011" t="s">
        <v>30</v>
      </c>
      <c r="F1011" t="s">
        <v>31</v>
      </c>
      <c r="G1011" t="s">
        <v>32</v>
      </c>
      <c r="H1011" t="s">
        <v>33</v>
      </c>
      <c r="I1011" t="s">
        <v>34</v>
      </c>
      <c r="J1011" t="s">
        <v>58</v>
      </c>
      <c r="K1011" s="2">
        <v>29480</v>
      </c>
      <c r="L1011" t="s">
        <v>36</v>
      </c>
      <c r="M1011" t="s">
        <v>37</v>
      </c>
      <c r="N1011" t="s">
        <v>72</v>
      </c>
      <c r="O1011" t="s">
        <v>67</v>
      </c>
      <c r="P1011" t="s">
        <v>40</v>
      </c>
      <c r="Q1011">
        <v>3</v>
      </c>
      <c r="R1011" s="2">
        <v>45022</v>
      </c>
      <c r="S1011">
        <v>2</v>
      </c>
      <c r="T1011">
        <v>3</v>
      </c>
      <c r="U1011">
        <v>3</v>
      </c>
      <c r="V1011" s="1">
        <v>44847</v>
      </c>
      <c r="W1011" t="s">
        <v>68</v>
      </c>
      <c r="X1011" t="s">
        <v>51</v>
      </c>
      <c r="Y1011" t="s">
        <v>52</v>
      </c>
      <c r="Z1011">
        <v>5</v>
      </c>
      <c r="AA1011">
        <v>986.78</v>
      </c>
      <c r="AB1011">
        <v>41</v>
      </c>
    </row>
    <row r="1012" spans="1:28" x14ac:dyDescent="0.2">
      <c r="A1012">
        <v>1513</v>
      </c>
      <c r="B1012" s="1">
        <v>43820</v>
      </c>
      <c r="C1012" t="s">
        <v>106</v>
      </c>
      <c r="D1012" t="s">
        <v>54</v>
      </c>
      <c r="E1012" t="s">
        <v>30</v>
      </c>
      <c r="F1012" t="s">
        <v>31</v>
      </c>
      <c r="G1012" t="s">
        <v>32</v>
      </c>
      <c r="H1012" t="s">
        <v>33</v>
      </c>
      <c r="I1012" t="s">
        <v>34</v>
      </c>
      <c r="J1012" t="s">
        <v>75</v>
      </c>
      <c r="K1012" s="2">
        <v>34245</v>
      </c>
      <c r="L1012" t="s">
        <v>36</v>
      </c>
      <c r="M1012" t="s">
        <v>48</v>
      </c>
      <c r="N1012" t="s">
        <v>60</v>
      </c>
      <c r="O1012" t="s">
        <v>39</v>
      </c>
      <c r="P1012" t="s">
        <v>40</v>
      </c>
      <c r="Q1012">
        <v>3</v>
      </c>
      <c r="R1012" s="2">
        <v>44883</v>
      </c>
      <c r="S1012">
        <v>5</v>
      </c>
      <c r="T1012">
        <v>3</v>
      </c>
      <c r="U1012">
        <v>5</v>
      </c>
      <c r="V1012" s="1">
        <v>44875</v>
      </c>
      <c r="W1012" t="s">
        <v>68</v>
      </c>
      <c r="X1012" t="s">
        <v>51</v>
      </c>
      <c r="Y1012" t="s">
        <v>43</v>
      </c>
      <c r="Z1012">
        <v>4</v>
      </c>
      <c r="AA1012">
        <v>746.57</v>
      </c>
      <c r="AB1012">
        <v>26</v>
      </c>
    </row>
    <row r="1013" spans="1:28" x14ac:dyDescent="0.2">
      <c r="A1013">
        <v>1514</v>
      </c>
      <c r="B1013" s="1">
        <v>44757</v>
      </c>
      <c r="C1013" t="s">
        <v>106</v>
      </c>
      <c r="D1013" t="s">
        <v>94</v>
      </c>
      <c r="E1013" t="s">
        <v>30</v>
      </c>
      <c r="F1013" t="s">
        <v>31</v>
      </c>
      <c r="G1013" t="s">
        <v>32</v>
      </c>
      <c r="H1013" t="s">
        <v>46</v>
      </c>
      <c r="I1013" t="s">
        <v>34</v>
      </c>
      <c r="J1013" t="s">
        <v>89</v>
      </c>
      <c r="K1013" s="2">
        <v>30655</v>
      </c>
      <c r="L1013" t="s">
        <v>36</v>
      </c>
      <c r="M1013" t="s">
        <v>48</v>
      </c>
      <c r="N1013" t="s">
        <v>49</v>
      </c>
      <c r="O1013" t="s">
        <v>39</v>
      </c>
      <c r="P1013" t="s">
        <v>40</v>
      </c>
      <c r="Q1013">
        <v>3</v>
      </c>
      <c r="R1013" s="2">
        <v>45054</v>
      </c>
      <c r="S1013">
        <v>1</v>
      </c>
      <c r="T1013">
        <v>3</v>
      </c>
      <c r="U1013">
        <v>2</v>
      </c>
      <c r="V1013" s="1">
        <v>44896</v>
      </c>
      <c r="W1013" t="s">
        <v>41</v>
      </c>
      <c r="X1013" t="s">
        <v>42</v>
      </c>
      <c r="Y1013" t="s">
        <v>43</v>
      </c>
      <c r="Z1013">
        <v>5</v>
      </c>
      <c r="AA1013">
        <v>434.39</v>
      </c>
      <c r="AB1013">
        <v>39</v>
      </c>
    </row>
    <row r="1014" spans="1:28" x14ac:dyDescent="0.2">
      <c r="A1014">
        <v>1515</v>
      </c>
      <c r="B1014" s="1">
        <v>43369</v>
      </c>
      <c r="C1014" t="s">
        <v>106</v>
      </c>
      <c r="D1014" t="s">
        <v>85</v>
      </c>
      <c r="E1014" t="s">
        <v>30</v>
      </c>
      <c r="F1014" t="s">
        <v>55</v>
      </c>
      <c r="G1014" t="s">
        <v>56</v>
      </c>
      <c r="H1014" t="s">
        <v>46</v>
      </c>
      <c r="I1014" t="s">
        <v>34</v>
      </c>
      <c r="J1014" t="s">
        <v>65</v>
      </c>
      <c r="K1014" s="2">
        <v>35538</v>
      </c>
      <c r="L1014" t="s">
        <v>36</v>
      </c>
      <c r="M1014" t="s">
        <v>37</v>
      </c>
      <c r="N1014" t="s">
        <v>60</v>
      </c>
      <c r="O1014" t="s">
        <v>67</v>
      </c>
      <c r="P1014" t="s">
        <v>40</v>
      </c>
      <c r="Q1014">
        <v>3</v>
      </c>
      <c r="R1014" s="2">
        <v>44909</v>
      </c>
      <c r="S1014">
        <v>2</v>
      </c>
      <c r="T1014">
        <v>3</v>
      </c>
      <c r="U1014">
        <v>1</v>
      </c>
      <c r="V1014" s="1">
        <v>45019</v>
      </c>
      <c r="W1014" t="s">
        <v>92</v>
      </c>
      <c r="X1014" t="s">
        <v>51</v>
      </c>
      <c r="Y1014" t="s">
        <v>63</v>
      </c>
      <c r="Z1014">
        <v>3</v>
      </c>
      <c r="AA1014">
        <v>765.84</v>
      </c>
      <c r="AB1014">
        <v>21</v>
      </c>
    </row>
    <row r="1015" spans="1:28" x14ac:dyDescent="0.2">
      <c r="A1015">
        <v>1516</v>
      </c>
      <c r="B1015" s="1">
        <v>44850</v>
      </c>
      <c r="C1015" t="s">
        <v>106</v>
      </c>
      <c r="D1015" t="s">
        <v>64</v>
      </c>
      <c r="E1015" t="s">
        <v>30</v>
      </c>
      <c r="F1015" t="s">
        <v>31</v>
      </c>
      <c r="G1015" t="s">
        <v>56</v>
      </c>
      <c r="H1015" t="s">
        <v>55</v>
      </c>
      <c r="I1015" t="s">
        <v>34</v>
      </c>
      <c r="J1015" t="s">
        <v>75</v>
      </c>
      <c r="K1015" s="2">
        <v>15862</v>
      </c>
      <c r="L1015" t="s">
        <v>36</v>
      </c>
      <c r="M1015" t="s">
        <v>48</v>
      </c>
      <c r="N1015" t="s">
        <v>49</v>
      </c>
      <c r="O1015" t="s">
        <v>39</v>
      </c>
      <c r="P1015" t="s">
        <v>40</v>
      </c>
      <c r="Q1015">
        <v>3</v>
      </c>
      <c r="R1015" s="2">
        <v>45123</v>
      </c>
      <c r="S1015">
        <v>1</v>
      </c>
      <c r="T1015">
        <v>5</v>
      </c>
      <c r="U1015">
        <v>3</v>
      </c>
      <c r="V1015" s="1">
        <v>44883</v>
      </c>
      <c r="W1015" t="s">
        <v>92</v>
      </c>
      <c r="X1015" t="s">
        <v>42</v>
      </c>
      <c r="Y1015" t="s">
        <v>43</v>
      </c>
      <c r="Z1015">
        <v>3</v>
      </c>
      <c r="AA1015">
        <v>457.4</v>
      </c>
      <c r="AB1015">
        <v>79</v>
      </c>
    </row>
    <row r="1016" spans="1:28" x14ac:dyDescent="0.2">
      <c r="A1016">
        <v>1517</v>
      </c>
      <c r="B1016" s="1">
        <v>44532</v>
      </c>
      <c r="C1016" t="s">
        <v>106</v>
      </c>
      <c r="D1016" t="s">
        <v>74</v>
      </c>
      <c r="E1016" t="s">
        <v>30</v>
      </c>
      <c r="F1016" t="s">
        <v>55</v>
      </c>
      <c r="G1016" t="s">
        <v>32</v>
      </c>
      <c r="H1016" t="s">
        <v>46</v>
      </c>
      <c r="I1016" t="s">
        <v>34</v>
      </c>
      <c r="J1016" t="s">
        <v>89</v>
      </c>
      <c r="K1016" s="2">
        <v>31476</v>
      </c>
      <c r="L1016" t="s">
        <v>36</v>
      </c>
      <c r="M1016" t="s">
        <v>48</v>
      </c>
      <c r="N1016" t="s">
        <v>38</v>
      </c>
      <c r="O1016" t="s">
        <v>67</v>
      </c>
      <c r="P1016" t="s">
        <v>40</v>
      </c>
      <c r="Q1016">
        <v>3</v>
      </c>
      <c r="R1016" s="2">
        <v>44948</v>
      </c>
      <c r="S1016">
        <v>4</v>
      </c>
      <c r="T1016">
        <v>5</v>
      </c>
      <c r="U1016">
        <v>3</v>
      </c>
      <c r="V1016" s="1">
        <v>44938</v>
      </c>
      <c r="W1016" t="s">
        <v>50</v>
      </c>
      <c r="X1016" t="s">
        <v>51</v>
      </c>
      <c r="Y1016" t="s">
        <v>73</v>
      </c>
      <c r="Z1016">
        <v>3</v>
      </c>
      <c r="AA1016">
        <v>615.84</v>
      </c>
      <c r="AB1016">
        <v>35</v>
      </c>
    </row>
    <row r="1017" spans="1:28" x14ac:dyDescent="0.2">
      <c r="A1017">
        <v>1518</v>
      </c>
      <c r="B1017" s="1">
        <v>43531</v>
      </c>
      <c r="C1017" t="s">
        <v>106</v>
      </c>
      <c r="D1017" t="s">
        <v>69</v>
      </c>
      <c r="E1017" t="s">
        <v>108</v>
      </c>
      <c r="F1017" t="s">
        <v>55</v>
      </c>
      <c r="G1017" t="s">
        <v>56</v>
      </c>
      <c r="H1017" t="s">
        <v>33</v>
      </c>
      <c r="I1017" t="s">
        <v>34</v>
      </c>
      <c r="J1017" t="s">
        <v>97</v>
      </c>
      <c r="K1017" s="2">
        <v>27724</v>
      </c>
      <c r="L1017" t="s">
        <v>36</v>
      </c>
      <c r="M1017" t="s">
        <v>48</v>
      </c>
      <c r="N1017" t="s">
        <v>38</v>
      </c>
      <c r="O1017" t="s">
        <v>77</v>
      </c>
      <c r="P1017" t="s">
        <v>40</v>
      </c>
      <c r="Q1017">
        <v>3</v>
      </c>
      <c r="R1017" s="2">
        <v>44832</v>
      </c>
      <c r="S1017">
        <v>4</v>
      </c>
      <c r="T1017">
        <v>4</v>
      </c>
      <c r="U1017">
        <v>2</v>
      </c>
      <c r="V1017" s="1">
        <v>44903</v>
      </c>
      <c r="W1017" t="s">
        <v>50</v>
      </c>
      <c r="X1017" t="s">
        <v>42</v>
      </c>
      <c r="Y1017" t="s">
        <v>63</v>
      </c>
      <c r="Z1017">
        <v>2</v>
      </c>
      <c r="AA1017">
        <v>803.79</v>
      </c>
      <c r="AB1017">
        <v>44</v>
      </c>
    </row>
    <row r="1018" spans="1:28" x14ac:dyDescent="0.2">
      <c r="A1018">
        <v>1519</v>
      </c>
      <c r="B1018" s="1">
        <v>45048</v>
      </c>
      <c r="C1018" t="s">
        <v>28</v>
      </c>
      <c r="D1018" t="s">
        <v>69</v>
      </c>
      <c r="E1018" t="s">
        <v>30</v>
      </c>
      <c r="F1018" t="s">
        <v>46</v>
      </c>
      <c r="G1018" t="s">
        <v>56</v>
      </c>
      <c r="H1018" t="s">
        <v>55</v>
      </c>
      <c r="I1018" t="s">
        <v>34</v>
      </c>
      <c r="J1018" t="s">
        <v>96</v>
      </c>
      <c r="K1018" s="2">
        <v>26040</v>
      </c>
      <c r="L1018" t="s">
        <v>36</v>
      </c>
      <c r="M1018" t="s">
        <v>37</v>
      </c>
      <c r="N1018" t="s">
        <v>84</v>
      </c>
      <c r="O1018" t="s">
        <v>61</v>
      </c>
      <c r="P1018" t="s">
        <v>40</v>
      </c>
      <c r="Q1018">
        <v>3</v>
      </c>
      <c r="R1018" s="2">
        <v>44982</v>
      </c>
      <c r="S1018">
        <v>1</v>
      </c>
      <c r="T1018">
        <v>3</v>
      </c>
      <c r="U1018">
        <v>1</v>
      </c>
      <c r="V1018" s="1">
        <v>44827</v>
      </c>
      <c r="W1018" t="s">
        <v>41</v>
      </c>
      <c r="X1018" t="s">
        <v>51</v>
      </c>
      <c r="Y1018" t="s">
        <v>63</v>
      </c>
      <c r="Z1018">
        <v>2</v>
      </c>
      <c r="AA1018">
        <v>586.89</v>
      </c>
      <c r="AB1018">
        <v>52</v>
      </c>
    </row>
    <row r="1019" spans="1:28" x14ac:dyDescent="0.2">
      <c r="A1019">
        <v>1520</v>
      </c>
      <c r="B1019" s="1">
        <v>44067</v>
      </c>
      <c r="C1019" t="s">
        <v>28</v>
      </c>
      <c r="D1019" t="s">
        <v>29</v>
      </c>
      <c r="E1019" t="s">
        <v>30</v>
      </c>
      <c r="F1019" t="s">
        <v>55</v>
      </c>
      <c r="G1019" t="s">
        <v>45</v>
      </c>
      <c r="H1019" t="s">
        <v>55</v>
      </c>
      <c r="I1019" t="s">
        <v>34</v>
      </c>
      <c r="J1019" t="s">
        <v>118</v>
      </c>
      <c r="K1019" s="2">
        <v>27945</v>
      </c>
      <c r="L1019" t="s">
        <v>36</v>
      </c>
      <c r="M1019" t="s">
        <v>37</v>
      </c>
      <c r="N1019" t="s">
        <v>38</v>
      </c>
      <c r="O1019" t="s">
        <v>77</v>
      </c>
      <c r="P1019" t="s">
        <v>40</v>
      </c>
      <c r="Q1019">
        <v>3</v>
      </c>
      <c r="R1019" s="2">
        <v>45021</v>
      </c>
      <c r="S1019">
        <v>2</v>
      </c>
      <c r="T1019">
        <v>2</v>
      </c>
      <c r="U1019">
        <v>5</v>
      </c>
      <c r="V1019" s="1">
        <v>44845</v>
      </c>
      <c r="W1019" t="s">
        <v>92</v>
      </c>
      <c r="X1019" t="s">
        <v>51</v>
      </c>
      <c r="Y1019" t="s">
        <v>43</v>
      </c>
      <c r="Z1019">
        <v>5</v>
      </c>
      <c r="AA1019">
        <v>104.48</v>
      </c>
      <c r="AB1019">
        <v>44</v>
      </c>
    </row>
    <row r="1020" spans="1:28" x14ac:dyDescent="0.2">
      <c r="A1020">
        <v>1521</v>
      </c>
      <c r="B1020" s="1">
        <v>44173</v>
      </c>
      <c r="C1020" t="s">
        <v>28</v>
      </c>
      <c r="D1020" t="s">
        <v>85</v>
      </c>
      <c r="E1020" t="s">
        <v>30</v>
      </c>
      <c r="F1020" t="s">
        <v>31</v>
      </c>
      <c r="G1020" t="s">
        <v>56</v>
      </c>
      <c r="H1020" t="s">
        <v>33</v>
      </c>
      <c r="I1020" t="s">
        <v>34</v>
      </c>
      <c r="J1020" t="s">
        <v>101</v>
      </c>
      <c r="K1020" s="2">
        <v>32978</v>
      </c>
      <c r="L1020" t="s">
        <v>36</v>
      </c>
      <c r="M1020" t="s">
        <v>48</v>
      </c>
      <c r="N1020" t="s">
        <v>72</v>
      </c>
      <c r="O1020" t="s">
        <v>61</v>
      </c>
      <c r="P1020" t="s">
        <v>98</v>
      </c>
      <c r="Q1020">
        <v>3</v>
      </c>
      <c r="R1020" s="2">
        <v>45088</v>
      </c>
      <c r="S1020">
        <v>4</v>
      </c>
      <c r="T1020">
        <v>1</v>
      </c>
      <c r="U1020">
        <v>3</v>
      </c>
      <c r="V1020" s="1">
        <v>45079</v>
      </c>
      <c r="W1020" t="s">
        <v>62</v>
      </c>
      <c r="X1020" t="s">
        <v>42</v>
      </c>
      <c r="Y1020" t="s">
        <v>73</v>
      </c>
      <c r="Z1020">
        <v>1</v>
      </c>
      <c r="AA1020">
        <v>877.41</v>
      </c>
      <c r="AB1020">
        <v>30</v>
      </c>
    </row>
    <row r="1021" spans="1:28" x14ac:dyDescent="0.2">
      <c r="A1021">
        <v>1522</v>
      </c>
      <c r="B1021" s="1">
        <v>44242</v>
      </c>
      <c r="C1021" t="s">
        <v>28</v>
      </c>
      <c r="D1021" t="s">
        <v>44</v>
      </c>
      <c r="E1021" t="s">
        <v>30</v>
      </c>
      <c r="F1021" t="s">
        <v>55</v>
      </c>
      <c r="G1021" t="s">
        <v>56</v>
      </c>
      <c r="H1021" t="s">
        <v>55</v>
      </c>
      <c r="I1021" t="s">
        <v>34</v>
      </c>
      <c r="J1021" t="s">
        <v>70</v>
      </c>
      <c r="K1021" s="2">
        <v>15942</v>
      </c>
      <c r="L1021" t="s">
        <v>36</v>
      </c>
      <c r="M1021" t="s">
        <v>48</v>
      </c>
      <c r="N1021" t="s">
        <v>49</v>
      </c>
      <c r="O1021" t="s">
        <v>67</v>
      </c>
      <c r="P1021" t="s">
        <v>40</v>
      </c>
      <c r="Q1021">
        <v>3</v>
      </c>
      <c r="R1021" s="2">
        <v>44898</v>
      </c>
      <c r="S1021">
        <v>3</v>
      </c>
      <c r="T1021">
        <v>4</v>
      </c>
      <c r="U1021">
        <v>5</v>
      </c>
      <c r="V1021" s="1">
        <v>45063</v>
      </c>
      <c r="W1021" t="s">
        <v>68</v>
      </c>
      <c r="X1021" t="s">
        <v>51</v>
      </c>
      <c r="Y1021" t="s">
        <v>52</v>
      </c>
      <c r="Z1021">
        <v>3</v>
      </c>
      <c r="AA1021">
        <v>791.99</v>
      </c>
      <c r="AB1021">
        <v>78</v>
      </c>
    </row>
    <row r="1022" spans="1:28" x14ac:dyDescent="0.2">
      <c r="A1022">
        <v>1523</v>
      </c>
      <c r="B1022" s="1">
        <v>44089</v>
      </c>
      <c r="C1022" t="s">
        <v>28</v>
      </c>
      <c r="D1022" t="s">
        <v>87</v>
      </c>
      <c r="E1022" t="s">
        <v>30</v>
      </c>
      <c r="F1022" t="s">
        <v>31</v>
      </c>
      <c r="G1022" t="s">
        <v>56</v>
      </c>
      <c r="H1022" t="s">
        <v>55</v>
      </c>
      <c r="I1022" t="s">
        <v>34</v>
      </c>
      <c r="J1022" t="s">
        <v>104</v>
      </c>
      <c r="K1022" s="2">
        <v>26083</v>
      </c>
      <c r="L1022" t="s">
        <v>36</v>
      </c>
      <c r="M1022" t="s">
        <v>48</v>
      </c>
      <c r="N1022" t="s">
        <v>60</v>
      </c>
      <c r="O1022" t="s">
        <v>67</v>
      </c>
      <c r="P1022" t="s">
        <v>40</v>
      </c>
      <c r="Q1022">
        <v>3</v>
      </c>
      <c r="R1022" s="2">
        <v>44824</v>
      </c>
      <c r="S1022">
        <v>4</v>
      </c>
      <c r="T1022">
        <v>4</v>
      </c>
      <c r="U1022">
        <v>3</v>
      </c>
      <c r="V1022" s="1">
        <v>44906</v>
      </c>
      <c r="W1022" t="s">
        <v>68</v>
      </c>
      <c r="X1022" t="s">
        <v>51</v>
      </c>
      <c r="Y1022" t="s">
        <v>52</v>
      </c>
      <c r="Z1022">
        <v>2</v>
      </c>
      <c r="AA1022">
        <v>660.4</v>
      </c>
      <c r="AB1022">
        <v>49</v>
      </c>
    </row>
    <row r="1023" spans="1:28" x14ac:dyDescent="0.2">
      <c r="A1023">
        <v>1524</v>
      </c>
      <c r="B1023" s="1">
        <v>45001</v>
      </c>
      <c r="C1023" t="s">
        <v>28</v>
      </c>
      <c r="D1023" t="s">
        <v>64</v>
      </c>
      <c r="E1023" t="s">
        <v>30</v>
      </c>
      <c r="F1023" t="s">
        <v>55</v>
      </c>
      <c r="G1023" t="s">
        <v>45</v>
      </c>
      <c r="H1023" t="s">
        <v>33</v>
      </c>
      <c r="I1023" t="s">
        <v>34</v>
      </c>
      <c r="J1023" t="s">
        <v>79</v>
      </c>
      <c r="K1023" s="2">
        <v>27527</v>
      </c>
      <c r="L1023" t="s">
        <v>36</v>
      </c>
      <c r="M1023" t="s">
        <v>37</v>
      </c>
      <c r="N1023" t="s">
        <v>60</v>
      </c>
      <c r="O1023" t="s">
        <v>61</v>
      </c>
      <c r="P1023" t="s">
        <v>40</v>
      </c>
      <c r="Q1023">
        <v>3</v>
      </c>
      <c r="R1023" s="2">
        <v>44943</v>
      </c>
      <c r="S1023">
        <v>4</v>
      </c>
      <c r="T1023">
        <v>1</v>
      </c>
      <c r="U1023">
        <v>2</v>
      </c>
      <c r="V1023" s="1">
        <v>45047</v>
      </c>
      <c r="W1023" t="s">
        <v>92</v>
      </c>
      <c r="X1023" t="s">
        <v>42</v>
      </c>
      <c r="Y1023" t="s">
        <v>63</v>
      </c>
      <c r="Z1023">
        <v>2</v>
      </c>
      <c r="AA1023">
        <v>928.81</v>
      </c>
      <c r="AB1023">
        <v>48</v>
      </c>
    </row>
    <row r="1024" spans="1:28" x14ac:dyDescent="0.2">
      <c r="A1024">
        <v>1525</v>
      </c>
      <c r="B1024" s="1">
        <v>44514</v>
      </c>
      <c r="C1024" t="s">
        <v>28</v>
      </c>
      <c r="D1024" t="s">
        <v>69</v>
      </c>
      <c r="E1024" t="s">
        <v>30</v>
      </c>
      <c r="F1024" t="s">
        <v>55</v>
      </c>
      <c r="G1024" t="s">
        <v>56</v>
      </c>
      <c r="H1024" t="s">
        <v>33</v>
      </c>
      <c r="I1024" t="s">
        <v>34</v>
      </c>
      <c r="J1024" t="s">
        <v>65</v>
      </c>
      <c r="K1024" s="2">
        <v>17271</v>
      </c>
      <c r="L1024" t="s">
        <v>36</v>
      </c>
      <c r="M1024" t="s">
        <v>37</v>
      </c>
      <c r="N1024" t="s">
        <v>84</v>
      </c>
      <c r="O1024" t="s">
        <v>39</v>
      </c>
      <c r="P1024" t="s">
        <v>98</v>
      </c>
      <c r="Q1024">
        <v>3</v>
      </c>
      <c r="R1024" s="2">
        <v>44863</v>
      </c>
      <c r="S1024">
        <v>2</v>
      </c>
      <c r="T1024">
        <v>4</v>
      </c>
      <c r="U1024">
        <v>1</v>
      </c>
      <c r="V1024" s="1">
        <v>44905</v>
      </c>
      <c r="W1024" t="s">
        <v>68</v>
      </c>
      <c r="X1024" t="s">
        <v>42</v>
      </c>
      <c r="Y1024" t="s">
        <v>52</v>
      </c>
      <c r="Z1024">
        <v>4</v>
      </c>
      <c r="AA1024">
        <v>347.29</v>
      </c>
      <c r="AB1024">
        <v>74</v>
      </c>
    </row>
    <row r="1025" spans="1:28" x14ac:dyDescent="0.2">
      <c r="A1025">
        <v>1526</v>
      </c>
      <c r="B1025" s="1">
        <v>44309</v>
      </c>
      <c r="C1025" t="s">
        <v>28</v>
      </c>
      <c r="D1025" t="s">
        <v>29</v>
      </c>
      <c r="E1025" t="s">
        <v>30</v>
      </c>
      <c r="F1025" t="s">
        <v>31</v>
      </c>
      <c r="G1025" t="s">
        <v>56</v>
      </c>
      <c r="H1025" t="s">
        <v>55</v>
      </c>
      <c r="I1025" t="s">
        <v>34</v>
      </c>
      <c r="J1025" t="s">
        <v>70</v>
      </c>
      <c r="K1025" s="2">
        <v>31871</v>
      </c>
      <c r="L1025" t="s">
        <v>36</v>
      </c>
      <c r="M1025" t="s">
        <v>37</v>
      </c>
      <c r="N1025" t="s">
        <v>60</v>
      </c>
      <c r="O1025" t="s">
        <v>77</v>
      </c>
      <c r="P1025" t="s">
        <v>40</v>
      </c>
      <c r="Q1025">
        <v>3</v>
      </c>
      <c r="R1025" s="2">
        <v>44946</v>
      </c>
      <c r="S1025">
        <v>2</v>
      </c>
      <c r="T1025">
        <v>3</v>
      </c>
      <c r="U1025">
        <v>3</v>
      </c>
      <c r="V1025" s="1">
        <v>45072</v>
      </c>
      <c r="W1025" t="s">
        <v>41</v>
      </c>
      <c r="X1025" t="s">
        <v>42</v>
      </c>
      <c r="Y1025" t="s">
        <v>63</v>
      </c>
      <c r="Z1025">
        <v>3</v>
      </c>
      <c r="AA1025">
        <v>190.51</v>
      </c>
      <c r="AB1025">
        <v>34</v>
      </c>
    </row>
    <row r="1026" spans="1:28" x14ac:dyDescent="0.2">
      <c r="A1026">
        <v>1527</v>
      </c>
      <c r="B1026" s="1">
        <v>44717</v>
      </c>
      <c r="C1026" t="s">
        <v>28</v>
      </c>
      <c r="D1026" t="s">
        <v>44</v>
      </c>
      <c r="E1026" t="s">
        <v>30</v>
      </c>
      <c r="F1026" t="s">
        <v>46</v>
      </c>
      <c r="G1026" t="s">
        <v>45</v>
      </c>
      <c r="H1026" t="s">
        <v>55</v>
      </c>
      <c r="I1026" t="s">
        <v>34</v>
      </c>
      <c r="J1026" t="s">
        <v>79</v>
      </c>
      <c r="K1026" s="2">
        <v>29293</v>
      </c>
      <c r="L1026" t="s">
        <v>36</v>
      </c>
      <c r="M1026" t="s">
        <v>37</v>
      </c>
      <c r="N1026" t="s">
        <v>84</v>
      </c>
      <c r="O1026" t="s">
        <v>39</v>
      </c>
      <c r="P1026" t="s">
        <v>40</v>
      </c>
      <c r="Q1026">
        <v>3</v>
      </c>
      <c r="R1026" s="2">
        <v>45079</v>
      </c>
      <c r="S1026">
        <v>1</v>
      </c>
      <c r="T1026">
        <v>1</v>
      </c>
      <c r="U1026">
        <v>3</v>
      </c>
      <c r="V1026" s="1">
        <v>45080</v>
      </c>
      <c r="W1026" t="s">
        <v>50</v>
      </c>
      <c r="X1026" t="s">
        <v>51</v>
      </c>
      <c r="Y1026" t="s">
        <v>52</v>
      </c>
      <c r="Z1026">
        <v>3</v>
      </c>
      <c r="AA1026">
        <v>206.53</v>
      </c>
      <c r="AB1026">
        <v>42</v>
      </c>
    </row>
    <row r="1027" spans="1:28" x14ac:dyDescent="0.2">
      <c r="A1027">
        <v>1528</v>
      </c>
      <c r="B1027" s="1">
        <v>44884</v>
      </c>
      <c r="C1027" t="s">
        <v>28</v>
      </c>
      <c r="D1027" t="s">
        <v>87</v>
      </c>
      <c r="E1027" t="s">
        <v>30</v>
      </c>
      <c r="F1027" t="s">
        <v>46</v>
      </c>
      <c r="G1027" t="s">
        <v>45</v>
      </c>
      <c r="H1027" t="s">
        <v>46</v>
      </c>
      <c r="I1027" t="s">
        <v>34</v>
      </c>
      <c r="J1027" t="s">
        <v>70</v>
      </c>
      <c r="K1027" s="2">
        <v>19690</v>
      </c>
      <c r="L1027" t="s">
        <v>36</v>
      </c>
      <c r="M1027" t="s">
        <v>37</v>
      </c>
      <c r="N1027" t="s">
        <v>84</v>
      </c>
      <c r="O1027" t="s">
        <v>39</v>
      </c>
      <c r="P1027" t="s">
        <v>40</v>
      </c>
      <c r="Q1027">
        <v>3</v>
      </c>
      <c r="R1027" s="2">
        <v>44982</v>
      </c>
      <c r="S1027">
        <v>5</v>
      </c>
      <c r="T1027">
        <v>5</v>
      </c>
      <c r="U1027">
        <v>2</v>
      </c>
      <c r="V1027" s="1">
        <v>44905</v>
      </c>
      <c r="W1027" t="s">
        <v>92</v>
      </c>
      <c r="X1027" t="s">
        <v>42</v>
      </c>
      <c r="Y1027" t="s">
        <v>52</v>
      </c>
      <c r="Z1027">
        <v>1</v>
      </c>
      <c r="AA1027">
        <v>639.92999999999995</v>
      </c>
      <c r="AB1027">
        <v>69</v>
      </c>
    </row>
    <row r="1028" spans="1:28" x14ac:dyDescent="0.2">
      <c r="A1028">
        <v>1529</v>
      </c>
      <c r="B1028" s="1">
        <v>45030</v>
      </c>
      <c r="C1028" t="s">
        <v>28</v>
      </c>
      <c r="D1028" t="s">
        <v>81</v>
      </c>
      <c r="E1028" t="s">
        <v>30</v>
      </c>
      <c r="F1028" t="s">
        <v>55</v>
      </c>
      <c r="G1028" t="s">
        <v>32</v>
      </c>
      <c r="H1028" t="s">
        <v>46</v>
      </c>
      <c r="I1028" t="s">
        <v>34</v>
      </c>
      <c r="J1028" t="s">
        <v>70</v>
      </c>
      <c r="K1028" s="2">
        <v>27237</v>
      </c>
      <c r="L1028" t="s">
        <v>36</v>
      </c>
      <c r="M1028" t="s">
        <v>37</v>
      </c>
      <c r="N1028" t="s">
        <v>49</v>
      </c>
      <c r="O1028" t="s">
        <v>67</v>
      </c>
      <c r="P1028" t="s">
        <v>40</v>
      </c>
      <c r="Q1028">
        <v>3</v>
      </c>
      <c r="R1028" s="2">
        <v>45044</v>
      </c>
      <c r="S1028">
        <v>3</v>
      </c>
      <c r="T1028">
        <v>1</v>
      </c>
      <c r="U1028">
        <v>3</v>
      </c>
      <c r="V1028" s="1">
        <v>45030</v>
      </c>
      <c r="W1028" t="s">
        <v>92</v>
      </c>
      <c r="X1028" t="s">
        <v>51</v>
      </c>
      <c r="Y1028" t="s">
        <v>52</v>
      </c>
      <c r="Z1028">
        <v>5</v>
      </c>
      <c r="AA1028">
        <v>304.06</v>
      </c>
      <c r="AB1028">
        <v>49</v>
      </c>
    </row>
    <row r="1029" spans="1:28" x14ac:dyDescent="0.2">
      <c r="A1029">
        <v>1530</v>
      </c>
      <c r="B1029" s="1">
        <v>44908</v>
      </c>
      <c r="C1029" t="s">
        <v>28</v>
      </c>
      <c r="D1029" t="s">
        <v>54</v>
      </c>
      <c r="E1029" t="s">
        <v>30</v>
      </c>
      <c r="F1029" t="s">
        <v>31</v>
      </c>
      <c r="G1029" t="s">
        <v>56</v>
      </c>
      <c r="H1029" t="s">
        <v>55</v>
      </c>
      <c r="I1029" t="s">
        <v>34</v>
      </c>
      <c r="J1029" t="s">
        <v>70</v>
      </c>
      <c r="K1029" s="2">
        <v>36558</v>
      </c>
      <c r="L1029" t="s">
        <v>36</v>
      </c>
      <c r="M1029" t="s">
        <v>37</v>
      </c>
      <c r="N1029" t="s">
        <v>60</v>
      </c>
      <c r="O1029" t="s">
        <v>61</v>
      </c>
      <c r="P1029" t="s">
        <v>40</v>
      </c>
      <c r="Q1029">
        <v>3</v>
      </c>
      <c r="R1029" s="2">
        <v>44865</v>
      </c>
      <c r="S1029">
        <v>1</v>
      </c>
      <c r="T1029">
        <v>2</v>
      </c>
      <c r="U1029">
        <v>3</v>
      </c>
      <c r="V1029" s="1">
        <v>45083</v>
      </c>
      <c r="W1029" t="s">
        <v>62</v>
      </c>
      <c r="X1029" t="s">
        <v>51</v>
      </c>
      <c r="Y1029" t="s">
        <v>73</v>
      </c>
      <c r="Z1029">
        <v>4</v>
      </c>
      <c r="AA1029">
        <v>261.13</v>
      </c>
      <c r="AB1029">
        <v>22</v>
      </c>
    </row>
    <row r="1030" spans="1:28" x14ac:dyDescent="0.2">
      <c r="A1030">
        <v>1534</v>
      </c>
      <c r="B1030" s="1">
        <v>44619</v>
      </c>
      <c r="C1030" t="s">
        <v>106</v>
      </c>
      <c r="D1030" t="s">
        <v>29</v>
      </c>
      <c r="E1030" t="s">
        <v>30</v>
      </c>
      <c r="F1030" t="s">
        <v>55</v>
      </c>
      <c r="G1030" t="s">
        <v>56</v>
      </c>
      <c r="H1030" t="s">
        <v>33</v>
      </c>
      <c r="I1030" t="s">
        <v>34</v>
      </c>
      <c r="J1030" t="s">
        <v>70</v>
      </c>
      <c r="K1030" s="2">
        <v>23691</v>
      </c>
      <c r="L1030" t="s">
        <v>36</v>
      </c>
      <c r="M1030" t="s">
        <v>48</v>
      </c>
      <c r="N1030" t="s">
        <v>38</v>
      </c>
      <c r="O1030" t="s">
        <v>67</v>
      </c>
      <c r="P1030" t="s">
        <v>40</v>
      </c>
      <c r="Q1030">
        <v>3</v>
      </c>
      <c r="R1030" s="2">
        <v>44785</v>
      </c>
      <c r="S1030">
        <v>1</v>
      </c>
      <c r="T1030">
        <v>1</v>
      </c>
      <c r="U1030">
        <v>5</v>
      </c>
      <c r="V1030" s="1">
        <v>44861</v>
      </c>
      <c r="W1030" t="s">
        <v>62</v>
      </c>
      <c r="X1030" t="s">
        <v>51</v>
      </c>
      <c r="Y1030" t="s">
        <v>43</v>
      </c>
      <c r="Z1030">
        <v>1</v>
      </c>
      <c r="AA1030">
        <v>857.19</v>
      </c>
      <c r="AB1030">
        <v>58</v>
      </c>
    </row>
    <row r="1031" spans="1:28" x14ac:dyDescent="0.2">
      <c r="A1031">
        <v>1535</v>
      </c>
      <c r="B1031" s="1">
        <v>44324</v>
      </c>
      <c r="C1031" t="s">
        <v>106</v>
      </c>
      <c r="D1031" t="s">
        <v>85</v>
      </c>
      <c r="E1031" t="s">
        <v>30</v>
      </c>
      <c r="F1031" t="s">
        <v>31</v>
      </c>
      <c r="G1031" t="s">
        <v>56</v>
      </c>
      <c r="H1031" t="s">
        <v>46</v>
      </c>
      <c r="I1031" t="s">
        <v>34</v>
      </c>
      <c r="J1031" t="s">
        <v>65</v>
      </c>
      <c r="K1031" s="2">
        <v>36841</v>
      </c>
      <c r="L1031" t="s">
        <v>36</v>
      </c>
      <c r="M1031" t="s">
        <v>37</v>
      </c>
      <c r="N1031" t="s">
        <v>72</v>
      </c>
      <c r="O1031" t="s">
        <v>39</v>
      </c>
      <c r="P1031" t="s">
        <v>40</v>
      </c>
      <c r="Q1031">
        <v>3</v>
      </c>
      <c r="R1031" s="2">
        <v>44903</v>
      </c>
      <c r="S1031">
        <v>4</v>
      </c>
      <c r="T1031">
        <v>2</v>
      </c>
      <c r="U1031">
        <v>1</v>
      </c>
      <c r="V1031" s="1">
        <v>44843</v>
      </c>
      <c r="W1031" t="s">
        <v>50</v>
      </c>
      <c r="X1031" t="s">
        <v>42</v>
      </c>
      <c r="Y1031" t="s">
        <v>43</v>
      </c>
      <c r="Z1031">
        <v>3</v>
      </c>
      <c r="AA1031">
        <v>442.86</v>
      </c>
      <c r="AB1031">
        <v>21</v>
      </c>
    </row>
    <row r="1032" spans="1:28" x14ac:dyDescent="0.2">
      <c r="A1032">
        <v>1536</v>
      </c>
      <c r="B1032" s="1">
        <v>44922</v>
      </c>
      <c r="C1032" t="s">
        <v>106</v>
      </c>
      <c r="D1032" t="s">
        <v>44</v>
      </c>
      <c r="E1032" t="s">
        <v>30</v>
      </c>
      <c r="F1032" t="s">
        <v>31</v>
      </c>
      <c r="G1032" t="s">
        <v>32</v>
      </c>
      <c r="H1032" t="s">
        <v>46</v>
      </c>
      <c r="I1032" t="s">
        <v>34</v>
      </c>
      <c r="J1032" t="s">
        <v>65</v>
      </c>
      <c r="K1032" s="2">
        <v>20442</v>
      </c>
      <c r="L1032" t="s">
        <v>36</v>
      </c>
      <c r="M1032" t="s">
        <v>37</v>
      </c>
      <c r="N1032" t="s">
        <v>84</v>
      </c>
      <c r="O1032" t="s">
        <v>61</v>
      </c>
      <c r="P1032" t="s">
        <v>40</v>
      </c>
      <c r="Q1032">
        <v>3</v>
      </c>
      <c r="R1032" s="2">
        <v>45004</v>
      </c>
      <c r="S1032">
        <v>5</v>
      </c>
      <c r="T1032">
        <v>3</v>
      </c>
      <c r="U1032">
        <v>5</v>
      </c>
      <c r="V1032" s="1">
        <v>44953</v>
      </c>
      <c r="W1032" t="s">
        <v>92</v>
      </c>
      <c r="X1032" t="s">
        <v>42</v>
      </c>
      <c r="Y1032" t="s">
        <v>73</v>
      </c>
      <c r="Z1032">
        <v>4</v>
      </c>
      <c r="AA1032">
        <v>382</v>
      </c>
      <c r="AB1032">
        <v>67</v>
      </c>
    </row>
    <row r="1033" spans="1:28" x14ac:dyDescent="0.2">
      <c r="A1033">
        <v>1537</v>
      </c>
      <c r="B1033" s="1">
        <v>44059</v>
      </c>
      <c r="C1033" t="s">
        <v>106</v>
      </c>
      <c r="D1033" t="s">
        <v>87</v>
      </c>
      <c r="E1033" t="s">
        <v>30</v>
      </c>
      <c r="F1033" t="s">
        <v>31</v>
      </c>
      <c r="G1033" t="s">
        <v>56</v>
      </c>
      <c r="H1033" t="s">
        <v>55</v>
      </c>
      <c r="I1033" t="s">
        <v>34</v>
      </c>
      <c r="J1033" t="s">
        <v>96</v>
      </c>
      <c r="K1033" s="2">
        <v>18275</v>
      </c>
      <c r="L1033" t="s">
        <v>36</v>
      </c>
      <c r="M1033" t="s">
        <v>48</v>
      </c>
      <c r="N1033" t="s">
        <v>49</v>
      </c>
      <c r="O1033" t="s">
        <v>77</v>
      </c>
      <c r="P1033" t="s">
        <v>40</v>
      </c>
      <c r="Q1033">
        <v>3</v>
      </c>
      <c r="R1033" s="2">
        <v>44779</v>
      </c>
      <c r="S1033">
        <v>5</v>
      </c>
      <c r="T1033">
        <v>2</v>
      </c>
      <c r="U1033">
        <v>4</v>
      </c>
      <c r="V1033" s="1">
        <v>45136</v>
      </c>
      <c r="W1033" t="s">
        <v>92</v>
      </c>
      <c r="X1033" t="s">
        <v>51</v>
      </c>
      <c r="Y1033" t="s">
        <v>52</v>
      </c>
      <c r="Z1033">
        <v>2</v>
      </c>
      <c r="AA1033">
        <v>430.09</v>
      </c>
      <c r="AB1033">
        <v>70</v>
      </c>
    </row>
    <row r="1034" spans="1:28" x14ac:dyDescent="0.2">
      <c r="A1034">
        <v>1538</v>
      </c>
      <c r="B1034" s="1">
        <v>44946</v>
      </c>
      <c r="C1034" t="s">
        <v>106</v>
      </c>
      <c r="D1034" t="s">
        <v>64</v>
      </c>
      <c r="E1034" t="s">
        <v>30</v>
      </c>
      <c r="F1034" t="s">
        <v>31</v>
      </c>
      <c r="G1034" t="s">
        <v>56</v>
      </c>
      <c r="H1034" t="s">
        <v>55</v>
      </c>
      <c r="I1034" t="s">
        <v>34</v>
      </c>
      <c r="J1034" t="s">
        <v>89</v>
      </c>
      <c r="K1034" s="2">
        <v>36909</v>
      </c>
      <c r="L1034" t="s">
        <v>36</v>
      </c>
      <c r="M1034" t="s">
        <v>48</v>
      </c>
      <c r="N1034" t="s">
        <v>38</v>
      </c>
      <c r="O1034" t="s">
        <v>39</v>
      </c>
      <c r="P1034" t="s">
        <v>40</v>
      </c>
      <c r="Q1034">
        <v>3</v>
      </c>
      <c r="R1034" s="2">
        <v>44876</v>
      </c>
      <c r="S1034">
        <v>2</v>
      </c>
      <c r="T1034">
        <v>4</v>
      </c>
      <c r="U1034">
        <v>5</v>
      </c>
      <c r="V1034" s="1">
        <v>44855</v>
      </c>
      <c r="W1034" t="s">
        <v>41</v>
      </c>
      <c r="X1034" t="s">
        <v>51</v>
      </c>
      <c r="Y1034" t="s">
        <v>43</v>
      </c>
      <c r="Z1034">
        <v>3</v>
      </c>
      <c r="AA1034">
        <v>854.47</v>
      </c>
      <c r="AB1034">
        <v>22</v>
      </c>
    </row>
    <row r="1035" spans="1:28" x14ac:dyDescent="0.2">
      <c r="A1035">
        <v>1539</v>
      </c>
      <c r="B1035" s="1">
        <v>44193</v>
      </c>
      <c r="C1035" t="s">
        <v>106</v>
      </c>
      <c r="D1035" t="s">
        <v>94</v>
      </c>
      <c r="E1035" t="s">
        <v>108</v>
      </c>
      <c r="F1035" t="s">
        <v>46</v>
      </c>
      <c r="G1035" t="s">
        <v>45</v>
      </c>
      <c r="H1035" t="s">
        <v>55</v>
      </c>
      <c r="I1035" t="s">
        <v>34</v>
      </c>
      <c r="J1035" t="s">
        <v>96</v>
      </c>
      <c r="K1035" s="2">
        <v>22342</v>
      </c>
      <c r="L1035" t="s">
        <v>36</v>
      </c>
      <c r="M1035" t="s">
        <v>48</v>
      </c>
      <c r="N1035" t="s">
        <v>49</v>
      </c>
      <c r="O1035" t="s">
        <v>39</v>
      </c>
      <c r="P1035" t="s">
        <v>40</v>
      </c>
      <c r="Q1035">
        <v>3</v>
      </c>
      <c r="R1035" s="2">
        <v>44948</v>
      </c>
      <c r="S1035">
        <v>4</v>
      </c>
      <c r="T1035">
        <v>4</v>
      </c>
      <c r="U1035">
        <v>5</v>
      </c>
      <c r="V1035" s="1">
        <v>44915</v>
      </c>
      <c r="W1035" t="s">
        <v>92</v>
      </c>
      <c r="X1035" t="s">
        <v>42</v>
      </c>
      <c r="Y1035" t="s">
        <v>73</v>
      </c>
      <c r="Z1035">
        <v>5</v>
      </c>
      <c r="AA1035">
        <v>899.57</v>
      </c>
      <c r="AB1035">
        <v>59</v>
      </c>
    </row>
    <row r="1036" spans="1:28" x14ac:dyDescent="0.2">
      <c r="A1036">
        <v>1540</v>
      </c>
      <c r="B1036" s="1">
        <v>44245</v>
      </c>
      <c r="C1036" t="s">
        <v>28</v>
      </c>
      <c r="D1036" t="s">
        <v>69</v>
      </c>
      <c r="E1036" t="s">
        <v>30</v>
      </c>
      <c r="F1036" t="s">
        <v>31</v>
      </c>
      <c r="G1036" t="s">
        <v>32</v>
      </c>
      <c r="H1036" t="s">
        <v>33</v>
      </c>
      <c r="I1036" t="s">
        <v>34</v>
      </c>
      <c r="J1036" t="s">
        <v>110</v>
      </c>
      <c r="K1036" s="2">
        <v>24522</v>
      </c>
      <c r="L1036" t="s">
        <v>36</v>
      </c>
      <c r="M1036" t="s">
        <v>37</v>
      </c>
      <c r="N1036" t="s">
        <v>72</v>
      </c>
      <c r="O1036" t="s">
        <v>39</v>
      </c>
      <c r="P1036" t="s">
        <v>40</v>
      </c>
      <c r="Q1036">
        <v>3</v>
      </c>
      <c r="R1036" s="2">
        <v>44950</v>
      </c>
      <c r="S1036">
        <v>2</v>
      </c>
      <c r="T1036">
        <v>4</v>
      </c>
      <c r="U1036">
        <v>2</v>
      </c>
      <c r="V1036" s="1">
        <v>44861</v>
      </c>
      <c r="W1036" t="s">
        <v>92</v>
      </c>
      <c r="X1036" t="s">
        <v>42</v>
      </c>
      <c r="Y1036" t="s">
        <v>52</v>
      </c>
      <c r="Z1036">
        <v>1</v>
      </c>
      <c r="AA1036">
        <v>686.34</v>
      </c>
      <c r="AB1036">
        <v>54</v>
      </c>
    </row>
    <row r="1037" spans="1:28" x14ac:dyDescent="0.2">
      <c r="A1037">
        <v>1541</v>
      </c>
      <c r="B1037" s="1">
        <v>44212</v>
      </c>
      <c r="C1037" t="s">
        <v>28</v>
      </c>
      <c r="D1037" t="s">
        <v>29</v>
      </c>
      <c r="E1037" t="s">
        <v>30</v>
      </c>
      <c r="F1037" t="s">
        <v>46</v>
      </c>
      <c r="G1037" t="s">
        <v>32</v>
      </c>
      <c r="H1037" t="s">
        <v>55</v>
      </c>
      <c r="I1037" t="s">
        <v>34</v>
      </c>
      <c r="J1037" t="s">
        <v>58</v>
      </c>
      <c r="K1037" s="2">
        <v>26646</v>
      </c>
      <c r="L1037" t="s">
        <v>36</v>
      </c>
      <c r="M1037" t="s">
        <v>37</v>
      </c>
      <c r="N1037" t="s">
        <v>72</v>
      </c>
      <c r="O1037" t="s">
        <v>39</v>
      </c>
      <c r="P1037" t="s">
        <v>40</v>
      </c>
      <c r="Q1037">
        <v>3</v>
      </c>
      <c r="R1037" s="2">
        <v>44921</v>
      </c>
      <c r="S1037">
        <v>1</v>
      </c>
      <c r="T1037">
        <v>4</v>
      </c>
      <c r="U1037">
        <v>1</v>
      </c>
      <c r="V1037" s="1">
        <v>44974</v>
      </c>
      <c r="W1037" t="s">
        <v>92</v>
      </c>
      <c r="X1037" t="s">
        <v>42</v>
      </c>
      <c r="Y1037" t="s">
        <v>73</v>
      </c>
      <c r="Z1037">
        <v>4</v>
      </c>
      <c r="AA1037">
        <v>770.12</v>
      </c>
      <c r="AB1037">
        <v>49</v>
      </c>
    </row>
    <row r="1038" spans="1:28" x14ac:dyDescent="0.2">
      <c r="A1038">
        <v>1542</v>
      </c>
      <c r="B1038" s="1">
        <v>44658</v>
      </c>
      <c r="C1038" t="s">
        <v>28</v>
      </c>
      <c r="D1038" t="s">
        <v>85</v>
      </c>
      <c r="E1038" t="s">
        <v>30</v>
      </c>
      <c r="F1038" t="s">
        <v>55</v>
      </c>
      <c r="G1038" t="s">
        <v>45</v>
      </c>
      <c r="H1038" t="s">
        <v>33</v>
      </c>
      <c r="I1038" t="s">
        <v>34</v>
      </c>
      <c r="J1038" t="s">
        <v>89</v>
      </c>
      <c r="K1038" s="2">
        <v>33949</v>
      </c>
      <c r="L1038" t="s">
        <v>36</v>
      </c>
      <c r="M1038" t="s">
        <v>48</v>
      </c>
      <c r="N1038" t="s">
        <v>38</v>
      </c>
      <c r="O1038" t="s">
        <v>67</v>
      </c>
      <c r="P1038" t="s">
        <v>40</v>
      </c>
      <c r="Q1038">
        <v>3</v>
      </c>
      <c r="R1038" s="2">
        <v>45138</v>
      </c>
      <c r="S1038">
        <v>5</v>
      </c>
      <c r="T1038">
        <v>4</v>
      </c>
      <c r="U1038">
        <v>4</v>
      </c>
      <c r="V1038" s="1">
        <v>44841</v>
      </c>
      <c r="W1038" t="s">
        <v>41</v>
      </c>
      <c r="X1038" t="s">
        <v>51</v>
      </c>
      <c r="Y1038" t="s">
        <v>52</v>
      </c>
      <c r="Z1038">
        <v>4</v>
      </c>
      <c r="AA1038">
        <v>180.73</v>
      </c>
      <c r="AB1038">
        <v>30</v>
      </c>
    </row>
    <row r="1039" spans="1:28" x14ac:dyDescent="0.2">
      <c r="A1039">
        <v>1543</v>
      </c>
      <c r="B1039" s="1">
        <v>43657</v>
      </c>
      <c r="C1039" t="s">
        <v>28</v>
      </c>
      <c r="D1039" t="s">
        <v>44</v>
      </c>
      <c r="E1039" t="s">
        <v>30</v>
      </c>
      <c r="F1039" t="s">
        <v>46</v>
      </c>
      <c r="G1039" t="s">
        <v>45</v>
      </c>
      <c r="H1039" t="s">
        <v>46</v>
      </c>
      <c r="I1039" t="s">
        <v>34</v>
      </c>
      <c r="J1039" t="s">
        <v>70</v>
      </c>
      <c r="K1039" s="2">
        <v>22478</v>
      </c>
      <c r="L1039" t="s">
        <v>36</v>
      </c>
      <c r="M1039" t="s">
        <v>48</v>
      </c>
      <c r="N1039" t="s">
        <v>72</v>
      </c>
      <c r="O1039" t="s">
        <v>67</v>
      </c>
      <c r="P1039" t="s">
        <v>40</v>
      </c>
      <c r="Q1039">
        <v>3</v>
      </c>
      <c r="R1039" s="2">
        <v>44933</v>
      </c>
      <c r="S1039">
        <v>4</v>
      </c>
      <c r="T1039">
        <v>1</v>
      </c>
      <c r="U1039">
        <v>1</v>
      </c>
      <c r="V1039" s="1">
        <v>45047</v>
      </c>
      <c r="W1039" t="s">
        <v>68</v>
      </c>
      <c r="X1039" t="s">
        <v>42</v>
      </c>
      <c r="Y1039" t="s">
        <v>52</v>
      </c>
      <c r="Z1039">
        <v>2</v>
      </c>
      <c r="AA1039">
        <v>734.87</v>
      </c>
      <c r="AB1039">
        <v>58</v>
      </c>
    </row>
    <row r="1040" spans="1:28" x14ac:dyDescent="0.2">
      <c r="A1040">
        <v>1544</v>
      </c>
      <c r="B1040" s="1">
        <v>44052</v>
      </c>
      <c r="C1040" t="s">
        <v>28</v>
      </c>
      <c r="D1040" t="s">
        <v>87</v>
      </c>
      <c r="E1040" t="s">
        <v>30</v>
      </c>
      <c r="F1040" t="s">
        <v>46</v>
      </c>
      <c r="G1040" t="s">
        <v>32</v>
      </c>
      <c r="H1040" t="s">
        <v>33</v>
      </c>
      <c r="I1040" t="s">
        <v>34</v>
      </c>
      <c r="J1040" t="s">
        <v>75</v>
      </c>
      <c r="K1040" s="2">
        <v>34472</v>
      </c>
      <c r="L1040" t="s">
        <v>36</v>
      </c>
      <c r="M1040" t="s">
        <v>37</v>
      </c>
      <c r="N1040" t="s">
        <v>60</v>
      </c>
      <c r="O1040" t="s">
        <v>67</v>
      </c>
      <c r="P1040" t="s">
        <v>40</v>
      </c>
      <c r="Q1040">
        <v>3</v>
      </c>
      <c r="R1040" s="2">
        <v>45097</v>
      </c>
      <c r="S1040">
        <v>5</v>
      </c>
      <c r="T1040">
        <v>1</v>
      </c>
      <c r="U1040">
        <v>5</v>
      </c>
      <c r="V1040" s="1">
        <v>44857</v>
      </c>
      <c r="W1040" t="s">
        <v>92</v>
      </c>
      <c r="X1040" t="s">
        <v>42</v>
      </c>
      <c r="Y1040" t="s">
        <v>73</v>
      </c>
      <c r="Z1040">
        <v>3</v>
      </c>
      <c r="AA1040">
        <v>811.24</v>
      </c>
      <c r="AB1040">
        <v>26</v>
      </c>
    </row>
    <row r="1041" spans="1:28" x14ac:dyDescent="0.2">
      <c r="A1041">
        <v>1545</v>
      </c>
      <c r="B1041" s="1">
        <v>43363</v>
      </c>
      <c r="C1041" t="s">
        <v>28</v>
      </c>
      <c r="D1041" t="s">
        <v>64</v>
      </c>
      <c r="E1041" t="s">
        <v>30</v>
      </c>
      <c r="F1041" t="s">
        <v>31</v>
      </c>
      <c r="G1041" t="s">
        <v>45</v>
      </c>
      <c r="H1041" t="s">
        <v>46</v>
      </c>
      <c r="I1041" t="s">
        <v>34</v>
      </c>
      <c r="J1041" t="s">
        <v>70</v>
      </c>
      <c r="K1041" s="2">
        <v>20948</v>
      </c>
      <c r="L1041" t="s">
        <v>36</v>
      </c>
      <c r="M1041" t="s">
        <v>37</v>
      </c>
      <c r="N1041" t="s">
        <v>49</v>
      </c>
      <c r="O1041" t="s">
        <v>67</v>
      </c>
      <c r="P1041" t="s">
        <v>40</v>
      </c>
      <c r="Q1041">
        <v>3</v>
      </c>
      <c r="R1041" s="2">
        <v>44794</v>
      </c>
      <c r="S1041">
        <v>2</v>
      </c>
      <c r="T1041">
        <v>4</v>
      </c>
      <c r="U1041">
        <v>2</v>
      </c>
      <c r="V1041" s="1">
        <v>44962</v>
      </c>
      <c r="W1041" t="s">
        <v>41</v>
      </c>
      <c r="X1041" t="s">
        <v>42</v>
      </c>
      <c r="Y1041" t="s">
        <v>73</v>
      </c>
      <c r="Z1041">
        <v>3</v>
      </c>
      <c r="AA1041">
        <v>566</v>
      </c>
      <c r="AB1041">
        <v>61</v>
      </c>
    </row>
    <row r="1042" spans="1:28" x14ac:dyDescent="0.2">
      <c r="A1042">
        <v>1546</v>
      </c>
      <c r="B1042" s="1">
        <v>43851</v>
      </c>
      <c r="C1042" t="s">
        <v>28</v>
      </c>
      <c r="D1042" t="s">
        <v>94</v>
      </c>
      <c r="E1042" t="s">
        <v>30</v>
      </c>
      <c r="F1042" t="s">
        <v>46</v>
      </c>
      <c r="G1042" t="s">
        <v>56</v>
      </c>
      <c r="H1042" t="s">
        <v>46</v>
      </c>
      <c r="I1042" t="s">
        <v>34</v>
      </c>
      <c r="J1042" t="s">
        <v>89</v>
      </c>
      <c r="K1042" s="2">
        <v>19219</v>
      </c>
      <c r="L1042" t="s">
        <v>36</v>
      </c>
      <c r="M1042" t="s">
        <v>37</v>
      </c>
      <c r="N1042" t="s">
        <v>49</v>
      </c>
      <c r="O1042" t="s">
        <v>39</v>
      </c>
      <c r="P1042" t="s">
        <v>40</v>
      </c>
      <c r="Q1042">
        <v>3</v>
      </c>
      <c r="R1042" s="2">
        <v>45072</v>
      </c>
      <c r="S1042">
        <v>3</v>
      </c>
      <c r="T1042">
        <v>1</v>
      </c>
      <c r="U1042">
        <v>5</v>
      </c>
      <c r="V1042" s="1">
        <v>44983</v>
      </c>
      <c r="W1042" t="s">
        <v>62</v>
      </c>
      <c r="X1042" t="s">
        <v>51</v>
      </c>
      <c r="Y1042" t="s">
        <v>52</v>
      </c>
      <c r="Z1042">
        <v>5</v>
      </c>
      <c r="AA1042">
        <v>638.91999999999996</v>
      </c>
      <c r="AB1042">
        <v>68</v>
      </c>
    </row>
    <row r="1043" spans="1:28" x14ac:dyDescent="0.2">
      <c r="A1043">
        <v>1547</v>
      </c>
      <c r="B1043" s="1">
        <v>44609</v>
      </c>
      <c r="C1043" t="s">
        <v>28</v>
      </c>
      <c r="D1043" t="s">
        <v>74</v>
      </c>
      <c r="E1043" t="s">
        <v>30</v>
      </c>
      <c r="F1043" t="s">
        <v>31</v>
      </c>
      <c r="G1043" t="s">
        <v>56</v>
      </c>
      <c r="H1043" t="s">
        <v>33</v>
      </c>
      <c r="I1043" t="s">
        <v>34</v>
      </c>
      <c r="J1043" t="s">
        <v>110</v>
      </c>
      <c r="K1043" s="2">
        <v>34328</v>
      </c>
      <c r="L1043" t="s">
        <v>36</v>
      </c>
      <c r="M1043" t="s">
        <v>37</v>
      </c>
      <c r="N1043" t="s">
        <v>49</v>
      </c>
      <c r="O1043" t="s">
        <v>39</v>
      </c>
      <c r="P1043" t="s">
        <v>40</v>
      </c>
      <c r="Q1043">
        <v>3</v>
      </c>
      <c r="R1043" s="2">
        <v>44828</v>
      </c>
      <c r="S1043">
        <v>4</v>
      </c>
      <c r="T1043">
        <v>4</v>
      </c>
      <c r="U1043">
        <v>4</v>
      </c>
      <c r="V1043" s="1">
        <v>45020</v>
      </c>
      <c r="W1043" t="s">
        <v>41</v>
      </c>
      <c r="X1043" t="s">
        <v>42</v>
      </c>
      <c r="Y1043" t="s">
        <v>52</v>
      </c>
      <c r="Z1043">
        <v>3</v>
      </c>
      <c r="AA1043">
        <v>340.07</v>
      </c>
      <c r="AB1043">
        <v>29</v>
      </c>
    </row>
    <row r="1044" spans="1:28" x14ac:dyDescent="0.2">
      <c r="A1044">
        <v>1548</v>
      </c>
      <c r="B1044" s="1">
        <v>43627</v>
      </c>
      <c r="C1044" t="s">
        <v>28</v>
      </c>
      <c r="D1044" t="s">
        <v>81</v>
      </c>
      <c r="E1044" t="s">
        <v>30</v>
      </c>
      <c r="F1044" t="s">
        <v>46</v>
      </c>
      <c r="G1044" t="s">
        <v>45</v>
      </c>
      <c r="H1044" t="s">
        <v>55</v>
      </c>
      <c r="I1044" t="s">
        <v>34</v>
      </c>
      <c r="J1044" t="s">
        <v>79</v>
      </c>
      <c r="K1044" s="2">
        <v>23590</v>
      </c>
      <c r="L1044" t="s">
        <v>36</v>
      </c>
      <c r="M1044" t="s">
        <v>48</v>
      </c>
      <c r="N1044" t="s">
        <v>84</v>
      </c>
      <c r="O1044" t="s">
        <v>39</v>
      </c>
      <c r="P1044" t="s">
        <v>98</v>
      </c>
      <c r="Q1044">
        <v>3</v>
      </c>
      <c r="R1044" s="2">
        <v>45091</v>
      </c>
      <c r="S1044">
        <v>1</v>
      </c>
      <c r="T1044">
        <v>4</v>
      </c>
      <c r="U1044">
        <v>4</v>
      </c>
      <c r="V1044" s="1">
        <v>45028</v>
      </c>
      <c r="W1044" t="s">
        <v>92</v>
      </c>
      <c r="X1044" t="s">
        <v>42</v>
      </c>
      <c r="Y1044" t="s">
        <v>73</v>
      </c>
      <c r="Z1044">
        <v>4</v>
      </c>
      <c r="AA1044">
        <v>206.75</v>
      </c>
      <c r="AB1044">
        <v>55</v>
      </c>
    </row>
    <row r="1045" spans="1:28" x14ac:dyDescent="0.2">
      <c r="A1045">
        <v>1549</v>
      </c>
      <c r="B1045" s="1">
        <v>44686</v>
      </c>
      <c r="C1045" t="s">
        <v>28</v>
      </c>
      <c r="D1045" t="s">
        <v>54</v>
      </c>
      <c r="E1045" t="s">
        <v>30</v>
      </c>
      <c r="F1045" t="s">
        <v>46</v>
      </c>
      <c r="G1045" t="s">
        <v>32</v>
      </c>
      <c r="H1045" t="s">
        <v>55</v>
      </c>
      <c r="I1045" t="s">
        <v>34</v>
      </c>
      <c r="J1045" t="s">
        <v>82</v>
      </c>
      <c r="K1045" s="2">
        <v>33985</v>
      </c>
      <c r="L1045" t="s">
        <v>36</v>
      </c>
      <c r="M1045" t="s">
        <v>37</v>
      </c>
      <c r="N1045" t="s">
        <v>60</v>
      </c>
      <c r="O1045" t="s">
        <v>67</v>
      </c>
      <c r="P1045" t="s">
        <v>40</v>
      </c>
      <c r="Q1045">
        <v>3</v>
      </c>
      <c r="R1045" s="2">
        <v>45114</v>
      </c>
      <c r="S1045">
        <v>2</v>
      </c>
      <c r="T1045">
        <v>3</v>
      </c>
      <c r="U1045">
        <v>1</v>
      </c>
      <c r="V1045" s="1">
        <v>45081</v>
      </c>
      <c r="W1045" t="s">
        <v>62</v>
      </c>
      <c r="X1045" t="s">
        <v>51</v>
      </c>
      <c r="Y1045" t="s">
        <v>63</v>
      </c>
      <c r="Z1045">
        <v>1</v>
      </c>
      <c r="AA1045">
        <v>759.56</v>
      </c>
      <c r="AB1045">
        <v>29</v>
      </c>
    </row>
    <row r="1046" spans="1:28" x14ac:dyDescent="0.2">
      <c r="A1046">
        <v>1550</v>
      </c>
      <c r="B1046" s="1">
        <v>43362</v>
      </c>
      <c r="C1046" t="s">
        <v>28</v>
      </c>
      <c r="D1046" t="s">
        <v>69</v>
      </c>
      <c r="E1046" t="s">
        <v>30</v>
      </c>
      <c r="F1046" t="s">
        <v>55</v>
      </c>
      <c r="G1046" t="s">
        <v>45</v>
      </c>
      <c r="H1046" t="s">
        <v>33</v>
      </c>
      <c r="I1046" t="s">
        <v>34</v>
      </c>
      <c r="J1046" t="s">
        <v>70</v>
      </c>
      <c r="K1046" s="2">
        <v>22508</v>
      </c>
      <c r="L1046" t="s">
        <v>36</v>
      </c>
      <c r="M1046" t="s">
        <v>37</v>
      </c>
      <c r="N1046" t="s">
        <v>72</v>
      </c>
      <c r="O1046" t="s">
        <v>39</v>
      </c>
      <c r="P1046" t="s">
        <v>40</v>
      </c>
      <c r="Q1046">
        <v>3</v>
      </c>
      <c r="R1046" s="2">
        <v>44989</v>
      </c>
      <c r="S1046">
        <v>2</v>
      </c>
      <c r="T1046">
        <v>3</v>
      </c>
      <c r="U1046">
        <v>3</v>
      </c>
      <c r="V1046" s="1">
        <v>44874</v>
      </c>
      <c r="W1046" t="s">
        <v>50</v>
      </c>
      <c r="X1046" t="s">
        <v>51</v>
      </c>
      <c r="Y1046" t="s">
        <v>43</v>
      </c>
      <c r="Z1046">
        <v>3</v>
      </c>
      <c r="AA1046">
        <v>354.19</v>
      </c>
      <c r="AB1046">
        <v>57</v>
      </c>
    </row>
    <row r="1047" spans="1:28" x14ac:dyDescent="0.2">
      <c r="A1047">
        <v>1553</v>
      </c>
      <c r="B1047" s="1">
        <v>44912</v>
      </c>
      <c r="C1047" t="s">
        <v>28</v>
      </c>
      <c r="D1047" t="s">
        <v>44</v>
      </c>
      <c r="E1047" t="s">
        <v>30</v>
      </c>
      <c r="F1047" t="s">
        <v>46</v>
      </c>
      <c r="G1047" t="s">
        <v>32</v>
      </c>
      <c r="H1047" t="s">
        <v>46</v>
      </c>
      <c r="I1047" t="s">
        <v>34</v>
      </c>
      <c r="J1047" t="s">
        <v>70</v>
      </c>
      <c r="K1047" s="2">
        <v>22193</v>
      </c>
      <c r="L1047" t="s">
        <v>36</v>
      </c>
      <c r="M1047" t="s">
        <v>37</v>
      </c>
      <c r="N1047" t="s">
        <v>60</v>
      </c>
      <c r="O1047" t="s">
        <v>61</v>
      </c>
      <c r="P1047" t="s">
        <v>40</v>
      </c>
      <c r="Q1047">
        <v>3</v>
      </c>
      <c r="R1047" s="2">
        <v>44938</v>
      </c>
      <c r="S1047">
        <v>3</v>
      </c>
      <c r="T1047">
        <v>1</v>
      </c>
      <c r="U1047">
        <v>5</v>
      </c>
      <c r="V1047" s="1">
        <v>45004</v>
      </c>
      <c r="W1047" t="s">
        <v>41</v>
      </c>
      <c r="X1047" t="s">
        <v>51</v>
      </c>
      <c r="Y1047" t="s">
        <v>63</v>
      </c>
      <c r="Z1047">
        <v>3</v>
      </c>
      <c r="AA1047">
        <v>528.54999999999995</v>
      </c>
      <c r="AB1047">
        <v>62</v>
      </c>
    </row>
    <row r="1048" spans="1:28" x14ac:dyDescent="0.2">
      <c r="A1048">
        <v>1555</v>
      </c>
      <c r="B1048" s="1">
        <v>43551</v>
      </c>
      <c r="C1048" t="s">
        <v>106</v>
      </c>
      <c r="D1048" t="s">
        <v>54</v>
      </c>
      <c r="E1048" t="s">
        <v>30</v>
      </c>
      <c r="F1048" t="s">
        <v>46</v>
      </c>
      <c r="G1048" t="s">
        <v>45</v>
      </c>
      <c r="H1048" t="s">
        <v>46</v>
      </c>
      <c r="I1048" t="s">
        <v>34</v>
      </c>
      <c r="J1048" t="s">
        <v>70</v>
      </c>
      <c r="K1048" s="2">
        <v>24223</v>
      </c>
      <c r="L1048" t="s">
        <v>36</v>
      </c>
      <c r="M1048" t="s">
        <v>37</v>
      </c>
      <c r="N1048" t="s">
        <v>49</v>
      </c>
      <c r="O1048" t="s">
        <v>77</v>
      </c>
      <c r="P1048" t="s">
        <v>40</v>
      </c>
      <c r="Q1048">
        <v>3</v>
      </c>
      <c r="R1048" s="2">
        <v>44914</v>
      </c>
      <c r="S1048">
        <v>5</v>
      </c>
      <c r="T1048">
        <v>1</v>
      </c>
      <c r="U1048">
        <v>2</v>
      </c>
      <c r="V1048" s="1">
        <v>44983</v>
      </c>
      <c r="W1048" t="s">
        <v>68</v>
      </c>
      <c r="X1048" t="s">
        <v>51</v>
      </c>
      <c r="Y1048" t="s">
        <v>73</v>
      </c>
      <c r="Z1048">
        <v>5</v>
      </c>
      <c r="AA1048">
        <v>757.78</v>
      </c>
      <c r="AB1048">
        <v>53</v>
      </c>
    </row>
    <row r="1049" spans="1:28" x14ac:dyDescent="0.2">
      <c r="A1049">
        <v>1556</v>
      </c>
      <c r="B1049" s="1">
        <v>45054</v>
      </c>
      <c r="C1049" t="s">
        <v>106</v>
      </c>
      <c r="D1049" t="s">
        <v>94</v>
      </c>
      <c r="E1049" t="s">
        <v>30</v>
      </c>
      <c r="F1049" t="s">
        <v>55</v>
      </c>
      <c r="G1049" t="s">
        <v>56</v>
      </c>
      <c r="H1049" t="s">
        <v>33</v>
      </c>
      <c r="I1049" t="s">
        <v>34</v>
      </c>
      <c r="J1049" t="s">
        <v>96</v>
      </c>
      <c r="K1049" s="2">
        <v>34011</v>
      </c>
      <c r="L1049" t="s">
        <v>36</v>
      </c>
      <c r="M1049" t="s">
        <v>37</v>
      </c>
      <c r="N1049" t="s">
        <v>84</v>
      </c>
      <c r="O1049" t="s">
        <v>39</v>
      </c>
      <c r="P1049" t="s">
        <v>40</v>
      </c>
      <c r="Q1049">
        <v>3</v>
      </c>
      <c r="R1049" s="2">
        <v>44841</v>
      </c>
      <c r="S1049">
        <v>4</v>
      </c>
      <c r="T1049">
        <v>5</v>
      </c>
      <c r="U1049">
        <v>2</v>
      </c>
      <c r="V1049" s="1">
        <v>45087</v>
      </c>
      <c r="W1049" t="s">
        <v>92</v>
      </c>
      <c r="X1049" t="s">
        <v>51</v>
      </c>
      <c r="Y1049" t="s">
        <v>63</v>
      </c>
      <c r="Z1049">
        <v>1</v>
      </c>
      <c r="AA1049">
        <v>337.94</v>
      </c>
      <c r="AB1049">
        <v>30</v>
      </c>
    </row>
    <row r="1050" spans="1:28" x14ac:dyDescent="0.2">
      <c r="A1050">
        <v>1557</v>
      </c>
      <c r="B1050" s="1">
        <v>43446</v>
      </c>
      <c r="C1050" t="s">
        <v>106</v>
      </c>
      <c r="D1050" t="s">
        <v>85</v>
      </c>
      <c r="E1050" t="s">
        <v>108</v>
      </c>
      <c r="F1050" t="s">
        <v>46</v>
      </c>
      <c r="G1050" t="s">
        <v>56</v>
      </c>
      <c r="H1050" t="s">
        <v>33</v>
      </c>
      <c r="I1050" t="s">
        <v>34</v>
      </c>
      <c r="J1050" t="s">
        <v>96</v>
      </c>
      <c r="K1050" s="2">
        <v>33405</v>
      </c>
      <c r="L1050" t="s">
        <v>36</v>
      </c>
      <c r="M1050" t="s">
        <v>48</v>
      </c>
      <c r="N1050" t="s">
        <v>49</v>
      </c>
      <c r="O1050" t="s">
        <v>77</v>
      </c>
      <c r="P1050" t="s">
        <v>40</v>
      </c>
      <c r="Q1050">
        <v>3</v>
      </c>
      <c r="R1050" s="2">
        <v>44792</v>
      </c>
      <c r="S1050">
        <v>4</v>
      </c>
      <c r="T1050">
        <v>1</v>
      </c>
      <c r="U1050">
        <v>2</v>
      </c>
      <c r="V1050" s="1">
        <v>45083</v>
      </c>
      <c r="W1050" t="s">
        <v>50</v>
      </c>
      <c r="X1050" t="s">
        <v>51</v>
      </c>
      <c r="Y1050" t="s">
        <v>52</v>
      </c>
      <c r="Z1050">
        <v>5</v>
      </c>
      <c r="AA1050">
        <v>256.57</v>
      </c>
      <c r="AB1050">
        <v>27</v>
      </c>
    </row>
    <row r="1051" spans="1:28" x14ac:dyDescent="0.2">
      <c r="A1051">
        <v>1558</v>
      </c>
      <c r="B1051" s="1">
        <v>44068</v>
      </c>
      <c r="C1051" t="s">
        <v>106</v>
      </c>
      <c r="D1051" t="s">
        <v>64</v>
      </c>
      <c r="E1051" t="s">
        <v>30</v>
      </c>
      <c r="F1051" t="s">
        <v>46</v>
      </c>
      <c r="G1051" t="s">
        <v>45</v>
      </c>
      <c r="H1051" t="s">
        <v>33</v>
      </c>
      <c r="I1051" t="s">
        <v>34</v>
      </c>
      <c r="J1051" t="s">
        <v>70</v>
      </c>
      <c r="K1051" s="2">
        <v>29641</v>
      </c>
      <c r="L1051" t="s">
        <v>36</v>
      </c>
      <c r="M1051" t="s">
        <v>48</v>
      </c>
      <c r="N1051" t="s">
        <v>72</v>
      </c>
      <c r="O1051" t="s">
        <v>67</v>
      </c>
      <c r="P1051" t="s">
        <v>40</v>
      </c>
      <c r="Q1051">
        <v>3</v>
      </c>
      <c r="R1051" s="2">
        <v>44843</v>
      </c>
      <c r="S1051">
        <v>3</v>
      </c>
      <c r="T1051">
        <v>5</v>
      </c>
      <c r="U1051">
        <v>2</v>
      </c>
      <c r="V1051" s="1">
        <v>44829</v>
      </c>
      <c r="W1051" t="s">
        <v>41</v>
      </c>
      <c r="X1051" t="s">
        <v>51</v>
      </c>
      <c r="Y1051" t="s">
        <v>73</v>
      </c>
      <c r="Z1051">
        <v>2</v>
      </c>
      <c r="AA1051">
        <v>839.12</v>
      </c>
      <c r="AB1051">
        <v>39</v>
      </c>
    </row>
    <row r="1052" spans="1:28" x14ac:dyDescent="0.2">
      <c r="A1052">
        <v>1559</v>
      </c>
      <c r="B1052" s="1">
        <v>44673</v>
      </c>
      <c r="C1052" t="s">
        <v>106</v>
      </c>
      <c r="D1052" t="s">
        <v>74</v>
      </c>
      <c r="E1052" t="s">
        <v>108</v>
      </c>
      <c r="F1052" t="s">
        <v>55</v>
      </c>
      <c r="G1052" t="s">
        <v>56</v>
      </c>
      <c r="H1052" t="s">
        <v>55</v>
      </c>
      <c r="I1052" t="s">
        <v>34</v>
      </c>
      <c r="J1052" t="s">
        <v>96</v>
      </c>
      <c r="K1052" s="2">
        <v>24078</v>
      </c>
      <c r="L1052" t="s">
        <v>36</v>
      </c>
      <c r="M1052" t="s">
        <v>48</v>
      </c>
      <c r="N1052" t="s">
        <v>60</v>
      </c>
      <c r="O1052" t="s">
        <v>77</v>
      </c>
      <c r="P1052" t="s">
        <v>40</v>
      </c>
      <c r="Q1052">
        <v>3</v>
      </c>
      <c r="R1052" s="2">
        <v>44961</v>
      </c>
      <c r="S1052">
        <v>3</v>
      </c>
      <c r="T1052">
        <v>1</v>
      </c>
      <c r="U1052">
        <v>3</v>
      </c>
      <c r="V1052" s="1">
        <v>45024</v>
      </c>
      <c r="W1052" t="s">
        <v>62</v>
      </c>
      <c r="X1052" t="s">
        <v>51</v>
      </c>
      <c r="Y1052" t="s">
        <v>73</v>
      </c>
      <c r="Z1052">
        <v>1</v>
      </c>
      <c r="AA1052">
        <v>281.94</v>
      </c>
      <c r="AB1052">
        <v>57</v>
      </c>
    </row>
    <row r="1053" spans="1:28" x14ac:dyDescent="0.2">
      <c r="A1053">
        <v>1560</v>
      </c>
      <c r="B1053" s="1">
        <v>44550</v>
      </c>
      <c r="C1053" t="s">
        <v>106</v>
      </c>
      <c r="D1053" t="s">
        <v>94</v>
      </c>
      <c r="E1053" t="s">
        <v>108</v>
      </c>
      <c r="F1053" t="s">
        <v>55</v>
      </c>
      <c r="G1053" t="s">
        <v>45</v>
      </c>
      <c r="H1053" t="s">
        <v>55</v>
      </c>
      <c r="I1053" t="s">
        <v>34</v>
      </c>
      <c r="J1053" t="s">
        <v>65</v>
      </c>
      <c r="K1053" s="2">
        <v>17418</v>
      </c>
      <c r="L1053" t="s">
        <v>36</v>
      </c>
      <c r="M1053" t="s">
        <v>48</v>
      </c>
      <c r="N1053" t="s">
        <v>60</v>
      </c>
      <c r="O1053" t="s">
        <v>77</v>
      </c>
      <c r="P1053" t="s">
        <v>40</v>
      </c>
      <c r="Q1053">
        <v>3</v>
      </c>
      <c r="R1053" s="2">
        <v>44949</v>
      </c>
      <c r="S1053">
        <v>1</v>
      </c>
      <c r="T1053">
        <v>2</v>
      </c>
      <c r="U1053">
        <v>4</v>
      </c>
      <c r="V1053" s="1">
        <v>45112</v>
      </c>
      <c r="W1053" t="s">
        <v>68</v>
      </c>
      <c r="X1053" t="s">
        <v>51</v>
      </c>
      <c r="Y1053" t="s">
        <v>63</v>
      </c>
      <c r="Z1053">
        <v>2</v>
      </c>
      <c r="AA1053">
        <v>821.41</v>
      </c>
      <c r="AB1053">
        <v>74</v>
      </c>
    </row>
    <row r="1054" spans="1:28" x14ac:dyDescent="0.2">
      <c r="A1054">
        <v>1561</v>
      </c>
      <c r="B1054" s="1">
        <v>44239</v>
      </c>
      <c r="C1054" t="s">
        <v>28</v>
      </c>
      <c r="D1054" t="s">
        <v>54</v>
      </c>
      <c r="E1054" t="s">
        <v>30</v>
      </c>
      <c r="F1054" t="s">
        <v>31</v>
      </c>
      <c r="G1054" t="s">
        <v>32</v>
      </c>
      <c r="H1054" t="s">
        <v>55</v>
      </c>
      <c r="I1054" t="s">
        <v>34</v>
      </c>
      <c r="J1054" t="s">
        <v>65</v>
      </c>
      <c r="K1054" s="2">
        <v>20604</v>
      </c>
      <c r="L1054" t="s">
        <v>36</v>
      </c>
      <c r="M1054" t="s">
        <v>37</v>
      </c>
      <c r="N1054" t="s">
        <v>49</v>
      </c>
      <c r="O1054" t="s">
        <v>61</v>
      </c>
      <c r="P1054" t="s">
        <v>40</v>
      </c>
      <c r="Q1054">
        <v>3</v>
      </c>
      <c r="R1054" s="2">
        <v>45017</v>
      </c>
      <c r="S1054">
        <v>5</v>
      </c>
      <c r="T1054">
        <v>1</v>
      </c>
      <c r="U1054">
        <v>3</v>
      </c>
      <c r="V1054" s="1">
        <v>44853</v>
      </c>
      <c r="W1054" t="s">
        <v>41</v>
      </c>
      <c r="X1054" t="s">
        <v>42</v>
      </c>
      <c r="Y1054" t="s">
        <v>52</v>
      </c>
      <c r="Z1054">
        <v>3</v>
      </c>
      <c r="AA1054">
        <v>924.06</v>
      </c>
      <c r="AB1054">
        <v>65</v>
      </c>
    </row>
    <row r="1055" spans="1:28" x14ac:dyDescent="0.2">
      <c r="A1055">
        <v>1562</v>
      </c>
      <c r="B1055" s="1">
        <v>44103</v>
      </c>
      <c r="C1055" t="s">
        <v>28</v>
      </c>
      <c r="D1055" t="s">
        <v>69</v>
      </c>
      <c r="E1055" t="s">
        <v>30</v>
      </c>
      <c r="F1055" t="s">
        <v>55</v>
      </c>
      <c r="G1055" t="s">
        <v>56</v>
      </c>
      <c r="H1055" t="s">
        <v>33</v>
      </c>
      <c r="I1055" t="s">
        <v>34</v>
      </c>
      <c r="J1055" t="s">
        <v>58</v>
      </c>
      <c r="K1055" s="2">
        <v>16140</v>
      </c>
      <c r="L1055" t="s">
        <v>36</v>
      </c>
      <c r="M1055" t="s">
        <v>37</v>
      </c>
      <c r="N1055" t="s">
        <v>72</v>
      </c>
      <c r="O1055" t="s">
        <v>61</v>
      </c>
      <c r="P1055" t="s">
        <v>40</v>
      </c>
      <c r="Q1055">
        <v>3</v>
      </c>
      <c r="R1055" s="2">
        <v>45037</v>
      </c>
      <c r="S1055">
        <v>3</v>
      </c>
      <c r="T1055">
        <v>2</v>
      </c>
      <c r="U1055">
        <v>1</v>
      </c>
      <c r="V1055" s="1">
        <v>44919</v>
      </c>
      <c r="W1055" t="s">
        <v>41</v>
      </c>
      <c r="X1055" t="s">
        <v>42</v>
      </c>
      <c r="Y1055" t="s">
        <v>73</v>
      </c>
      <c r="Z1055">
        <v>2</v>
      </c>
      <c r="AA1055">
        <v>578.66</v>
      </c>
      <c r="AB1055">
        <v>76</v>
      </c>
    </row>
    <row r="1056" spans="1:28" x14ac:dyDescent="0.2">
      <c r="A1056">
        <v>1563</v>
      </c>
      <c r="B1056" s="1">
        <v>44814</v>
      </c>
      <c r="C1056" t="s">
        <v>28</v>
      </c>
      <c r="D1056" t="s">
        <v>29</v>
      </c>
      <c r="E1056" t="s">
        <v>30</v>
      </c>
      <c r="F1056" t="s">
        <v>31</v>
      </c>
      <c r="G1056" t="s">
        <v>32</v>
      </c>
      <c r="H1056" t="s">
        <v>33</v>
      </c>
      <c r="I1056" t="s">
        <v>34</v>
      </c>
      <c r="J1056" t="s">
        <v>70</v>
      </c>
      <c r="K1056" s="2">
        <v>22246</v>
      </c>
      <c r="L1056" t="s">
        <v>36</v>
      </c>
      <c r="M1056" t="s">
        <v>37</v>
      </c>
      <c r="N1056" t="s">
        <v>72</v>
      </c>
      <c r="O1056" t="s">
        <v>39</v>
      </c>
      <c r="P1056" t="s">
        <v>40</v>
      </c>
      <c r="Q1056">
        <v>3</v>
      </c>
      <c r="R1056" s="2">
        <v>45039</v>
      </c>
      <c r="S1056">
        <v>1</v>
      </c>
      <c r="T1056">
        <v>4</v>
      </c>
      <c r="U1056">
        <v>3</v>
      </c>
      <c r="V1056" s="1">
        <v>44904</v>
      </c>
      <c r="W1056" t="s">
        <v>41</v>
      </c>
      <c r="X1056" t="s">
        <v>51</v>
      </c>
      <c r="Y1056" t="s">
        <v>52</v>
      </c>
      <c r="Z1056">
        <v>3</v>
      </c>
      <c r="AA1056">
        <v>721.86</v>
      </c>
      <c r="AB1056">
        <v>62</v>
      </c>
    </row>
    <row r="1057" spans="1:28" x14ac:dyDescent="0.2">
      <c r="A1057">
        <v>1564</v>
      </c>
      <c r="B1057" s="1">
        <v>44996</v>
      </c>
      <c r="C1057" t="s">
        <v>28</v>
      </c>
      <c r="D1057" t="s">
        <v>85</v>
      </c>
      <c r="E1057" t="s">
        <v>30</v>
      </c>
      <c r="F1057" t="s">
        <v>31</v>
      </c>
      <c r="G1057" t="s">
        <v>45</v>
      </c>
      <c r="H1057" t="s">
        <v>55</v>
      </c>
      <c r="I1057" t="s">
        <v>34</v>
      </c>
      <c r="J1057" t="s">
        <v>65</v>
      </c>
      <c r="K1057" s="2">
        <v>33301</v>
      </c>
      <c r="L1057" t="s">
        <v>36</v>
      </c>
      <c r="M1057" t="s">
        <v>48</v>
      </c>
      <c r="N1057" t="s">
        <v>60</v>
      </c>
      <c r="O1057" t="s">
        <v>39</v>
      </c>
      <c r="P1057" t="s">
        <v>78</v>
      </c>
      <c r="Q1057">
        <v>3</v>
      </c>
      <c r="R1057" s="2">
        <v>44915</v>
      </c>
      <c r="S1057">
        <v>4</v>
      </c>
      <c r="T1057">
        <v>1</v>
      </c>
      <c r="U1057">
        <v>4</v>
      </c>
      <c r="V1057" s="1">
        <v>45036</v>
      </c>
      <c r="W1057" t="s">
        <v>92</v>
      </c>
      <c r="X1057" t="s">
        <v>51</v>
      </c>
      <c r="Y1057" t="s">
        <v>63</v>
      </c>
      <c r="Z1057">
        <v>4</v>
      </c>
      <c r="AA1057">
        <v>430.3</v>
      </c>
      <c r="AB1057">
        <v>32</v>
      </c>
    </row>
    <row r="1058" spans="1:28" x14ac:dyDescent="0.2">
      <c r="A1058">
        <v>1565</v>
      </c>
      <c r="B1058" s="1">
        <v>44679</v>
      </c>
      <c r="C1058" t="s">
        <v>28</v>
      </c>
      <c r="D1058" t="s">
        <v>44</v>
      </c>
      <c r="E1058" t="s">
        <v>30</v>
      </c>
      <c r="F1058" t="s">
        <v>55</v>
      </c>
      <c r="G1058" t="s">
        <v>32</v>
      </c>
      <c r="H1058" t="s">
        <v>55</v>
      </c>
      <c r="I1058" t="s">
        <v>34</v>
      </c>
      <c r="J1058" t="s">
        <v>70</v>
      </c>
      <c r="K1058" s="2">
        <v>22182</v>
      </c>
      <c r="L1058" t="s">
        <v>36</v>
      </c>
      <c r="M1058" t="s">
        <v>48</v>
      </c>
      <c r="N1058" t="s">
        <v>84</v>
      </c>
      <c r="O1058" t="s">
        <v>39</v>
      </c>
      <c r="P1058" t="s">
        <v>40</v>
      </c>
      <c r="Q1058">
        <v>3</v>
      </c>
      <c r="R1058" s="2">
        <v>45093</v>
      </c>
      <c r="S1058">
        <v>5</v>
      </c>
      <c r="T1058">
        <v>4</v>
      </c>
      <c r="U1058">
        <v>5</v>
      </c>
      <c r="V1058" s="1">
        <v>44898</v>
      </c>
      <c r="W1058" t="s">
        <v>50</v>
      </c>
      <c r="X1058" t="s">
        <v>42</v>
      </c>
      <c r="Y1058" t="s">
        <v>63</v>
      </c>
      <c r="Z1058">
        <v>3</v>
      </c>
      <c r="AA1058">
        <v>337.52</v>
      </c>
      <c r="AB1058">
        <v>62</v>
      </c>
    </row>
    <row r="1059" spans="1:28" x14ac:dyDescent="0.2">
      <c r="A1059">
        <v>1566</v>
      </c>
      <c r="B1059" s="1">
        <v>44640</v>
      </c>
      <c r="C1059" t="s">
        <v>28</v>
      </c>
      <c r="D1059" t="s">
        <v>87</v>
      </c>
      <c r="E1059" t="s">
        <v>30</v>
      </c>
      <c r="F1059" t="s">
        <v>55</v>
      </c>
      <c r="G1059" t="s">
        <v>56</v>
      </c>
      <c r="H1059" t="s">
        <v>33</v>
      </c>
      <c r="I1059" t="s">
        <v>34</v>
      </c>
      <c r="J1059" t="s">
        <v>105</v>
      </c>
      <c r="K1059" s="2">
        <v>23004</v>
      </c>
      <c r="L1059" t="s">
        <v>36</v>
      </c>
      <c r="M1059" t="s">
        <v>37</v>
      </c>
      <c r="N1059" t="s">
        <v>49</v>
      </c>
      <c r="O1059" t="s">
        <v>77</v>
      </c>
      <c r="P1059" t="s">
        <v>78</v>
      </c>
      <c r="Q1059">
        <v>3</v>
      </c>
      <c r="R1059" s="2">
        <v>45132</v>
      </c>
      <c r="S1059">
        <v>1</v>
      </c>
      <c r="T1059">
        <v>4</v>
      </c>
      <c r="U1059">
        <v>1</v>
      </c>
      <c r="V1059" s="1">
        <v>45051</v>
      </c>
      <c r="W1059" t="s">
        <v>92</v>
      </c>
      <c r="X1059" t="s">
        <v>42</v>
      </c>
      <c r="Y1059" t="s">
        <v>43</v>
      </c>
      <c r="Z1059">
        <v>1</v>
      </c>
      <c r="AA1059">
        <v>692.71</v>
      </c>
      <c r="AB1059">
        <v>60</v>
      </c>
    </row>
    <row r="1060" spans="1:28" x14ac:dyDescent="0.2">
      <c r="A1060">
        <v>1567</v>
      </c>
      <c r="B1060" s="1">
        <v>44624</v>
      </c>
      <c r="C1060" t="s">
        <v>28</v>
      </c>
      <c r="D1060" t="s">
        <v>64</v>
      </c>
      <c r="E1060" t="s">
        <v>30</v>
      </c>
      <c r="F1060" t="s">
        <v>31</v>
      </c>
      <c r="G1060" t="s">
        <v>32</v>
      </c>
      <c r="H1060" t="s">
        <v>46</v>
      </c>
      <c r="I1060" t="s">
        <v>34</v>
      </c>
      <c r="J1060" t="s">
        <v>70</v>
      </c>
      <c r="K1060" s="2">
        <v>28823</v>
      </c>
      <c r="L1060" t="s">
        <v>36</v>
      </c>
      <c r="M1060" t="s">
        <v>37</v>
      </c>
      <c r="N1060" t="s">
        <v>84</v>
      </c>
      <c r="O1060" t="s">
        <v>61</v>
      </c>
      <c r="P1060" t="s">
        <v>40</v>
      </c>
      <c r="Q1060">
        <v>3</v>
      </c>
      <c r="R1060" s="2">
        <v>45028</v>
      </c>
      <c r="S1060">
        <v>4</v>
      </c>
      <c r="T1060">
        <v>2</v>
      </c>
      <c r="U1060">
        <v>4</v>
      </c>
      <c r="V1060" s="1">
        <v>45059</v>
      </c>
      <c r="W1060" t="s">
        <v>62</v>
      </c>
      <c r="X1060" t="s">
        <v>51</v>
      </c>
      <c r="Y1060" t="s">
        <v>43</v>
      </c>
      <c r="Z1060">
        <v>1</v>
      </c>
      <c r="AA1060">
        <v>177.99</v>
      </c>
      <c r="AB1060">
        <v>44</v>
      </c>
    </row>
    <row r="1061" spans="1:28" x14ac:dyDescent="0.2">
      <c r="A1061">
        <v>1568</v>
      </c>
      <c r="B1061" s="1">
        <v>44958</v>
      </c>
      <c r="C1061" t="s">
        <v>28</v>
      </c>
      <c r="D1061" t="s">
        <v>94</v>
      </c>
      <c r="E1061" t="s">
        <v>30</v>
      </c>
      <c r="F1061" t="s">
        <v>46</v>
      </c>
      <c r="G1061" t="s">
        <v>56</v>
      </c>
      <c r="H1061" t="s">
        <v>55</v>
      </c>
      <c r="I1061" t="s">
        <v>34</v>
      </c>
      <c r="J1061" t="s">
        <v>105</v>
      </c>
      <c r="K1061" s="2">
        <v>34773</v>
      </c>
      <c r="L1061" t="s">
        <v>36</v>
      </c>
      <c r="M1061" t="s">
        <v>37</v>
      </c>
      <c r="N1061" t="s">
        <v>84</v>
      </c>
      <c r="O1061" t="s">
        <v>77</v>
      </c>
      <c r="P1061" t="s">
        <v>40</v>
      </c>
      <c r="Q1061">
        <v>3</v>
      </c>
      <c r="R1061" s="2">
        <v>44838</v>
      </c>
      <c r="S1061">
        <v>1</v>
      </c>
      <c r="T1061">
        <v>2</v>
      </c>
      <c r="U1061">
        <v>3</v>
      </c>
      <c r="V1061" s="1">
        <v>45023</v>
      </c>
      <c r="W1061" t="s">
        <v>92</v>
      </c>
      <c r="X1061" t="s">
        <v>51</v>
      </c>
      <c r="Y1061" t="s">
        <v>52</v>
      </c>
      <c r="Z1061">
        <v>5</v>
      </c>
      <c r="AA1061">
        <v>586.71</v>
      </c>
      <c r="AB1061">
        <v>28</v>
      </c>
    </row>
    <row r="1062" spans="1:28" x14ac:dyDescent="0.2">
      <c r="A1062">
        <v>1569</v>
      </c>
      <c r="B1062" s="1">
        <v>44232</v>
      </c>
      <c r="C1062" t="s">
        <v>28</v>
      </c>
      <c r="D1062" t="s">
        <v>74</v>
      </c>
      <c r="E1062" t="s">
        <v>30</v>
      </c>
      <c r="F1062" t="s">
        <v>46</v>
      </c>
      <c r="G1062" t="s">
        <v>32</v>
      </c>
      <c r="H1062" t="s">
        <v>55</v>
      </c>
      <c r="I1062" t="s">
        <v>34</v>
      </c>
      <c r="J1062" t="s">
        <v>79</v>
      </c>
      <c r="K1062" s="2">
        <v>27449</v>
      </c>
      <c r="L1062" t="s">
        <v>36</v>
      </c>
      <c r="M1062" t="s">
        <v>48</v>
      </c>
      <c r="N1062" t="s">
        <v>72</v>
      </c>
      <c r="O1062" t="s">
        <v>39</v>
      </c>
      <c r="P1062" t="s">
        <v>40</v>
      </c>
      <c r="Q1062">
        <v>3</v>
      </c>
      <c r="R1062" s="2">
        <v>44993</v>
      </c>
      <c r="S1062">
        <v>1</v>
      </c>
      <c r="T1062">
        <v>3</v>
      </c>
      <c r="U1062">
        <v>1</v>
      </c>
      <c r="V1062" s="1">
        <v>45005</v>
      </c>
      <c r="W1062" t="s">
        <v>50</v>
      </c>
      <c r="X1062" t="s">
        <v>42</v>
      </c>
      <c r="Y1062" t="s">
        <v>63</v>
      </c>
      <c r="Z1062">
        <v>2</v>
      </c>
      <c r="AA1062">
        <v>771.98</v>
      </c>
      <c r="AB1062">
        <v>46</v>
      </c>
    </row>
    <row r="1063" spans="1:28" x14ac:dyDescent="0.2">
      <c r="A1063">
        <v>1570</v>
      </c>
      <c r="B1063" s="1">
        <v>44888</v>
      </c>
      <c r="C1063" t="s">
        <v>28</v>
      </c>
      <c r="D1063" t="s">
        <v>81</v>
      </c>
      <c r="E1063" t="s">
        <v>30</v>
      </c>
      <c r="F1063" t="s">
        <v>31</v>
      </c>
      <c r="G1063" t="s">
        <v>32</v>
      </c>
      <c r="H1063" t="s">
        <v>46</v>
      </c>
      <c r="I1063" t="s">
        <v>34</v>
      </c>
      <c r="J1063" t="s">
        <v>65</v>
      </c>
      <c r="K1063" s="2">
        <v>33604</v>
      </c>
      <c r="L1063" t="s">
        <v>36</v>
      </c>
      <c r="M1063" t="s">
        <v>48</v>
      </c>
      <c r="N1063" t="s">
        <v>84</v>
      </c>
      <c r="O1063" t="s">
        <v>61</v>
      </c>
      <c r="P1063" t="s">
        <v>40</v>
      </c>
      <c r="Q1063">
        <v>3</v>
      </c>
      <c r="R1063" s="2">
        <v>44780</v>
      </c>
      <c r="S1063">
        <v>1</v>
      </c>
      <c r="T1063">
        <v>4</v>
      </c>
      <c r="U1063">
        <v>5</v>
      </c>
      <c r="V1063" s="1">
        <v>45013</v>
      </c>
      <c r="W1063" t="s">
        <v>62</v>
      </c>
      <c r="X1063" t="s">
        <v>42</v>
      </c>
      <c r="Y1063" t="s">
        <v>73</v>
      </c>
      <c r="Z1063">
        <v>4</v>
      </c>
      <c r="AA1063">
        <v>121.88</v>
      </c>
      <c r="AB1063">
        <v>30</v>
      </c>
    </row>
    <row r="1064" spans="1:28" x14ac:dyDescent="0.2">
      <c r="A1064">
        <v>1571</v>
      </c>
      <c r="B1064" s="1">
        <v>44340</v>
      </c>
      <c r="C1064" t="s">
        <v>28</v>
      </c>
      <c r="D1064" t="s">
        <v>54</v>
      </c>
      <c r="E1064" t="s">
        <v>30</v>
      </c>
      <c r="F1064" t="s">
        <v>46</v>
      </c>
      <c r="G1064" t="s">
        <v>45</v>
      </c>
      <c r="H1064" t="s">
        <v>55</v>
      </c>
      <c r="I1064" t="s">
        <v>34</v>
      </c>
      <c r="J1064" t="s">
        <v>105</v>
      </c>
      <c r="K1064" s="2">
        <v>31667</v>
      </c>
      <c r="L1064" t="s">
        <v>36</v>
      </c>
      <c r="M1064" t="s">
        <v>37</v>
      </c>
      <c r="N1064" t="s">
        <v>49</v>
      </c>
      <c r="O1064" t="s">
        <v>77</v>
      </c>
      <c r="P1064" t="s">
        <v>78</v>
      </c>
      <c r="Q1064">
        <v>3</v>
      </c>
      <c r="R1064" s="2">
        <v>45081</v>
      </c>
      <c r="S1064">
        <v>3</v>
      </c>
      <c r="T1064">
        <v>2</v>
      </c>
      <c r="U1064">
        <v>4</v>
      </c>
      <c r="V1064" s="1">
        <v>45000</v>
      </c>
      <c r="W1064" t="s">
        <v>62</v>
      </c>
      <c r="X1064" t="s">
        <v>51</v>
      </c>
      <c r="Y1064" t="s">
        <v>63</v>
      </c>
      <c r="Z1064">
        <v>2</v>
      </c>
      <c r="AA1064">
        <v>379.68</v>
      </c>
      <c r="AB1064">
        <v>35</v>
      </c>
    </row>
    <row r="1065" spans="1:28" x14ac:dyDescent="0.2">
      <c r="A1065">
        <v>1572</v>
      </c>
      <c r="B1065" s="1">
        <v>44467</v>
      </c>
      <c r="C1065" t="s">
        <v>28</v>
      </c>
      <c r="D1065" t="s">
        <v>69</v>
      </c>
      <c r="E1065" t="s">
        <v>30</v>
      </c>
      <c r="F1065" t="s">
        <v>46</v>
      </c>
      <c r="G1065" t="s">
        <v>32</v>
      </c>
      <c r="H1065" t="s">
        <v>46</v>
      </c>
      <c r="I1065" t="s">
        <v>34</v>
      </c>
      <c r="J1065" t="s">
        <v>97</v>
      </c>
      <c r="K1065" s="2">
        <v>18726</v>
      </c>
      <c r="L1065" t="s">
        <v>36</v>
      </c>
      <c r="M1065" t="s">
        <v>37</v>
      </c>
      <c r="N1065" t="s">
        <v>72</v>
      </c>
      <c r="O1065" t="s">
        <v>67</v>
      </c>
      <c r="P1065" t="s">
        <v>40</v>
      </c>
      <c r="Q1065">
        <v>3</v>
      </c>
      <c r="R1065" s="2">
        <v>44851</v>
      </c>
      <c r="S1065">
        <v>2</v>
      </c>
      <c r="T1065">
        <v>4</v>
      </c>
      <c r="U1065">
        <v>3</v>
      </c>
      <c r="V1065" s="1">
        <v>44842</v>
      </c>
      <c r="W1065" t="s">
        <v>50</v>
      </c>
      <c r="X1065" t="s">
        <v>42</v>
      </c>
      <c r="Y1065" t="s">
        <v>63</v>
      </c>
      <c r="Z1065">
        <v>2</v>
      </c>
      <c r="AA1065">
        <v>738.65</v>
      </c>
      <c r="AB1065">
        <v>70</v>
      </c>
    </row>
    <row r="1066" spans="1:28" x14ac:dyDescent="0.2">
      <c r="A1066">
        <v>1573</v>
      </c>
      <c r="B1066" s="1">
        <v>44272</v>
      </c>
      <c r="C1066" t="s">
        <v>28</v>
      </c>
      <c r="D1066" t="s">
        <v>29</v>
      </c>
      <c r="E1066" t="s">
        <v>30</v>
      </c>
      <c r="F1066" t="s">
        <v>31</v>
      </c>
      <c r="G1066" t="s">
        <v>45</v>
      </c>
      <c r="H1066" t="s">
        <v>46</v>
      </c>
      <c r="I1066" t="s">
        <v>34</v>
      </c>
      <c r="J1066" t="s">
        <v>100</v>
      </c>
      <c r="K1066" s="2">
        <v>31066</v>
      </c>
      <c r="L1066" t="s">
        <v>36</v>
      </c>
      <c r="M1066" t="s">
        <v>37</v>
      </c>
      <c r="N1066" t="s">
        <v>60</v>
      </c>
      <c r="O1066" t="s">
        <v>39</v>
      </c>
      <c r="P1066" t="s">
        <v>40</v>
      </c>
      <c r="Q1066">
        <v>3</v>
      </c>
      <c r="R1066" s="2">
        <v>45087</v>
      </c>
      <c r="S1066">
        <v>1</v>
      </c>
      <c r="T1066">
        <v>1</v>
      </c>
      <c r="U1066">
        <v>3</v>
      </c>
      <c r="V1066" s="1">
        <v>44910</v>
      </c>
      <c r="W1066" t="s">
        <v>68</v>
      </c>
      <c r="X1066" t="s">
        <v>51</v>
      </c>
      <c r="Y1066" t="s">
        <v>52</v>
      </c>
      <c r="Z1066">
        <v>2</v>
      </c>
      <c r="AA1066">
        <v>159.41999999999999</v>
      </c>
      <c r="AB1066">
        <v>36</v>
      </c>
    </row>
    <row r="1067" spans="1:28" x14ac:dyDescent="0.2">
      <c r="A1067">
        <v>1576</v>
      </c>
      <c r="B1067" s="1">
        <v>43780</v>
      </c>
      <c r="C1067" t="s">
        <v>28</v>
      </c>
      <c r="D1067" t="s">
        <v>87</v>
      </c>
      <c r="E1067" t="s">
        <v>108</v>
      </c>
      <c r="F1067" t="s">
        <v>55</v>
      </c>
      <c r="G1067" t="s">
        <v>32</v>
      </c>
      <c r="H1067" t="s">
        <v>55</v>
      </c>
      <c r="I1067" t="s">
        <v>34</v>
      </c>
      <c r="J1067" t="s">
        <v>47</v>
      </c>
      <c r="K1067" s="2">
        <v>16700</v>
      </c>
      <c r="L1067" t="s">
        <v>36</v>
      </c>
      <c r="M1067" t="s">
        <v>48</v>
      </c>
      <c r="N1067" t="s">
        <v>72</v>
      </c>
      <c r="O1067" t="s">
        <v>67</v>
      </c>
      <c r="P1067" t="s">
        <v>98</v>
      </c>
      <c r="Q1067">
        <v>3</v>
      </c>
      <c r="R1067" s="2">
        <v>45053</v>
      </c>
      <c r="S1067">
        <v>5</v>
      </c>
      <c r="T1067">
        <v>2</v>
      </c>
      <c r="U1067">
        <v>3</v>
      </c>
      <c r="V1067" s="1">
        <v>45113</v>
      </c>
      <c r="W1067" t="s">
        <v>92</v>
      </c>
      <c r="X1067" t="s">
        <v>42</v>
      </c>
      <c r="Y1067" t="s">
        <v>63</v>
      </c>
      <c r="Z1067">
        <v>4</v>
      </c>
      <c r="AA1067">
        <v>104.34</v>
      </c>
      <c r="AB1067">
        <v>74</v>
      </c>
    </row>
    <row r="1068" spans="1:28" x14ac:dyDescent="0.2">
      <c r="A1068">
        <v>1577</v>
      </c>
      <c r="B1068" s="1">
        <v>44180</v>
      </c>
      <c r="C1068" t="s">
        <v>106</v>
      </c>
      <c r="D1068" t="s">
        <v>54</v>
      </c>
      <c r="E1068" t="s">
        <v>30</v>
      </c>
      <c r="F1068" t="s">
        <v>55</v>
      </c>
      <c r="G1068" t="s">
        <v>56</v>
      </c>
      <c r="H1068" t="s">
        <v>33</v>
      </c>
      <c r="I1068" t="s">
        <v>34</v>
      </c>
      <c r="J1068" t="s">
        <v>35</v>
      </c>
      <c r="K1068" s="2">
        <v>23114</v>
      </c>
      <c r="L1068" t="s">
        <v>36</v>
      </c>
      <c r="M1068" t="s">
        <v>37</v>
      </c>
      <c r="N1068" t="s">
        <v>72</v>
      </c>
      <c r="O1068" t="s">
        <v>39</v>
      </c>
      <c r="P1068" t="s">
        <v>40</v>
      </c>
      <c r="Q1068">
        <v>3</v>
      </c>
      <c r="R1068" s="2">
        <v>45014</v>
      </c>
      <c r="S1068">
        <v>5</v>
      </c>
      <c r="T1068">
        <v>2</v>
      </c>
      <c r="U1068">
        <v>1</v>
      </c>
      <c r="V1068" s="1">
        <v>44860</v>
      </c>
      <c r="W1068" t="s">
        <v>50</v>
      </c>
      <c r="X1068" t="s">
        <v>51</v>
      </c>
      <c r="Y1068" t="s">
        <v>43</v>
      </c>
      <c r="Z1068">
        <v>5</v>
      </c>
      <c r="AA1068">
        <v>413.08</v>
      </c>
      <c r="AB1068">
        <v>57</v>
      </c>
    </row>
    <row r="1069" spans="1:28" x14ac:dyDescent="0.2">
      <c r="A1069">
        <v>1578</v>
      </c>
      <c r="B1069" s="1">
        <v>44322</v>
      </c>
      <c r="C1069" t="s">
        <v>106</v>
      </c>
      <c r="D1069" t="s">
        <v>94</v>
      </c>
      <c r="E1069" t="s">
        <v>108</v>
      </c>
      <c r="F1069" t="s">
        <v>46</v>
      </c>
      <c r="G1069" t="s">
        <v>56</v>
      </c>
      <c r="H1069" t="s">
        <v>46</v>
      </c>
      <c r="I1069" t="s">
        <v>34</v>
      </c>
      <c r="J1069" t="s">
        <v>70</v>
      </c>
      <c r="K1069" s="2">
        <v>29453</v>
      </c>
      <c r="L1069" t="s">
        <v>36</v>
      </c>
      <c r="M1069" t="s">
        <v>48</v>
      </c>
      <c r="N1069" t="s">
        <v>49</v>
      </c>
      <c r="O1069" t="s">
        <v>67</v>
      </c>
      <c r="P1069" t="s">
        <v>98</v>
      </c>
      <c r="Q1069">
        <v>3</v>
      </c>
      <c r="R1069" s="2">
        <v>44960</v>
      </c>
      <c r="S1069">
        <v>5</v>
      </c>
      <c r="T1069">
        <v>5</v>
      </c>
      <c r="U1069">
        <v>1</v>
      </c>
      <c r="V1069" s="1">
        <v>44924</v>
      </c>
      <c r="W1069" t="s">
        <v>68</v>
      </c>
      <c r="X1069" t="s">
        <v>51</v>
      </c>
      <c r="Y1069" t="s">
        <v>52</v>
      </c>
      <c r="Z1069">
        <v>1</v>
      </c>
      <c r="AA1069">
        <v>856.71</v>
      </c>
      <c r="AB1069">
        <v>41</v>
      </c>
    </row>
    <row r="1070" spans="1:28" x14ac:dyDescent="0.2">
      <c r="A1070">
        <v>1579</v>
      </c>
      <c r="B1070" s="1">
        <v>44385</v>
      </c>
      <c r="C1070" t="s">
        <v>106</v>
      </c>
      <c r="D1070" t="s">
        <v>85</v>
      </c>
      <c r="E1070" t="s">
        <v>30</v>
      </c>
      <c r="F1070" t="s">
        <v>46</v>
      </c>
      <c r="G1070" t="s">
        <v>45</v>
      </c>
      <c r="H1070" t="s">
        <v>55</v>
      </c>
      <c r="I1070" t="s">
        <v>34</v>
      </c>
      <c r="J1070" t="s">
        <v>65</v>
      </c>
      <c r="K1070" s="2">
        <v>34607</v>
      </c>
      <c r="L1070" t="s">
        <v>36</v>
      </c>
      <c r="M1070" t="s">
        <v>48</v>
      </c>
      <c r="N1070" t="s">
        <v>38</v>
      </c>
      <c r="O1070" t="s">
        <v>77</v>
      </c>
      <c r="P1070" t="s">
        <v>40</v>
      </c>
      <c r="Q1070">
        <v>3</v>
      </c>
      <c r="R1070" s="2">
        <v>45031</v>
      </c>
      <c r="S1070">
        <v>1</v>
      </c>
      <c r="T1070">
        <v>3</v>
      </c>
      <c r="U1070">
        <v>1</v>
      </c>
      <c r="V1070" s="1">
        <v>44854</v>
      </c>
      <c r="W1070" t="s">
        <v>92</v>
      </c>
      <c r="X1070" t="s">
        <v>42</v>
      </c>
      <c r="Y1070" t="s">
        <v>73</v>
      </c>
      <c r="Z1070">
        <v>5</v>
      </c>
      <c r="AA1070">
        <v>322.3</v>
      </c>
      <c r="AB1070">
        <v>27</v>
      </c>
    </row>
    <row r="1071" spans="1:28" x14ac:dyDescent="0.2">
      <c r="A1071">
        <v>1580</v>
      </c>
      <c r="B1071" s="1">
        <v>45020</v>
      </c>
      <c r="C1071" t="s">
        <v>106</v>
      </c>
      <c r="D1071" t="s">
        <v>64</v>
      </c>
      <c r="E1071" t="s">
        <v>30</v>
      </c>
      <c r="F1071" t="s">
        <v>46</v>
      </c>
      <c r="G1071" t="s">
        <v>45</v>
      </c>
      <c r="H1071" t="s">
        <v>55</v>
      </c>
      <c r="I1071" t="s">
        <v>34</v>
      </c>
      <c r="J1071" t="s">
        <v>35</v>
      </c>
      <c r="K1071" s="2">
        <v>26399</v>
      </c>
      <c r="L1071" t="s">
        <v>36</v>
      </c>
      <c r="M1071" t="s">
        <v>48</v>
      </c>
      <c r="N1071" t="s">
        <v>84</v>
      </c>
      <c r="O1071" t="s">
        <v>61</v>
      </c>
      <c r="P1071" t="s">
        <v>98</v>
      </c>
      <c r="Q1071">
        <v>3</v>
      </c>
      <c r="R1071" s="2">
        <v>45039</v>
      </c>
      <c r="S1071">
        <v>1</v>
      </c>
      <c r="T1071">
        <v>1</v>
      </c>
      <c r="U1071">
        <v>5</v>
      </c>
      <c r="V1071" s="1">
        <v>45014</v>
      </c>
      <c r="W1071" t="s">
        <v>62</v>
      </c>
      <c r="X1071" t="s">
        <v>42</v>
      </c>
      <c r="Y1071" t="s">
        <v>73</v>
      </c>
      <c r="Z1071">
        <v>3</v>
      </c>
      <c r="AA1071">
        <v>527.92999999999995</v>
      </c>
      <c r="AB1071">
        <v>51</v>
      </c>
    </row>
    <row r="1072" spans="1:28" x14ac:dyDescent="0.2">
      <c r="A1072">
        <v>1581</v>
      </c>
      <c r="B1072" s="1">
        <v>44778</v>
      </c>
      <c r="C1072" t="s">
        <v>106</v>
      </c>
      <c r="D1072" t="s">
        <v>74</v>
      </c>
      <c r="E1072" t="s">
        <v>108</v>
      </c>
      <c r="F1072" t="s">
        <v>55</v>
      </c>
      <c r="G1072" t="s">
        <v>32</v>
      </c>
      <c r="H1072" t="s">
        <v>46</v>
      </c>
      <c r="I1072" t="s">
        <v>34</v>
      </c>
      <c r="J1072" t="s">
        <v>65</v>
      </c>
      <c r="K1072" s="2">
        <v>18468</v>
      </c>
      <c r="L1072" t="s">
        <v>36</v>
      </c>
      <c r="M1072" t="s">
        <v>48</v>
      </c>
      <c r="N1072" t="s">
        <v>84</v>
      </c>
      <c r="O1072" t="s">
        <v>61</v>
      </c>
      <c r="P1072" t="s">
        <v>40</v>
      </c>
      <c r="Q1072">
        <v>3</v>
      </c>
      <c r="R1072" s="2">
        <v>44906</v>
      </c>
      <c r="S1072">
        <v>1</v>
      </c>
      <c r="T1072">
        <v>3</v>
      </c>
      <c r="U1072">
        <v>5</v>
      </c>
      <c r="V1072" s="1">
        <v>44936</v>
      </c>
      <c r="W1072" t="s">
        <v>62</v>
      </c>
      <c r="X1072" t="s">
        <v>51</v>
      </c>
      <c r="Y1072" t="s">
        <v>43</v>
      </c>
      <c r="Z1072">
        <v>2</v>
      </c>
      <c r="AA1072">
        <v>480.2</v>
      </c>
      <c r="AB1072">
        <v>72</v>
      </c>
    </row>
    <row r="1073" spans="1:28" x14ac:dyDescent="0.2">
      <c r="A1073">
        <v>1582</v>
      </c>
      <c r="B1073" s="1">
        <v>43927</v>
      </c>
      <c r="C1073" t="s">
        <v>106</v>
      </c>
      <c r="D1073" t="s">
        <v>69</v>
      </c>
      <c r="E1073" t="s">
        <v>108</v>
      </c>
      <c r="F1073" t="s">
        <v>46</v>
      </c>
      <c r="G1073" t="s">
        <v>32</v>
      </c>
      <c r="H1073" t="s">
        <v>33</v>
      </c>
      <c r="I1073" t="s">
        <v>34</v>
      </c>
      <c r="J1073" t="s">
        <v>70</v>
      </c>
      <c r="K1073" s="2">
        <v>34790</v>
      </c>
      <c r="L1073" t="s">
        <v>36</v>
      </c>
      <c r="M1073" t="s">
        <v>37</v>
      </c>
      <c r="N1073" t="s">
        <v>60</v>
      </c>
      <c r="O1073" t="s">
        <v>61</v>
      </c>
      <c r="P1073" t="s">
        <v>98</v>
      </c>
      <c r="Q1073">
        <v>3</v>
      </c>
      <c r="R1073" s="2">
        <v>44869</v>
      </c>
      <c r="S1073">
        <v>2</v>
      </c>
      <c r="T1073">
        <v>1</v>
      </c>
      <c r="U1073">
        <v>5</v>
      </c>
      <c r="V1073" s="1">
        <v>44866</v>
      </c>
      <c r="W1073" t="s">
        <v>41</v>
      </c>
      <c r="X1073" t="s">
        <v>42</v>
      </c>
      <c r="Y1073" t="s">
        <v>63</v>
      </c>
      <c r="Z1073">
        <v>5</v>
      </c>
      <c r="AA1073">
        <v>323.79000000000002</v>
      </c>
      <c r="AB1073">
        <v>25</v>
      </c>
    </row>
    <row r="1074" spans="1:28" x14ac:dyDescent="0.2">
      <c r="A1074">
        <v>1583</v>
      </c>
      <c r="B1074" s="1">
        <v>44987</v>
      </c>
      <c r="C1074" t="s">
        <v>28</v>
      </c>
      <c r="D1074" t="s">
        <v>81</v>
      </c>
      <c r="E1074" t="s">
        <v>108</v>
      </c>
      <c r="F1074" t="s">
        <v>55</v>
      </c>
      <c r="G1074" t="s">
        <v>56</v>
      </c>
      <c r="H1074" t="s">
        <v>46</v>
      </c>
      <c r="I1074" t="s">
        <v>34</v>
      </c>
      <c r="J1074" t="s">
        <v>96</v>
      </c>
      <c r="K1074" s="2">
        <v>26846</v>
      </c>
      <c r="L1074" t="s">
        <v>36</v>
      </c>
      <c r="M1074" t="s">
        <v>37</v>
      </c>
      <c r="N1074" t="s">
        <v>60</v>
      </c>
      <c r="O1074" t="s">
        <v>39</v>
      </c>
      <c r="P1074" t="s">
        <v>40</v>
      </c>
      <c r="Q1074">
        <v>3</v>
      </c>
      <c r="R1074" s="2">
        <v>45104</v>
      </c>
      <c r="S1074">
        <v>3</v>
      </c>
      <c r="T1074">
        <v>3</v>
      </c>
      <c r="U1074">
        <v>3</v>
      </c>
      <c r="V1074" s="1">
        <v>45095</v>
      </c>
      <c r="W1074" t="s">
        <v>41</v>
      </c>
      <c r="X1074" t="s">
        <v>51</v>
      </c>
      <c r="Y1074" t="s">
        <v>43</v>
      </c>
      <c r="Z1074">
        <v>3</v>
      </c>
      <c r="AA1074">
        <v>184.66</v>
      </c>
      <c r="AB1074">
        <v>50</v>
      </c>
    </row>
    <row r="1075" spans="1:28" x14ac:dyDescent="0.2">
      <c r="A1075">
        <v>1584</v>
      </c>
      <c r="B1075" s="1">
        <v>43930</v>
      </c>
      <c r="C1075" t="s">
        <v>28</v>
      </c>
      <c r="D1075" t="s">
        <v>54</v>
      </c>
      <c r="E1075" t="s">
        <v>30</v>
      </c>
      <c r="F1075" t="s">
        <v>31</v>
      </c>
      <c r="G1075" t="s">
        <v>56</v>
      </c>
      <c r="H1075" t="s">
        <v>46</v>
      </c>
      <c r="I1075" t="s">
        <v>34</v>
      </c>
      <c r="J1075" t="s">
        <v>97</v>
      </c>
      <c r="K1075" s="2">
        <v>15997</v>
      </c>
      <c r="L1075" t="s">
        <v>36</v>
      </c>
      <c r="M1075" t="s">
        <v>37</v>
      </c>
      <c r="N1075" t="s">
        <v>38</v>
      </c>
      <c r="O1075" t="s">
        <v>67</v>
      </c>
      <c r="P1075" t="s">
        <v>40</v>
      </c>
      <c r="Q1075">
        <v>3</v>
      </c>
      <c r="R1075" s="2">
        <v>45003</v>
      </c>
      <c r="S1075">
        <v>4</v>
      </c>
      <c r="T1075">
        <v>1</v>
      </c>
      <c r="U1075">
        <v>4</v>
      </c>
      <c r="V1075" s="1">
        <v>45056</v>
      </c>
      <c r="W1075" t="s">
        <v>41</v>
      </c>
      <c r="X1075" t="s">
        <v>51</v>
      </c>
      <c r="Y1075" t="s">
        <v>73</v>
      </c>
      <c r="Z1075">
        <v>4</v>
      </c>
      <c r="AA1075">
        <v>265.22000000000003</v>
      </c>
      <c r="AB1075">
        <v>77</v>
      </c>
    </row>
    <row r="1076" spans="1:28" x14ac:dyDescent="0.2">
      <c r="A1076">
        <v>1585</v>
      </c>
      <c r="B1076" s="1">
        <v>44821</v>
      </c>
      <c r="C1076" t="s">
        <v>28</v>
      </c>
      <c r="D1076" t="s">
        <v>69</v>
      </c>
      <c r="E1076" t="s">
        <v>30</v>
      </c>
      <c r="F1076" t="s">
        <v>46</v>
      </c>
      <c r="G1076" t="s">
        <v>45</v>
      </c>
      <c r="H1076" t="s">
        <v>33</v>
      </c>
      <c r="I1076" t="s">
        <v>34</v>
      </c>
      <c r="J1076" t="s">
        <v>89</v>
      </c>
      <c r="K1076" s="2">
        <v>20579</v>
      </c>
      <c r="L1076" t="s">
        <v>36</v>
      </c>
      <c r="M1076" t="s">
        <v>37</v>
      </c>
      <c r="N1076" t="s">
        <v>72</v>
      </c>
      <c r="O1076" t="s">
        <v>61</v>
      </c>
      <c r="P1076" t="s">
        <v>40</v>
      </c>
      <c r="Q1076">
        <v>3</v>
      </c>
      <c r="R1076" s="2">
        <v>44918</v>
      </c>
      <c r="S1076">
        <v>5</v>
      </c>
      <c r="T1076">
        <v>4</v>
      </c>
      <c r="U1076">
        <v>4</v>
      </c>
      <c r="V1076" s="1">
        <v>44963</v>
      </c>
      <c r="W1076" t="s">
        <v>68</v>
      </c>
      <c r="X1076" t="s">
        <v>51</v>
      </c>
      <c r="Y1076" t="s">
        <v>52</v>
      </c>
      <c r="Z1076">
        <v>5</v>
      </c>
      <c r="AA1076">
        <v>843.28</v>
      </c>
      <c r="AB1076">
        <v>66</v>
      </c>
    </row>
    <row r="1077" spans="1:28" x14ac:dyDescent="0.2">
      <c r="A1077">
        <v>1586</v>
      </c>
      <c r="B1077" s="1">
        <v>44576</v>
      </c>
      <c r="C1077" t="s">
        <v>28</v>
      </c>
      <c r="D1077" t="s">
        <v>29</v>
      </c>
      <c r="E1077" t="s">
        <v>30</v>
      </c>
      <c r="F1077" t="s">
        <v>55</v>
      </c>
      <c r="G1077" t="s">
        <v>32</v>
      </c>
      <c r="H1077" t="s">
        <v>55</v>
      </c>
      <c r="I1077" t="s">
        <v>34</v>
      </c>
      <c r="J1077" t="s">
        <v>65</v>
      </c>
      <c r="K1077" s="2">
        <v>26669</v>
      </c>
      <c r="L1077" t="s">
        <v>36</v>
      </c>
      <c r="M1077" t="s">
        <v>37</v>
      </c>
      <c r="N1077" t="s">
        <v>49</v>
      </c>
      <c r="O1077" t="s">
        <v>39</v>
      </c>
      <c r="P1077" t="s">
        <v>40</v>
      </c>
      <c r="Q1077">
        <v>3</v>
      </c>
      <c r="R1077" s="2">
        <v>45123</v>
      </c>
      <c r="S1077">
        <v>3</v>
      </c>
      <c r="T1077">
        <v>3</v>
      </c>
      <c r="U1077">
        <v>4</v>
      </c>
      <c r="V1077" s="1">
        <v>44901</v>
      </c>
      <c r="W1077" t="s">
        <v>92</v>
      </c>
      <c r="X1077" t="s">
        <v>42</v>
      </c>
      <c r="Y1077" t="s">
        <v>73</v>
      </c>
      <c r="Z1077">
        <v>3</v>
      </c>
      <c r="AA1077">
        <v>643.9</v>
      </c>
      <c r="AB1077">
        <v>49</v>
      </c>
    </row>
    <row r="1078" spans="1:28" x14ac:dyDescent="0.2">
      <c r="A1078">
        <v>1587</v>
      </c>
      <c r="B1078" s="1">
        <v>44704</v>
      </c>
      <c r="C1078" t="s">
        <v>28</v>
      </c>
      <c r="D1078" t="s">
        <v>85</v>
      </c>
      <c r="E1078" t="s">
        <v>30</v>
      </c>
      <c r="F1078" t="s">
        <v>46</v>
      </c>
      <c r="G1078" t="s">
        <v>32</v>
      </c>
      <c r="H1078" t="s">
        <v>46</v>
      </c>
      <c r="I1078" t="s">
        <v>34</v>
      </c>
      <c r="J1078" t="s">
        <v>89</v>
      </c>
      <c r="K1078" s="2">
        <v>31028</v>
      </c>
      <c r="L1078" t="s">
        <v>36</v>
      </c>
      <c r="M1078" t="s">
        <v>48</v>
      </c>
      <c r="N1078" t="s">
        <v>60</v>
      </c>
      <c r="O1078" t="s">
        <v>77</v>
      </c>
      <c r="P1078" t="s">
        <v>40</v>
      </c>
      <c r="Q1078">
        <v>3</v>
      </c>
      <c r="R1078" s="2">
        <v>45104</v>
      </c>
      <c r="S1078">
        <v>4</v>
      </c>
      <c r="T1078">
        <v>5</v>
      </c>
      <c r="U1078">
        <v>3</v>
      </c>
      <c r="V1078" s="1">
        <v>44995</v>
      </c>
      <c r="W1078" t="s">
        <v>50</v>
      </c>
      <c r="X1078" t="s">
        <v>42</v>
      </c>
      <c r="Y1078" t="s">
        <v>63</v>
      </c>
      <c r="Z1078">
        <v>4</v>
      </c>
      <c r="AA1078">
        <v>876.73</v>
      </c>
      <c r="AB1078">
        <v>38</v>
      </c>
    </row>
    <row r="1079" spans="1:28" x14ac:dyDescent="0.2">
      <c r="A1079">
        <v>1588</v>
      </c>
      <c r="B1079" s="1">
        <v>44392</v>
      </c>
      <c r="C1079" t="s">
        <v>28</v>
      </c>
      <c r="D1079" t="s">
        <v>44</v>
      </c>
      <c r="E1079" t="s">
        <v>30</v>
      </c>
      <c r="F1079" t="s">
        <v>55</v>
      </c>
      <c r="G1079" t="s">
        <v>45</v>
      </c>
      <c r="H1079" t="s">
        <v>33</v>
      </c>
      <c r="I1079" t="s">
        <v>34</v>
      </c>
      <c r="J1079" t="s">
        <v>89</v>
      </c>
      <c r="K1079" s="2">
        <v>16851</v>
      </c>
      <c r="L1079" t="s">
        <v>36</v>
      </c>
      <c r="M1079" t="s">
        <v>48</v>
      </c>
      <c r="N1079" t="s">
        <v>49</v>
      </c>
      <c r="O1079" t="s">
        <v>39</v>
      </c>
      <c r="P1079" t="s">
        <v>40</v>
      </c>
      <c r="Q1079">
        <v>3</v>
      </c>
      <c r="R1079" s="2">
        <v>45128</v>
      </c>
      <c r="S1079">
        <v>1</v>
      </c>
      <c r="T1079">
        <v>5</v>
      </c>
      <c r="U1079">
        <v>5</v>
      </c>
      <c r="V1079" s="1">
        <v>44873</v>
      </c>
      <c r="W1079" t="s">
        <v>41</v>
      </c>
      <c r="X1079" t="s">
        <v>42</v>
      </c>
      <c r="Y1079" t="s">
        <v>43</v>
      </c>
      <c r="Z1079">
        <v>1</v>
      </c>
      <c r="AA1079">
        <v>293.85000000000002</v>
      </c>
      <c r="AB1079">
        <v>75</v>
      </c>
    </row>
    <row r="1080" spans="1:28" x14ac:dyDescent="0.2">
      <c r="A1080">
        <v>1589</v>
      </c>
      <c r="B1080" s="1">
        <v>44071</v>
      </c>
      <c r="C1080" t="s">
        <v>28</v>
      </c>
      <c r="D1080" t="s">
        <v>87</v>
      </c>
      <c r="E1080" t="s">
        <v>30</v>
      </c>
      <c r="F1080" t="s">
        <v>31</v>
      </c>
      <c r="G1080" t="s">
        <v>45</v>
      </c>
      <c r="H1080" t="s">
        <v>46</v>
      </c>
      <c r="I1080" t="s">
        <v>34</v>
      </c>
      <c r="J1080" t="s">
        <v>70</v>
      </c>
      <c r="K1080" s="2">
        <v>35248</v>
      </c>
      <c r="L1080" t="s">
        <v>36</v>
      </c>
      <c r="M1080" t="s">
        <v>37</v>
      </c>
      <c r="N1080" t="s">
        <v>38</v>
      </c>
      <c r="O1080" t="s">
        <v>67</v>
      </c>
      <c r="P1080" t="s">
        <v>40</v>
      </c>
      <c r="Q1080">
        <v>3</v>
      </c>
      <c r="R1080" s="2">
        <v>45042</v>
      </c>
      <c r="S1080">
        <v>2</v>
      </c>
      <c r="T1080">
        <v>1</v>
      </c>
      <c r="U1080">
        <v>1</v>
      </c>
      <c r="V1080" s="1">
        <v>44856</v>
      </c>
      <c r="W1080" t="s">
        <v>62</v>
      </c>
      <c r="X1080" t="s">
        <v>42</v>
      </c>
      <c r="Y1080" t="s">
        <v>52</v>
      </c>
      <c r="Z1080">
        <v>4</v>
      </c>
      <c r="AA1080">
        <v>328.06</v>
      </c>
      <c r="AB1080">
        <v>24</v>
      </c>
    </row>
    <row r="1081" spans="1:28" x14ac:dyDescent="0.2">
      <c r="A1081">
        <v>1590</v>
      </c>
      <c r="B1081" s="1">
        <v>44448</v>
      </c>
      <c r="C1081" t="s">
        <v>28</v>
      </c>
      <c r="D1081" t="s">
        <v>64</v>
      </c>
      <c r="E1081" t="s">
        <v>30</v>
      </c>
      <c r="F1081" t="s">
        <v>46</v>
      </c>
      <c r="G1081" t="s">
        <v>45</v>
      </c>
      <c r="H1081" t="s">
        <v>55</v>
      </c>
      <c r="I1081" t="s">
        <v>34</v>
      </c>
      <c r="J1081" t="s">
        <v>101</v>
      </c>
      <c r="K1081" s="2">
        <v>30568</v>
      </c>
      <c r="L1081" t="s">
        <v>36</v>
      </c>
      <c r="M1081" t="s">
        <v>48</v>
      </c>
      <c r="N1081" t="s">
        <v>72</v>
      </c>
      <c r="O1081" t="s">
        <v>61</v>
      </c>
      <c r="P1081" t="s">
        <v>40</v>
      </c>
      <c r="Q1081">
        <v>3</v>
      </c>
      <c r="R1081" s="2">
        <v>45036</v>
      </c>
      <c r="S1081">
        <v>5</v>
      </c>
      <c r="T1081">
        <v>1</v>
      </c>
      <c r="U1081">
        <v>3</v>
      </c>
      <c r="V1081" s="1">
        <v>45001</v>
      </c>
      <c r="W1081" t="s">
        <v>41</v>
      </c>
      <c r="X1081" t="s">
        <v>42</v>
      </c>
      <c r="Y1081" t="s">
        <v>43</v>
      </c>
      <c r="Z1081">
        <v>2</v>
      </c>
      <c r="AA1081">
        <v>187.35</v>
      </c>
      <c r="AB1081">
        <v>38</v>
      </c>
    </row>
    <row r="1082" spans="1:28" x14ac:dyDescent="0.2">
      <c r="A1082">
        <v>1591</v>
      </c>
      <c r="B1082" s="1">
        <v>44967</v>
      </c>
      <c r="C1082" t="s">
        <v>28</v>
      </c>
      <c r="D1082" t="s">
        <v>94</v>
      </c>
      <c r="E1082" t="s">
        <v>30</v>
      </c>
      <c r="F1082" t="s">
        <v>31</v>
      </c>
      <c r="G1082" t="s">
        <v>45</v>
      </c>
      <c r="H1082" t="s">
        <v>46</v>
      </c>
      <c r="I1082" t="s">
        <v>34</v>
      </c>
      <c r="J1082" t="s">
        <v>65</v>
      </c>
      <c r="K1082" s="2">
        <v>21113</v>
      </c>
      <c r="L1082" t="s">
        <v>36</v>
      </c>
      <c r="M1082" t="s">
        <v>37</v>
      </c>
      <c r="N1082" t="s">
        <v>84</v>
      </c>
      <c r="O1082" t="s">
        <v>77</v>
      </c>
      <c r="P1082" t="s">
        <v>40</v>
      </c>
      <c r="Q1082">
        <v>3</v>
      </c>
      <c r="R1082" s="2">
        <v>45056</v>
      </c>
      <c r="S1082">
        <v>4</v>
      </c>
      <c r="T1082">
        <v>3</v>
      </c>
      <c r="U1082">
        <v>1</v>
      </c>
      <c r="V1082" s="1">
        <v>45086</v>
      </c>
      <c r="W1082" t="s">
        <v>41</v>
      </c>
      <c r="X1082" t="s">
        <v>42</v>
      </c>
      <c r="Y1082" t="s">
        <v>73</v>
      </c>
      <c r="Z1082">
        <v>5</v>
      </c>
      <c r="AA1082">
        <v>340.01</v>
      </c>
      <c r="AB1082">
        <v>66</v>
      </c>
    </row>
    <row r="1083" spans="1:28" x14ac:dyDescent="0.2">
      <c r="A1083">
        <v>1592</v>
      </c>
      <c r="B1083" s="1">
        <v>43996</v>
      </c>
      <c r="C1083" t="s">
        <v>28</v>
      </c>
      <c r="D1083" t="s">
        <v>74</v>
      </c>
      <c r="E1083" t="s">
        <v>30</v>
      </c>
      <c r="F1083" t="s">
        <v>55</v>
      </c>
      <c r="G1083" t="s">
        <v>45</v>
      </c>
      <c r="H1083" t="s">
        <v>55</v>
      </c>
      <c r="I1083" t="s">
        <v>34</v>
      </c>
      <c r="J1083" t="s">
        <v>79</v>
      </c>
      <c r="K1083" s="2">
        <v>29813</v>
      </c>
      <c r="L1083" t="s">
        <v>36</v>
      </c>
      <c r="M1083" t="s">
        <v>48</v>
      </c>
      <c r="N1083" t="s">
        <v>60</v>
      </c>
      <c r="O1083" t="s">
        <v>61</v>
      </c>
      <c r="P1083" t="s">
        <v>78</v>
      </c>
      <c r="Q1083">
        <v>3</v>
      </c>
      <c r="R1083" s="2">
        <v>45083</v>
      </c>
      <c r="S1083">
        <v>1</v>
      </c>
      <c r="T1083">
        <v>1</v>
      </c>
      <c r="U1083">
        <v>4</v>
      </c>
      <c r="V1083" s="1">
        <v>45097</v>
      </c>
      <c r="W1083" t="s">
        <v>92</v>
      </c>
      <c r="X1083" t="s">
        <v>42</v>
      </c>
      <c r="Y1083" t="s">
        <v>52</v>
      </c>
      <c r="Z1083">
        <v>1</v>
      </c>
      <c r="AA1083">
        <v>590.82000000000005</v>
      </c>
      <c r="AB1083">
        <v>39</v>
      </c>
    </row>
    <row r="1084" spans="1:28" x14ac:dyDescent="0.2">
      <c r="A1084">
        <v>1593</v>
      </c>
      <c r="B1084" s="1">
        <v>44170</v>
      </c>
      <c r="C1084" t="s">
        <v>28</v>
      </c>
      <c r="D1084" t="s">
        <v>81</v>
      </c>
      <c r="E1084" t="s">
        <v>30</v>
      </c>
      <c r="F1084" t="s">
        <v>46</v>
      </c>
      <c r="G1084" t="s">
        <v>56</v>
      </c>
      <c r="H1084" t="s">
        <v>55</v>
      </c>
      <c r="I1084" t="s">
        <v>34</v>
      </c>
      <c r="J1084" t="s">
        <v>102</v>
      </c>
      <c r="K1084" s="2">
        <v>31004</v>
      </c>
      <c r="L1084" t="s">
        <v>36</v>
      </c>
      <c r="M1084" t="s">
        <v>48</v>
      </c>
      <c r="N1084" t="s">
        <v>84</v>
      </c>
      <c r="O1084" t="s">
        <v>39</v>
      </c>
      <c r="P1084" t="s">
        <v>78</v>
      </c>
      <c r="Q1084">
        <v>3</v>
      </c>
      <c r="R1084" s="2">
        <v>44836</v>
      </c>
      <c r="S1084">
        <v>1</v>
      </c>
      <c r="T1084">
        <v>4</v>
      </c>
      <c r="U1084">
        <v>1</v>
      </c>
      <c r="V1084" s="1">
        <v>45054</v>
      </c>
      <c r="W1084" t="s">
        <v>41</v>
      </c>
      <c r="X1084" t="s">
        <v>51</v>
      </c>
      <c r="Y1084" t="s">
        <v>43</v>
      </c>
      <c r="Z1084">
        <v>1</v>
      </c>
      <c r="AA1084">
        <v>321.08</v>
      </c>
      <c r="AB1084">
        <v>36</v>
      </c>
    </row>
    <row r="1085" spans="1:28" x14ac:dyDescent="0.2">
      <c r="A1085">
        <v>1594</v>
      </c>
      <c r="B1085" s="1">
        <v>44758</v>
      </c>
      <c r="C1085" t="s">
        <v>28</v>
      </c>
      <c r="D1085" t="s">
        <v>54</v>
      </c>
      <c r="E1085" t="s">
        <v>30</v>
      </c>
      <c r="F1085" t="s">
        <v>46</v>
      </c>
      <c r="G1085" t="s">
        <v>56</v>
      </c>
      <c r="H1085" t="s">
        <v>55</v>
      </c>
      <c r="I1085" t="s">
        <v>34</v>
      </c>
      <c r="J1085" t="s">
        <v>47</v>
      </c>
      <c r="K1085" s="2">
        <v>24958</v>
      </c>
      <c r="L1085" t="s">
        <v>36</v>
      </c>
      <c r="M1085" t="s">
        <v>37</v>
      </c>
      <c r="N1085" t="s">
        <v>72</v>
      </c>
      <c r="O1085" t="s">
        <v>61</v>
      </c>
      <c r="P1085" t="s">
        <v>78</v>
      </c>
      <c r="Q1085">
        <v>3</v>
      </c>
      <c r="R1085" s="2">
        <v>44903</v>
      </c>
      <c r="S1085">
        <v>1</v>
      </c>
      <c r="T1085">
        <v>1</v>
      </c>
      <c r="U1085">
        <v>4</v>
      </c>
      <c r="V1085" s="1">
        <v>45020</v>
      </c>
      <c r="W1085" t="s">
        <v>92</v>
      </c>
      <c r="X1085" t="s">
        <v>51</v>
      </c>
      <c r="Y1085" t="s">
        <v>43</v>
      </c>
      <c r="Z1085">
        <v>1</v>
      </c>
      <c r="AA1085">
        <v>684.45</v>
      </c>
      <c r="AB1085">
        <v>54</v>
      </c>
    </row>
    <row r="1086" spans="1:28" x14ac:dyDescent="0.2">
      <c r="A1086">
        <v>1595</v>
      </c>
      <c r="B1086" s="1">
        <v>45086</v>
      </c>
      <c r="C1086" t="s">
        <v>28</v>
      </c>
      <c r="D1086" t="s">
        <v>69</v>
      </c>
      <c r="E1086" t="s">
        <v>30</v>
      </c>
      <c r="F1086" t="s">
        <v>46</v>
      </c>
      <c r="G1086" t="s">
        <v>45</v>
      </c>
      <c r="H1086" t="s">
        <v>55</v>
      </c>
      <c r="I1086" t="s">
        <v>34</v>
      </c>
      <c r="J1086" t="s">
        <v>75</v>
      </c>
      <c r="K1086" s="2">
        <v>25457</v>
      </c>
      <c r="L1086" t="s">
        <v>36</v>
      </c>
      <c r="M1086" t="s">
        <v>37</v>
      </c>
      <c r="N1086" t="s">
        <v>72</v>
      </c>
      <c r="O1086" t="s">
        <v>67</v>
      </c>
      <c r="P1086" t="s">
        <v>78</v>
      </c>
      <c r="Q1086">
        <v>3</v>
      </c>
      <c r="R1086" s="2">
        <v>44938</v>
      </c>
      <c r="S1086">
        <v>3</v>
      </c>
      <c r="T1086">
        <v>4</v>
      </c>
      <c r="U1086">
        <v>3</v>
      </c>
      <c r="V1086" s="1">
        <v>45053</v>
      </c>
      <c r="W1086" t="s">
        <v>41</v>
      </c>
      <c r="X1086" t="s">
        <v>51</v>
      </c>
      <c r="Y1086" t="s">
        <v>73</v>
      </c>
      <c r="Z1086">
        <v>4</v>
      </c>
      <c r="AA1086">
        <v>571.48</v>
      </c>
      <c r="AB1086">
        <v>54</v>
      </c>
    </row>
    <row r="1087" spans="1:28" x14ac:dyDescent="0.2">
      <c r="A1087">
        <v>1599</v>
      </c>
      <c r="B1087" s="1">
        <v>44699</v>
      </c>
      <c r="C1087" t="s">
        <v>106</v>
      </c>
      <c r="D1087" t="s">
        <v>69</v>
      </c>
      <c r="E1087" t="s">
        <v>108</v>
      </c>
      <c r="F1087" t="s">
        <v>55</v>
      </c>
      <c r="G1087" t="s">
        <v>32</v>
      </c>
      <c r="H1087" t="s">
        <v>55</v>
      </c>
      <c r="I1087" t="s">
        <v>34</v>
      </c>
      <c r="J1087" t="s">
        <v>70</v>
      </c>
      <c r="K1087" s="2">
        <v>27711</v>
      </c>
      <c r="L1087" t="s">
        <v>36</v>
      </c>
      <c r="M1087" t="s">
        <v>48</v>
      </c>
      <c r="N1087" t="s">
        <v>38</v>
      </c>
      <c r="O1087" t="s">
        <v>77</v>
      </c>
      <c r="P1087" t="s">
        <v>78</v>
      </c>
      <c r="Q1087">
        <v>3</v>
      </c>
      <c r="R1087" s="2">
        <v>44817</v>
      </c>
      <c r="S1087">
        <v>4</v>
      </c>
      <c r="T1087">
        <v>5</v>
      </c>
      <c r="U1087">
        <v>2</v>
      </c>
      <c r="V1087" s="1">
        <v>45063</v>
      </c>
      <c r="W1087" t="s">
        <v>41</v>
      </c>
      <c r="X1087" t="s">
        <v>51</v>
      </c>
      <c r="Y1087" t="s">
        <v>73</v>
      </c>
      <c r="Z1087">
        <v>2</v>
      </c>
      <c r="AA1087">
        <v>848.72</v>
      </c>
      <c r="AB1087">
        <v>47</v>
      </c>
    </row>
    <row r="1088" spans="1:28" x14ac:dyDescent="0.2">
      <c r="A1088">
        <v>1600</v>
      </c>
      <c r="B1088" s="1">
        <v>43410</v>
      </c>
      <c r="C1088" t="s">
        <v>106</v>
      </c>
      <c r="D1088" t="s">
        <v>29</v>
      </c>
      <c r="E1088" t="s">
        <v>30</v>
      </c>
      <c r="F1088" t="s">
        <v>31</v>
      </c>
      <c r="G1088" t="s">
        <v>45</v>
      </c>
      <c r="H1088" t="s">
        <v>55</v>
      </c>
      <c r="I1088" t="s">
        <v>34</v>
      </c>
      <c r="J1088" t="s">
        <v>65</v>
      </c>
      <c r="K1088" s="2">
        <v>34108</v>
      </c>
      <c r="L1088" t="s">
        <v>36</v>
      </c>
      <c r="M1088" t="s">
        <v>37</v>
      </c>
      <c r="N1088" t="s">
        <v>49</v>
      </c>
      <c r="O1088" t="s">
        <v>67</v>
      </c>
      <c r="P1088" t="s">
        <v>78</v>
      </c>
      <c r="Q1088">
        <v>3</v>
      </c>
      <c r="R1088" s="2">
        <v>45044</v>
      </c>
      <c r="S1088">
        <v>5</v>
      </c>
      <c r="T1088">
        <v>3</v>
      </c>
      <c r="U1088">
        <v>2</v>
      </c>
      <c r="V1088" s="1">
        <v>44788</v>
      </c>
      <c r="W1088" t="s">
        <v>62</v>
      </c>
      <c r="X1088" t="s">
        <v>42</v>
      </c>
      <c r="Y1088" t="s">
        <v>73</v>
      </c>
      <c r="Z1088">
        <v>5</v>
      </c>
      <c r="AA1088">
        <v>851.93</v>
      </c>
      <c r="AB1088">
        <v>25</v>
      </c>
    </row>
    <row r="1089" spans="1:28" x14ac:dyDescent="0.2">
      <c r="A1089">
        <v>1601</v>
      </c>
      <c r="B1089" s="1">
        <v>44649</v>
      </c>
      <c r="C1089" t="s">
        <v>106</v>
      </c>
      <c r="D1089" t="s">
        <v>85</v>
      </c>
      <c r="E1089" t="s">
        <v>30</v>
      </c>
      <c r="F1089" t="s">
        <v>46</v>
      </c>
      <c r="G1089" t="s">
        <v>32</v>
      </c>
      <c r="H1089" t="s">
        <v>33</v>
      </c>
      <c r="I1089" t="s">
        <v>34</v>
      </c>
      <c r="J1089" t="s">
        <v>79</v>
      </c>
      <c r="K1089" s="2">
        <v>33154</v>
      </c>
      <c r="L1089" t="s">
        <v>36</v>
      </c>
      <c r="M1089" t="s">
        <v>48</v>
      </c>
      <c r="N1089" t="s">
        <v>84</v>
      </c>
      <c r="O1089" t="s">
        <v>61</v>
      </c>
      <c r="P1089" t="s">
        <v>78</v>
      </c>
      <c r="Q1089">
        <v>3</v>
      </c>
      <c r="R1089" s="2">
        <v>44931</v>
      </c>
      <c r="S1089">
        <v>4</v>
      </c>
      <c r="T1089">
        <v>2</v>
      </c>
      <c r="U1089">
        <v>5</v>
      </c>
      <c r="V1089" s="1">
        <v>45066</v>
      </c>
      <c r="W1089" t="s">
        <v>68</v>
      </c>
      <c r="X1089" t="s">
        <v>42</v>
      </c>
      <c r="Y1089" t="s">
        <v>52</v>
      </c>
      <c r="Z1089">
        <v>4</v>
      </c>
      <c r="AA1089">
        <v>381.09</v>
      </c>
      <c r="AB1089">
        <v>32</v>
      </c>
    </row>
    <row r="1090" spans="1:28" x14ac:dyDescent="0.2">
      <c r="A1090">
        <v>1602</v>
      </c>
      <c r="B1090" s="1">
        <v>44504</v>
      </c>
      <c r="C1090" t="s">
        <v>106</v>
      </c>
      <c r="D1090" t="s">
        <v>44</v>
      </c>
      <c r="E1090" t="s">
        <v>30</v>
      </c>
      <c r="F1090" t="s">
        <v>55</v>
      </c>
      <c r="G1090" t="s">
        <v>45</v>
      </c>
      <c r="H1090" t="s">
        <v>46</v>
      </c>
      <c r="I1090" t="s">
        <v>34</v>
      </c>
      <c r="J1090" t="s">
        <v>65</v>
      </c>
      <c r="K1090" s="2">
        <v>36809</v>
      </c>
      <c r="L1090" t="s">
        <v>36</v>
      </c>
      <c r="M1090" t="s">
        <v>37</v>
      </c>
      <c r="N1090" t="s">
        <v>84</v>
      </c>
      <c r="O1090" t="s">
        <v>67</v>
      </c>
      <c r="P1090" t="s">
        <v>78</v>
      </c>
      <c r="Q1090">
        <v>3</v>
      </c>
      <c r="R1090" s="2">
        <v>45017</v>
      </c>
      <c r="S1090">
        <v>2</v>
      </c>
      <c r="T1090">
        <v>1</v>
      </c>
      <c r="U1090">
        <v>3</v>
      </c>
      <c r="V1090" s="1">
        <v>45039</v>
      </c>
      <c r="W1090" t="s">
        <v>62</v>
      </c>
      <c r="X1090" t="s">
        <v>51</v>
      </c>
      <c r="Y1090" t="s">
        <v>52</v>
      </c>
      <c r="Z1090">
        <v>4</v>
      </c>
      <c r="AA1090">
        <v>175.5</v>
      </c>
      <c r="AB1090">
        <v>21</v>
      </c>
    </row>
    <row r="1091" spans="1:28" x14ac:dyDescent="0.2">
      <c r="A1091">
        <v>1603</v>
      </c>
      <c r="B1091" s="1">
        <v>45043</v>
      </c>
      <c r="C1091" t="s">
        <v>106</v>
      </c>
      <c r="D1091" t="s">
        <v>87</v>
      </c>
      <c r="E1091" t="s">
        <v>30</v>
      </c>
      <c r="F1091" t="s">
        <v>46</v>
      </c>
      <c r="G1091" t="s">
        <v>56</v>
      </c>
      <c r="H1091" t="s">
        <v>46</v>
      </c>
      <c r="I1091" t="s">
        <v>34</v>
      </c>
      <c r="J1091" t="s">
        <v>65</v>
      </c>
      <c r="K1091" s="2">
        <v>25197</v>
      </c>
      <c r="L1091" t="s">
        <v>36</v>
      </c>
      <c r="M1091" t="s">
        <v>48</v>
      </c>
      <c r="N1091" t="s">
        <v>38</v>
      </c>
      <c r="O1091" t="s">
        <v>61</v>
      </c>
      <c r="P1091" t="s">
        <v>78</v>
      </c>
      <c r="Q1091">
        <v>3</v>
      </c>
      <c r="R1091" s="2">
        <v>44804</v>
      </c>
      <c r="S1091">
        <v>2</v>
      </c>
      <c r="T1091">
        <v>5</v>
      </c>
      <c r="U1091">
        <v>1</v>
      </c>
      <c r="V1091" s="1">
        <v>44996</v>
      </c>
      <c r="W1091" t="s">
        <v>92</v>
      </c>
      <c r="X1091" t="s">
        <v>51</v>
      </c>
      <c r="Y1091" t="s">
        <v>63</v>
      </c>
      <c r="Z1091">
        <v>2</v>
      </c>
      <c r="AA1091">
        <v>784.15</v>
      </c>
      <c r="AB1091">
        <v>55</v>
      </c>
    </row>
    <row r="1092" spans="1:28" x14ac:dyDescent="0.2">
      <c r="A1092">
        <v>1604</v>
      </c>
      <c r="B1092" s="1">
        <v>43898</v>
      </c>
      <c r="C1092" t="s">
        <v>106</v>
      </c>
      <c r="D1092" t="s">
        <v>64</v>
      </c>
      <c r="E1092" t="s">
        <v>30</v>
      </c>
      <c r="F1092" t="s">
        <v>55</v>
      </c>
      <c r="G1092" t="s">
        <v>56</v>
      </c>
      <c r="H1092" t="s">
        <v>55</v>
      </c>
      <c r="I1092" t="s">
        <v>34</v>
      </c>
      <c r="J1092" t="s">
        <v>65</v>
      </c>
      <c r="K1092" s="2">
        <v>28052</v>
      </c>
      <c r="L1092" t="s">
        <v>36</v>
      </c>
      <c r="M1092" t="s">
        <v>48</v>
      </c>
      <c r="N1092" t="s">
        <v>84</v>
      </c>
      <c r="O1092" t="s">
        <v>67</v>
      </c>
      <c r="P1092" t="s">
        <v>78</v>
      </c>
      <c r="Q1092">
        <v>3</v>
      </c>
      <c r="R1092" s="2">
        <v>44954</v>
      </c>
      <c r="S1092">
        <v>1</v>
      </c>
      <c r="T1092">
        <v>5</v>
      </c>
      <c r="U1092">
        <v>1</v>
      </c>
      <c r="V1092" s="1">
        <v>44965</v>
      </c>
      <c r="W1092" t="s">
        <v>92</v>
      </c>
      <c r="X1092" t="s">
        <v>51</v>
      </c>
      <c r="Y1092" t="s">
        <v>73</v>
      </c>
      <c r="Z1092">
        <v>3</v>
      </c>
      <c r="AA1092">
        <v>999.97</v>
      </c>
      <c r="AB1092">
        <v>44</v>
      </c>
    </row>
    <row r="1093" spans="1:28" x14ac:dyDescent="0.2">
      <c r="A1093">
        <v>1605</v>
      </c>
      <c r="B1093" s="1">
        <v>43582</v>
      </c>
      <c r="C1093" t="s">
        <v>28</v>
      </c>
      <c r="D1093" t="s">
        <v>81</v>
      </c>
      <c r="E1093" t="s">
        <v>108</v>
      </c>
      <c r="F1093" t="s">
        <v>55</v>
      </c>
      <c r="G1093" t="s">
        <v>56</v>
      </c>
      <c r="H1093" t="s">
        <v>55</v>
      </c>
      <c r="I1093" t="s">
        <v>34</v>
      </c>
      <c r="J1093" t="s">
        <v>70</v>
      </c>
      <c r="K1093" s="2">
        <v>20748</v>
      </c>
      <c r="L1093" t="s">
        <v>36</v>
      </c>
      <c r="M1093" t="s">
        <v>37</v>
      </c>
      <c r="N1093" t="s">
        <v>72</v>
      </c>
      <c r="O1093" t="s">
        <v>61</v>
      </c>
      <c r="P1093" t="s">
        <v>78</v>
      </c>
      <c r="Q1093">
        <v>3</v>
      </c>
      <c r="R1093" s="2">
        <v>45054</v>
      </c>
      <c r="S1093">
        <v>2</v>
      </c>
      <c r="T1093">
        <v>3</v>
      </c>
      <c r="U1093">
        <v>3</v>
      </c>
      <c r="V1093" s="1">
        <v>45024</v>
      </c>
      <c r="W1093" t="s">
        <v>50</v>
      </c>
      <c r="X1093" t="s">
        <v>42</v>
      </c>
      <c r="Y1093" t="s">
        <v>73</v>
      </c>
      <c r="Z1093">
        <v>5</v>
      </c>
      <c r="AA1093">
        <v>878.65</v>
      </c>
      <c r="AB1093">
        <v>63</v>
      </c>
    </row>
    <row r="1094" spans="1:28" x14ac:dyDescent="0.2">
      <c r="A1094">
        <v>1606</v>
      </c>
      <c r="B1094" s="1">
        <v>43596</v>
      </c>
      <c r="C1094" t="s">
        <v>28</v>
      </c>
      <c r="D1094" t="s">
        <v>54</v>
      </c>
      <c r="E1094" t="s">
        <v>30</v>
      </c>
      <c r="F1094" t="s">
        <v>55</v>
      </c>
      <c r="G1094" t="s">
        <v>32</v>
      </c>
      <c r="H1094" t="s">
        <v>55</v>
      </c>
      <c r="I1094" t="s">
        <v>34</v>
      </c>
      <c r="J1094" t="s">
        <v>70</v>
      </c>
      <c r="K1094" s="2">
        <v>16137</v>
      </c>
      <c r="L1094" t="s">
        <v>36</v>
      </c>
      <c r="M1094" t="s">
        <v>37</v>
      </c>
      <c r="N1094" t="s">
        <v>38</v>
      </c>
      <c r="O1094" t="s">
        <v>77</v>
      </c>
      <c r="P1094" t="s">
        <v>78</v>
      </c>
      <c r="Q1094">
        <v>3</v>
      </c>
      <c r="R1094" s="2">
        <v>45105</v>
      </c>
      <c r="S1094">
        <v>5</v>
      </c>
      <c r="T1094">
        <v>4</v>
      </c>
      <c r="U1094">
        <v>3</v>
      </c>
      <c r="V1094" s="1">
        <v>44830</v>
      </c>
      <c r="W1094" t="s">
        <v>62</v>
      </c>
      <c r="X1094" t="s">
        <v>42</v>
      </c>
      <c r="Y1094" t="s">
        <v>63</v>
      </c>
      <c r="Z1094">
        <v>5</v>
      </c>
      <c r="AA1094">
        <v>937.89</v>
      </c>
      <c r="AB1094">
        <v>75</v>
      </c>
    </row>
    <row r="1095" spans="1:28" x14ac:dyDescent="0.2">
      <c r="A1095">
        <v>1607</v>
      </c>
      <c r="B1095" s="1">
        <v>44264</v>
      </c>
      <c r="C1095" t="s">
        <v>28</v>
      </c>
      <c r="D1095" t="s">
        <v>69</v>
      </c>
      <c r="E1095" t="s">
        <v>30</v>
      </c>
      <c r="F1095" t="s">
        <v>31</v>
      </c>
      <c r="G1095" t="s">
        <v>32</v>
      </c>
      <c r="H1095" t="s">
        <v>33</v>
      </c>
      <c r="I1095" t="s">
        <v>34</v>
      </c>
      <c r="J1095" t="s">
        <v>100</v>
      </c>
      <c r="K1095" s="2">
        <v>32121</v>
      </c>
      <c r="L1095" t="s">
        <v>36</v>
      </c>
      <c r="M1095" t="s">
        <v>37</v>
      </c>
      <c r="N1095" t="s">
        <v>49</v>
      </c>
      <c r="O1095" t="s">
        <v>67</v>
      </c>
      <c r="P1095" t="s">
        <v>98</v>
      </c>
      <c r="Q1095">
        <v>3</v>
      </c>
      <c r="R1095" s="2">
        <v>45003</v>
      </c>
      <c r="S1095">
        <v>3</v>
      </c>
      <c r="T1095">
        <v>5</v>
      </c>
      <c r="U1095">
        <v>5</v>
      </c>
      <c r="V1095" s="1">
        <v>44895</v>
      </c>
      <c r="W1095" t="s">
        <v>50</v>
      </c>
      <c r="X1095" t="s">
        <v>51</v>
      </c>
      <c r="Y1095" t="s">
        <v>63</v>
      </c>
      <c r="Z1095">
        <v>3</v>
      </c>
      <c r="AA1095">
        <v>961.1</v>
      </c>
      <c r="AB1095">
        <v>34</v>
      </c>
    </row>
    <row r="1096" spans="1:28" x14ac:dyDescent="0.2">
      <c r="A1096">
        <v>1608</v>
      </c>
      <c r="B1096" s="1">
        <v>44140</v>
      </c>
      <c r="C1096" t="s">
        <v>28</v>
      </c>
      <c r="D1096" t="s">
        <v>29</v>
      </c>
      <c r="E1096" t="s">
        <v>30</v>
      </c>
      <c r="F1096" t="s">
        <v>46</v>
      </c>
      <c r="G1096" t="s">
        <v>45</v>
      </c>
      <c r="H1096" t="s">
        <v>33</v>
      </c>
      <c r="I1096" t="s">
        <v>34</v>
      </c>
      <c r="J1096" t="s">
        <v>70</v>
      </c>
      <c r="K1096" s="2">
        <v>35485</v>
      </c>
      <c r="L1096" t="s">
        <v>36</v>
      </c>
      <c r="M1096" t="s">
        <v>37</v>
      </c>
      <c r="N1096" t="s">
        <v>38</v>
      </c>
      <c r="O1096" t="s">
        <v>39</v>
      </c>
      <c r="P1096" t="s">
        <v>107</v>
      </c>
      <c r="Q1096">
        <v>3</v>
      </c>
      <c r="R1096" s="2">
        <v>44906</v>
      </c>
      <c r="S1096">
        <v>2</v>
      </c>
      <c r="T1096">
        <v>4</v>
      </c>
      <c r="U1096">
        <v>3</v>
      </c>
      <c r="V1096" s="1">
        <v>44871</v>
      </c>
      <c r="W1096" t="s">
        <v>50</v>
      </c>
      <c r="X1096" t="s">
        <v>42</v>
      </c>
      <c r="Y1096" t="s">
        <v>52</v>
      </c>
      <c r="Z1096">
        <v>1</v>
      </c>
      <c r="AA1096">
        <v>820.96</v>
      </c>
      <c r="AB1096">
        <v>23</v>
      </c>
    </row>
    <row r="1097" spans="1:28" x14ac:dyDescent="0.2">
      <c r="A1097">
        <v>1609</v>
      </c>
      <c r="B1097" s="1">
        <v>43355</v>
      </c>
      <c r="C1097" t="s">
        <v>28</v>
      </c>
      <c r="D1097" t="s">
        <v>85</v>
      </c>
      <c r="E1097" t="s">
        <v>30</v>
      </c>
      <c r="F1097" t="s">
        <v>31</v>
      </c>
      <c r="G1097" t="s">
        <v>45</v>
      </c>
      <c r="H1097" t="s">
        <v>55</v>
      </c>
      <c r="I1097" t="s">
        <v>34</v>
      </c>
      <c r="J1097" t="s">
        <v>75</v>
      </c>
      <c r="K1097" s="2">
        <v>19689</v>
      </c>
      <c r="L1097" t="s">
        <v>36</v>
      </c>
      <c r="M1097" t="s">
        <v>48</v>
      </c>
      <c r="N1097" t="s">
        <v>72</v>
      </c>
      <c r="O1097" t="s">
        <v>67</v>
      </c>
      <c r="P1097" t="s">
        <v>107</v>
      </c>
      <c r="Q1097">
        <v>3</v>
      </c>
      <c r="R1097" s="2">
        <v>45029</v>
      </c>
      <c r="S1097">
        <v>5</v>
      </c>
      <c r="T1097">
        <v>5</v>
      </c>
      <c r="U1097">
        <v>4</v>
      </c>
      <c r="V1097" s="1">
        <v>45038</v>
      </c>
      <c r="W1097" t="s">
        <v>62</v>
      </c>
      <c r="X1097" t="s">
        <v>42</v>
      </c>
      <c r="Y1097" t="s">
        <v>43</v>
      </c>
      <c r="Z1097">
        <v>3</v>
      </c>
      <c r="AA1097">
        <v>455.52</v>
      </c>
      <c r="AB1097">
        <v>65</v>
      </c>
    </row>
    <row r="1098" spans="1:28" x14ac:dyDescent="0.2">
      <c r="A1098">
        <v>1610</v>
      </c>
      <c r="B1098" s="1">
        <v>43778</v>
      </c>
      <c r="C1098" t="s">
        <v>28</v>
      </c>
      <c r="D1098" t="s">
        <v>44</v>
      </c>
      <c r="E1098" t="s">
        <v>30</v>
      </c>
      <c r="F1098" t="s">
        <v>46</v>
      </c>
      <c r="G1098" t="s">
        <v>56</v>
      </c>
      <c r="H1098" t="s">
        <v>55</v>
      </c>
      <c r="I1098" t="s">
        <v>34</v>
      </c>
      <c r="J1098" t="s">
        <v>65</v>
      </c>
      <c r="K1098" s="2">
        <v>31440</v>
      </c>
      <c r="L1098" t="s">
        <v>36</v>
      </c>
      <c r="M1098" t="s">
        <v>37</v>
      </c>
      <c r="N1098" t="s">
        <v>38</v>
      </c>
      <c r="O1098" t="s">
        <v>61</v>
      </c>
      <c r="P1098" t="s">
        <v>98</v>
      </c>
      <c r="Q1098">
        <v>3</v>
      </c>
      <c r="R1098" s="2">
        <v>44857</v>
      </c>
      <c r="S1098">
        <v>4</v>
      </c>
      <c r="T1098">
        <v>5</v>
      </c>
      <c r="U1098">
        <v>5</v>
      </c>
      <c r="V1098" s="1">
        <v>45014</v>
      </c>
      <c r="W1098" t="s">
        <v>92</v>
      </c>
      <c r="X1098" t="s">
        <v>51</v>
      </c>
      <c r="Y1098" t="s">
        <v>63</v>
      </c>
      <c r="Z1098">
        <v>4</v>
      </c>
      <c r="AA1098">
        <v>815.24</v>
      </c>
      <c r="AB1098">
        <v>33</v>
      </c>
    </row>
    <row r="1099" spans="1:28" x14ac:dyDescent="0.2">
      <c r="A1099">
        <v>1611</v>
      </c>
      <c r="B1099" s="1">
        <v>43433</v>
      </c>
      <c r="C1099" t="s">
        <v>28</v>
      </c>
      <c r="D1099" t="s">
        <v>87</v>
      </c>
      <c r="E1099" t="s">
        <v>30</v>
      </c>
      <c r="F1099" t="s">
        <v>55</v>
      </c>
      <c r="G1099" t="s">
        <v>32</v>
      </c>
      <c r="H1099" t="s">
        <v>46</v>
      </c>
      <c r="I1099" t="s">
        <v>34</v>
      </c>
      <c r="J1099" t="s">
        <v>96</v>
      </c>
      <c r="K1099" s="2">
        <v>22671</v>
      </c>
      <c r="L1099" t="s">
        <v>36</v>
      </c>
      <c r="M1099" t="s">
        <v>37</v>
      </c>
      <c r="N1099" t="s">
        <v>49</v>
      </c>
      <c r="O1099" t="s">
        <v>39</v>
      </c>
      <c r="P1099" t="s">
        <v>98</v>
      </c>
      <c r="Q1099">
        <v>3</v>
      </c>
      <c r="R1099" s="2">
        <v>45067</v>
      </c>
      <c r="S1099">
        <v>1</v>
      </c>
      <c r="T1099">
        <v>2</v>
      </c>
      <c r="U1099">
        <v>2</v>
      </c>
      <c r="V1099" s="1">
        <v>44835</v>
      </c>
      <c r="W1099" t="s">
        <v>41</v>
      </c>
      <c r="X1099" t="s">
        <v>51</v>
      </c>
      <c r="Y1099" t="s">
        <v>43</v>
      </c>
      <c r="Z1099">
        <v>5</v>
      </c>
      <c r="AA1099">
        <v>534.82000000000005</v>
      </c>
      <c r="AB1099">
        <v>56</v>
      </c>
    </row>
    <row r="1100" spans="1:28" x14ac:dyDescent="0.2">
      <c r="A1100">
        <v>1612</v>
      </c>
      <c r="B1100" s="1">
        <v>44745</v>
      </c>
      <c r="C1100" t="s">
        <v>28</v>
      </c>
      <c r="D1100" t="s">
        <v>64</v>
      </c>
      <c r="E1100" t="s">
        <v>30</v>
      </c>
      <c r="F1100" t="s">
        <v>46</v>
      </c>
      <c r="G1100" t="s">
        <v>56</v>
      </c>
      <c r="H1100" t="s">
        <v>33</v>
      </c>
      <c r="I1100" t="s">
        <v>34</v>
      </c>
      <c r="J1100" t="s">
        <v>58</v>
      </c>
      <c r="K1100" s="2">
        <v>34117</v>
      </c>
      <c r="L1100" t="s">
        <v>36</v>
      </c>
      <c r="M1100" t="s">
        <v>48</v>
      </c>
      <c r="N1100" t="s">
        <v>38</v>
      </c>
      <c r="O1100" t="s">
        <v>61</v>
      </c>
      <c r="P1100" t="s">
        <v>98</v>
      </c>
      <c r="Q1100">
        <v>3</v>
      </c>
      <c r="R1100" s="2">
        <v>44908</v>
      </c>
      <c r="S1100">
        <v>5</v>
      </c>
      <c r="T1100">
        <v>5</v>
      </c>
      <c r="U1100">
        <v>3</v>
      </c>
      <c r="V1100" s="1">
        <v>44951</v>
      </c>
      <c r="W1100" t="s">
        <v>68</v>
      </c>
      <c r="X1100" t="s">
        <v>51</v>
      </c>
      <c r="Y1100" t="s">
        <v>52</v>
      </c>
      <c r="Z1100">
        <v>4</v>
      </c>
      <c r="AA1100">
        <v>522.79</v>
      </c>
      <c r="AB1100">
        <v>29</v>
      </c>
    </row>
    <row r="1101" spans="1:28" x14ac:dyDescent="0.2">
      <c r="A1101">
        <v>1613</v>
      </c>
      <c r="B1101" s="1">
        <v>43734</v>
      </c>
      <c r="C1101" t="s">
        <v>28</v>
      </c>
      <c r="D1101" t="s">
        <v>94</v>
      </c>
      <c r="E1101" t="s">
        <v>30</v>
      </c>
      <c r="F1101" t="s">
        <v>31</v>
      </c>
      <c r="G1101" t="s">
        <v>32</v>
      </c>
      <c r="H1101" t="s">
        <v>55</v>
      </c>
      <c r="I1101" t="s">
        <v>34</v>
      </c>
      <c r="J1101" t="s">
        <v>70</v>
      </c>
      <c r="K1101" s="2">
        <v>34883</v>
      </c>
      <c r="L1101" t="s">
        <v>36</v>
      </c>
      <c r="M1101" t="s">
        <v>37</v>
      </c>
      <c r="N1101" t="s">
        <v>60</v>
      </c>
      <c r="O1101" t="s">
        <v>61</v>
      </c>
      <c r="P1101" t="s">
        <v>78</v>
      </c>
      <c r="Q1101">
        <v>3</v>
      </c>
      <c r="R1101" s="2">
        <v>44811</v>
      </c>
      <c r="S1101">
        <v>4</v>
      </c>
      <c r="T1101">
        <v>2</v>
      </c>
      <c r="U1101">
        <v>1</v>
      </c>
      <c r="V1101" s="1">
        <v>44954</v>
      </c>
      <c r="W1101" t="s">
        <v>41</v>
      </c>
      <c r="X1101" t="s">
        <v>42</v>
      </c>
      <c r="Y1101" t="s">
        <v>63</v>
      </c>
      <c r="Z1101">
        <v>1</v>
      </c>
      <c r="AA1101">
        <v>868.8</v>
      </c>
      <c r="AB1101">
        <v>24</v>
      </c>
    </row>
    <row r="1102" spans="1:28" x14ac:dyDescent="0.2">
      <c r="A1102">
        <v>1614</v>
      </c>
      <c r="B1102" s="1">
        <v>44918</v>
      </c>
      <c r="C1102" t="s">
        <v>28</v>
      </c>
      <c r="D1102" t="s">
        <v>74</v>
      </c>
      <c r="E1102" t="s">
        <v>30</v>
      </c>
      <c r="F1102" t="s">
        <v>46</v>
      </c>
      <c r="G1102" t="s">
        <v>56</v>
      </c>
      <c r="H1102" t="s">
        <v>46</v>
      </c>
      <c r="I1102" t="s">
        <v>34</v>
      </c>
      <c r="J1102" t="s">
        <v>70</v>
      </c>
      <c r="K1102" s="2">
        <v>18706</v>
      </c>
      <c r="L1102" t="s">
        <v>36</v>
      </c>
      <c r="M1102" t="s">
        <v>48</v>
      </c>
      <c r="N1102" t="s">
        <v>84</v>
      </c>
      <c r="O1102" t="s">
        <v>77</v>
      </c>
      <c r="P1102" t="s">
        <v>98</v>
      </c>
      <c r="Q1102">
        <v>3</v>
      </c>
      <c r="R1102" s="2">
        <v>45026</v>
      </c>
      <c r="S1102">
        <v>1</v>
      </c>
      <c r="T1102">
        <v>4</v>
      </c>
      <c r="U1102">
        <v>2</v>
      </c>
      <c r="V1102" s="1">
        <v>45129</v>
      </c>
      <c r="W1102" t="s">
        <v>92</v>
      </c>
      <c r="X1102" t="s">
        <v>51</v>
      </c>
      <c r="Y1102" t="s">
        <v>73</v>
      </c>
      <c r="Z1102">
        <v>1</v>
      </c>
      <c r="AA1102">
        <v>808.85</v>
      </c>
      <c r="AB1102">
        <v>71</v>
      </c>
    </row>
    <row r="1103" spans="1:28" x14ac:dyDescent="0.2">
      <c r="A1103">
        <v>1615</v>
      </c>
      <c r="B1103" s="1">
        <v>44945</v>
      </c>
      <c r="C1103" t="s">
        <v>28</v>
      </c>
      <c r="D1103" t="s">
        <v>81</v>
      </c>
      <c r="E1103" t="s">
        <v>30</v>
      </c>
      <c r="F1103" t="s">
        <v>46</v>
      </c>
      <c r="G1103" t="s">
        <v>32</v>
      </c>
      <c r="H1103" t="s">
        <v>46</v>
      </c>
      <c r="I1103" t="s">
        <v>34</v>
      </c>
      <c r="J1103" t="s">
        <v>65</v>
      </c>
      <c r="K1103" s="2">
        <v>21931</v>
      </c>
      <c r="L1103" t="s">
        <v>36</v>
      </c>
      <c r="M1103" t="s">
        <v>48</v>
      </c>
      <c r="N1103" t="s">
        <v>38</v>
      </c>
      <c r="O1103" t="s">
        <v>67</v>
      </c>
      <c r="P1103" t="s">
        <v>78</v>
      </c>
      <c r="Q1103">
        <v>3</v>
      </c>
      <c r="R1103" s="2">
        <v>45134</v>
      </c>
      <c r="S1103">
        <v>1</v>
      </c>
      <c r="T1103">
        <v>1</v>
      </c>
      <c r="U1103">
        <v>3</v>
      </c>
      <c r="V1103" s="1">
        <v>44804</v>
      </c>
      <c r="W1103" t="s">
        <v>68</v>
      </c>
      <c r="X1103" t="s">
        <v>42</v>
      </c>
      <c r="Y1103" t="s">
        <v>73</v>
      </c>
      <c r="Z1103">
        <v>1</v>
      </c>
      <c r="AA1103">
        <v>874.1</v>
      </c>
      <c r="AB1103">
        <v>63</v>
      </c>
    </row>
    <row r="1104" spans="1:28" x14ac:dyDescent="0.2">
      <c r="A1104">
        <v>1616</v>
      </c>
      <c r="B1104" s="1">
        <v>43374</v>
      </c>
      <c r="C1104" t="s">
        <v>28</v>
      </c>
      <c r="D1104" t="s">
        <v>54</v>
      </c>
      <c r="E1104" t="s">
        <v>30</v>
      </c>
      <c r="F1104" t="s">
        <v>55</v>
      </c>
      <c r="G1104" t="s">
        <v>45</v>
      </c>
      <c r="H1104" t="s">
        <v>46</v>
      </c>
      <c r="I1104" t="s">
        <v>34</v>
      </c>
      <c r="J1104" t="s">
        <v>70</v>
      </c>
      <c r="K1104" s="2">
        <v>33392</v>
      </c>
      <c r="L1104" t="s">
        <v>36</v>
      </c>
      <c r="M1104" t="s">
        <v>37</v>
      </c>
      <c r="N1104" t="s">
        <v>72</v>
      </c>
      <c r="O1104" t="s">
        <v>77</v>
      </c>
      <c r="P1104" t="s">
        <v>98</v>
      </c>
      <c r="Q1104">
        <v>3</v>
      </c>
      <c r="R1104" s="2">
        <v>44955</v>
      </c>
      <c r="S1104">
        <v>3</v>
      </c>
      <c r="T1104">
        <v>4</v>
      </c>
      <c r="U1104">
        <v>1</v>
      </c>
      <c r="V1104" s="1">
        <v>45125</v>
      </c>
      <c r="W1104" t="s">
        <v>41</v>
      </c>
      <c r="X1104" t="s">
        <v>51</v>
      </c>
      <c r="Y1104" t="s">
        <v>63</v>
      </c>
      <c r="Z1104">
        <v>2</v>
      </c>
      <c r="AA1104">
        <v>206.73</v>
      </c>
      <c r="AB1104">
        <v>27</v>
      </c>
    </row>
    <row r="1105" spans="1:28" x14ac:dyDescent="0.2">
      <c r="A1105">
        <v>1617</v>
      </c>
      <c r="B1105" s="1">
        <v>44610</v>
      </c>
      <c r="C1105" t="s">
        <v>28</v>
      </c>
      <c r="D1105" t="s">
        <v>69</v>
      </c>
      <c r="E1105" t="s">
        <v>30</v>
      </c>
      <c r="F1105" t="s">
        <v>55</v>
      </c>
      <c r="G1105" t="s">
        <v>56</v>
      </c>
      <c r="H1105" t="s">
        <v>55</v>
      </c>
      <c r="I1105" t="s">
        <v>34</v>
      </c>
      <c r="J1105" t="s">
        <v>47</v>
      </c>
      <c r="K1105" s="2">
        <v>33599</v>
      </c>
      <c r="L1105" t="s">
        <v>36</v>
      </c>
      <c r="M1105" t="s">
        <v>37</v>
      </c>
      <c r="N1105" t="s">
        <v>72</v>
      </c>
      <c r="O1105" t="s">
        <v>77</v>
      </c>
      <c r="P1105" t="s">
        <v>98</v>
      </c>
      <c r="Q1105">
        <v>3</v>
      </c>
      <c r="R1105" s="2">
        <v>44965</v>
      </c>
      <c r="S1105">
        <v>5</v>
      </c>
      <c r="T1105">
        <v>1</v>
      </c>
      <c r="U1105">
        <v>2</v>
      </c>
      <c r="V1105" s="1">
        <v>44963</v>
      </c>
      <c r="W1105" t="s">
        <v>41</v>
      </c>
      <c r="X1105" t="s">
        <v>42</v>
      </c>
      <c r="Y1105" t="s">
        <v>63</v>
      </c>
      <c r="Z1105">
        <v>3</v>
      </c>
      <c r="AA1105">
        <v>586.5</v>
      </c>
      <c r="AB1105">
        <v>31</v>
      </c>
    </row>
    <row r="1106" spans="1:28" x14ac:dyDescent="0.2">
      <c r="A1106">
        <v>1618</v>
      </c>
      <c r="B1106" s="1">
        <v>44539</v>
      </c>
      <c r="C1106" t="s">
        <v>28</v>
      </c>
      <c r="D1106" t="s">
        <v>29</v>
      </c>
      <c r="E1106" t="s">
        <v>30</v>
      </c>
      <c r="F1106" t="s">
        <v>55</v>
      </c>
      <c r="G1106" t="s">
        <v>56</v>
      </c>
      <c r="H1106" t="s">
        <v>33</v>
      </c>
      <c r="I1106" t="s">
        <v>34</v>
      </c>
      <c r="J1106" t="s">
        <v>70</v>
      </c>
      <c r="K1106" s="2">
        <v>28292</v>
      </c>
      <c r="L1106" t="s">
        <v>36</v>
      </c>
      <c r="M1106" t="s">
        <v>48</v>
      </c>
      <c r="N1106" t="s">
        <v>38</v>
      </c>
      <c r="O1106" t="s">
        <v>39</v>
      </c>
      <c r="P1106" t="s">
        <v>98</v>
      </c>
      <c r="Q1106">
        <v>3</v>
      </c>
      <c r="R1106" s="2">
        <v>44881</v>
      </c>
      <c r="S1106">
        <v>2</v>
      </c>
      <c r="T1106">
        <v>5</v>
      </c>
      <c r="U1106">
        <v>4</v>
      </c>
      <c r="V1106" s="1">
        <v>45040</v>
      </c>
      <c r="W1106" t="s">
        <v>41</v>
      </c>
      <c r="X1106" t="s">
        <v>42</v>
      </c>
      <c r="Y1106" t="s">
        <v>73</v>
      </c>
      <c r="Z1106">
        <v>2</v>
      </c>
      <c r="AA1106">
        <v>779.69</v>
      </c>
      <c r="AB1106">
        <v>44</v>
      </c>
    </row>
    <row r="1107" spans="1:28" x14ac:dyDescent="0.2">
      <c r="A1107">
        <v>1620</v>
      </c>
      <c r="B1107" s="1">
        <v>43978</v>
      </c>
      <c r="C1107" t="s">
        <v>28</v>
      </c>
      <c r="D1107" t="s">
        <v>44</v>
      </c>
      <c r="E1107" t="s">
        <v>30</v>
      </c>
      <c r="F1107" t="s">
        <v>31</v>
      </c>
      <c r="G1107" t="s">
        <v>45</v>
      </c>
      <c r="H1107" t="s">
        <v>55</v>
      </c>
      <c r="I1107" t="s">
        <v>34</v>
      </c>
      <c r="J1107" t="s">
        <v>82</v>
      </c>
      <c r="K1107" s="2">
        <v>24535</v>
      </c>
      <c r="L1107" t="s">
        <v>36</v>
      </c>
      <c r="M1107" t="s">
        <v>48</v>
      </c>
      <c r="N1107" t="s">
        <v>84</v>
      </c>
      <c r="O1107" t="s">
        <v>61</v>
      </c>
      <c r="P1107" t="s">
        <v>98</v>
      </c>
      <c r="Q1107">
        <v>3</v>
      </c>
      <c r="R1107" s="2">
        <v>44864</v>
      </c>
      <c r="S1107">
        <v>5</v>
      </c>
      <c r="T1107">
        <v>3</v>
      </c>
      <c r="U1107">
        <v>2</v>
      </c>
      <c r="V1107" s="1">
        <v>44944</v>
      </c>
      <c r="W1107" t="s">
        <v>62</v>
      </c>
      <c r="X1107" t="s">
        <v>51</v>
      </c>
      <c r="Y1107" t="s">
        <v>63</v>
      </c>
      <c r="Z1107">
        <v>5</v>
      </c>
      <c r="AA1107">
        <v>986.14</v>
      </c>
      <c r="AB1107">
        <v>53</v>
      </c>
    </row>
    <row r="1108" spans="1:28" x14ac:dyDescent="0.2">
      <c r="A1108">
        <v>1621</v>
      </c>
      <c r="B1108" s="1">
        <v>44460</v>
      </c>
      <c r="C1108" t="s">
        <v>139</v>
      </c>
      <c r="D1108" t="s">
        <v>87</v>
      </c>
      <c r="E1108" t="s">
        <v>30</v>
      </c>
      <c r="F1108" t="s">
        <v>55</v>
      </c>
      <c r="G1108" t="s">
        <v>56</v>
      </c>
      <c r="H1108" t="s">
        <v>33</v>
      </c>
      <c r="I1108" t="s">
        <v>95</v>
      </c>
      <c r="J1108" t="s">
        <v>70</v>
      </c>
      <c r="K1108" s="2">
        <v>27737</v>
      </c>
      <c r="L1108" t="s">
        <v>36</v>
      </c>
      <c r="M1108" t="s">
        <v>48</v>
      </c>
      <c r="N1108" t="s">
        <v>60</v>
      </c>
      <c r="O1108" t="s">
        <v>77</v>
      </c>
      <c r="P1108" t="s">
        <v>98</v>
      </c>
      <c r="Q1108">
        <v>3</v>
      </c>
      <c r="R1108" s="2">
        <v>45067</v>
      </c>
      <c r="S1108">
        <v>4</v>
      </c>
      <c r="T1108">
        <v>1</v>
      </c>
      <c r="U1108">
        <v>3</v>
      </c>
      <c r="V1108" s="1">
        <v>44837</v>
      </c>
      <c r="W1108" t="s">
        <v>68</v>
      </c>
      <c r="X1108" t="s">
        <v>42</v>
      </c>
      <c r="Y1108" t="s">
        <v>63</v>
      </c>
      <c r="Z1108">
        <v>2</v>
      </c>
      <c r="AA1108">
        <v>264.74</v>
      </c>
      <c r="AB1108">
        <v>46</v>
      </c>
    </row>
    <row r="1109" spans="1:28" x14ac:dyDescent="0.2">
      <c r="A1109">
        <v>1622</v>
      </c>
      <c r="B1109" s="1">
        <v>44438</v>
      </c>
      <c r="C1109" t="s">
        <v>139</v>
      </c>
      <c r="D1109" t="s">
        <v>64</v>
      </c>
      <c r="E1109" t="s">
        <v>30</v>
      </c>
      <c r="F1109" t="s">
        <v>31</v>
      </c>
      <c r="G1109" t="s">
        <v>45</v>
      </c>
      <c r="H1109" t="s">
        <v>46</v>
      </c>
      <c r="I1109" t="s">
        <v>95</v>
      </c>
      <c r="J1109" t="s">
        <v>47</v>
      </c>
      <c r="K1109" s="2">
        <v>15362</v>
      </c>
      <c r="L1109" t="s">
        <v>36</v>
      </c>
      <c r="M1109" t="s">
        <v>48</v>
      </c>
      <c r="N1109" t="s">
        <v>84</v>
      </c>
      <c r="O1109" t="s">
        <v>61</v>
      </c>
      <c r="P1109" t="s">
        <v>98</v>
      </c>
      <c r="Q1109">
        <v>3</v>
      </c>
      <c r="R1109" s="2">
        <v>45045</v>
      </c>
      <c r="S1109">
        <v>1</v>
      </c>
      <c r="T1109">
        <v>5</v>
      </c>
      <c r="U1109">
        <v>5</v>
      </c>
      <c r="V1109" s="1">
        <v>44912</v>
      </c>
      <c r="W1109" t="s">
        <v>92</v>
      </c>
      <c r="X1109" t="s">
        <v>42</v>
      </c>
      <c r="Y1109" t="s">
        <v>73</v>
      </c>
      <c r="Z1109">
        <v>4</v>
      </c>
      <c r="AA1109">
        <v>344.06</v>
      </c>
      <c r="AB1109">
        <v>79</v>
      </c>
    </row>
    <row r="1110" spans="1:28" x14ac:dyDescent="0.2">
      <c r="A1110">
        <v>1623</v>
      </c>
      <c r="B1110" s="1">
        <v>45096</v>
      </c>
      <c r="C1110" t="s">
        <v>139</v>
      </c>
      <c r="D1110" t="s">
        <v>94</v>
      </c>
      <c r="E1110" t="s">
        <v>30</v>
      </c>
      <c r="F1110" t="s">
        <v>55</v>
      </c>
      <c r="G1110" t="s">
        <v>32</v>
      </c>
      <c r="H1110" t="s">
        <v>33</v>
      </c>
      <c r="I1110" t="s">
        <v>95</v>
      </c>
      <c r="J1110" t="s">
        <v>35</v>
      </c>
      <c r="K1110" s="2">
        <v>37059</v>
      </c>
      <c r="L1110" t="s">
        <v>36</v>
      </c>
      <c r="M1110" t="s">
        <v>48</v>
      </c>
      <c r="N1110" t="s">
        <v>60</v>
      </c>
      <c r="O1110" t="s">
        <v>77</v>
      </c>
      <c r="P1110" t="s">
        <v>98</v>
      </c>
      <c r="Q1110">
        <v>3</v>
      </c>
      <c r="R1110" s="2">
        <v>44913</v>
      </c>
      <c r="S1110">
        <v>1</v>
      </c>
      <c r="T1110">
        <v>2</v>
      </c>
      <c r="U1110">
        <v>2</v>
      </c>
      <c r="V1110" s="1">
        <v>44891</v>
      </c>
      <c r="W1110" t="s">
        <v>62</v>
      </c>
      <c r="X1110" t="s">
        <v>42</v>
      </c>
      <c r="Y1110" t="s">
        <v>73</v>
      </c>
      <c r="Z1110">
        <v>3</v>
      </c>
      <c r="AA1110">
        <v>232.5</v>
      </c>
      <c r="AB1110">
        <v>22</v>
      </c>
    </row>
    <row r="1111" spans="1:28" x14ac:dyDescent="0.2">
      <c r="A1111">
        <v>1624</v>
      </c>
      <c r="B1111" s="1">
        <v>45058</v>
      </c>
      <c r="C1111" t="s">
        <v>131</v>
      </c>
      <c r="D1111" t="s">
        <v>74</v>
      </c>
      <c r="E1111" t="s">
        <v>30</v>
      </c>
      <c r="F1111" t="s">
        <v>55</v>
      </c>
      <c r="G1111" t="s">
        <v>45</v>
      </c>
      <c r="H1111" t="s">
        <v>33</v>
      </c>
      <c r="I1111" t="s">
        <v>95</v>
      </c>
      <c r="J1111" t="s">
        <v>70</v>
      </c>
      <c r="K1111" s="2">
        <v>35360</v>
      </c>
      <c r="L1111" t="s">
        <v>36</v>
      </c>
      <c r="M1111" t="s">
        <v>48</v>
      </c>
      <c r="N1111" t="s">
        <v>38</v>
      </c>
      <c r="O1111" t="s">
        <v>39</v>
      </c>
      <c r="P1111" t="s">
        <v>98</v>
      </c>
      <c r="Q1111">
        <v>3</v>
      </c>
      <c r="R1111" s="2">
        <v>45131</v>
      </c>
      <c r="S1111">
        <v>5</v>
      </c>
      <c r="T1111">
        <v>1</v>
      </c>
      <c r="U1111">
        <v>3</v>
      </c>
      <c r="V1111" s="1">
        <v>45037</v>
      </c>
      <c r="W1111" t="s">
        <v>50</v>
      </c>
      <c r="X1111" t="s">
        <v>42</v>
      </c>
      <c r="Y1111" t="s">
        <v>43</v>
      </c>
      <c r="Z1111">
        <v>1</v>
      </c>
      <c r="AA1111">
        <v>953.68</v>
      </c>
      <c r="AB1111">
        <v>27</v>
      </c>
    </row>
    <row r="1112" spans="1:28" x14ac:dyDescent="0.2">
      <c r="A1112">
        <v>1625</v>
      </c>
      <c r="B1112" s="1">
        <v>44717</v>
      </c>
      <c r="C1112" t="s">
        <v>131</v>
      </c>
      <c r="D1112" t="s">
        <v>81</v>
      </c>
      <c r="E1112" t="s">
        <v>30</v>
      </c>
      <c r="F1112" t="s">
        <v>46</v>
      </c>
      <c r="G1112" t="s">
        <v>56</v>
      </c>
      <c r="H1112" t="s">
        <v>46</v>
      </c>
      <c r="I1112" t="s">
        <v>95</v>
      </c>
      <c r="J1112" t="s">
        <v>100</v>
      </c>
      <c r="K1112" s="2">
        <v>28384</v>
      </c>
      <c r="L1112" t="s">
        <v>36</v>
      </c>
      <c r="M1112" t="s">
        <v>48</v>
      </c>
      <c r="N1112" t="s">
        <v>60</v>
      </c>
      <c r="O1112" t="s">
        <v>61</v>
      </c>
      <c r="P1112" t="s">
        <v>78</v>
      </c>
      <c r="Q1112">
        <v>3</v>
      </c>
      <c r="R1112" s="2">
        <v>44789</v>
      </c>
      <c r="S1112">
        <v>5</v>
      </c>
      <c r="T1112">
        <v>2</v>
      </c>
      <c r="U1112">
        <v>2</v>
      </c>
      <c r="V1112" s="1">
        <v>44880</v>
      </c>
      <c r="W1112" t="s">
        <v>62</v>
      </c>
      <c r="X1112" t="s">
        <v>51</v>
      </c>
      <c r="Y1112" t="s">
        <v>73</v>
      </c>
      <c r="Z1112">
        <v>5</v>
      </c>
      <c r="AA1112">
        <v>101.56</v>
      </c>
      <c r="AB1112">
        <v>45</v>
      </c>
    </row>
    <row r="1113" spans="1:28" x14ac:dyDescent="0.2">
      <c r="A1113">
        <v>1626</v>
      </c>
      <c r="B1113" s="1">
        <v>44091</v>
      </c>
      <c r="C1113" t="s">
        <v>123</v>
      </c>
      <c r="D1113" t="s">
        <v>54</v>
      </c>
      <c r="E1113" t="s">
        <v>30</v>
      </c>
      <c r="F1113" t="s">
        <v>55</v>
      </c>
      <c r="G1113" t="s">
        <v>56</v>
      </c>
      <c r="H1113" t="s">
        <v>33</v>
      </c>
      <c r="I1113" t="s">
        <v>95</v>
      </c>
      <c r="J1113" t="s">
        <v>65</v>
      </c>
      <c r="K1113" s="2">
        <v>17299</v>
      </c>
      <c r="L1113" t="s">
        <v>36</v>
      </c>
      <c r="M1113" t="s">
        <v>37</v>
      </c>
      <c r="N1113" t="s">
        <v>60</v>
      </c>
      <c r="O1113" t="s">
        <v>67</v>
      </c>
      <c r="P1113" t="s">
        <v>98</v>
      </c>
      <c r="Q1113">
        <v>3</v>
      </c>
      <c r="R1113" s="2">
        <v>44937</v>
      </c>
      <c r="S1113">
        <v>3</v>
      </c>
      <c r="T1113">
        <v>4</v>
      </c>
      <c r="U1113">
        <v>5</v>
      </c>
      <c r="V1113" s="1">
        <v>45051</v>
      </c>
      <c r="W1113" t="s">
        <v>62</v>
      </c>
      <c r="X1113" t="s">
        <v>42</v>
      </c>
      <c r="Y1113" t="s">
        <v>43</v>
      </c>
      <c r="Z1113">
        <v>3</v>
      </c>
      <c r="AA1113">
        <v>624.79999999999995</v>
      </c>
      <c r="AB1113">
        <v>73</v>
      </c>
    </row>
    <row r="1114" spans="1:28" x14ac:dyDescent="0.2">
      <c r="A1114">
        <v>1627</v>
      </c>
      <c r="B1114" s="1">
        <v>45061</v>
      </c>
      <c r="C1114" t="s">
        <v>139</v>
      </c>
      <c r="D1114" t="s">
        <v>69</v>
      </c>
      <c r="E1114" t="s">
        <v>30</v>
      </c>
      <c r="F1114" t="s">
        <v>55</v>
      </c>
      <c r="G1114" t="s">
        <v>32</v>
      </c>
      <c r="H1114" t="s">
        <v>55</v>
      </c>
      <c r="I1114" t="s">
        <v>95</v>
      </c>
      <c r="J1114" t="s">
        <v>70</v>
      </c>
      <c r="K1114" s="2">
        <v>24121</v>
      </c>
      <c r="L1114" t="s">
        <v>36</v>
      </c>
      <c r="M1114" t="s">
        <v>37</v>
      </c>
      <c r="N1114" t="s">
        <v>60</v>
      </c>
      <c r="O1114" t="s">
        <v>77</v>
      </c>
      <c r="P1114" t="s">
        <v>78</v>
      </c>
      <c r="Q1114">
        <v>3</v>
      </c>
      <c r="R1114" s="2">
        <v>44779</v>
      </c>
      <c r="S1114">
        <v>4</v>
      </c>
      <c r="T1114">
        <v>4</v>
      </c>
      <c r="U1114">
        <v>1</v>
      </c>
      <c r="V1114" s="1">
        <v>44900</v>
      </c>
      <c r="W1114" t="s">
        <v>62</v>
      </c>
      <c r="X1114" t="s">
        <v>42</v>
      </c>
      <c r="Y1114" t="s">
        <v>63</v>
      </c>
      <c r="Z1114">
        <v>5</v>
      </c>
      <c r="AA1114">
        <v>943.93</v>
      </c>
      <c r="AB1114">
        <v>57</v>
      </c>
    </row>
    <row r="1115" spans="1:28" x14ac:dyDescent="0.2">
      <c r="A1115">
        <v>1628</v>
      </c>
      <c r="B1115" s="1">
        <v>43449</v>
      </c>
      <c r="C1115" t="s">
        <v>131</v>
      </c>
      <c r="D1115" t="s">
        <v>29</v>
      </c>
      <c r="E1115" t="s">
        <v>30</v>
      </c>
      <c r="F1115" t="s">
        <v>46</v>
      </c>
      <c r="G1115" t="s">
        <v>45</v>
      </c>
      <c r="H1115" t="s">
        <v>33</v>
      </c>
      <c r="I1115" t="s">
        <v>95</v>
      </c>
      <c r="J1115" t="s">
        <v>102</v>
      </c>
      <c r="K1115" s="2">
        <v>27131</v>
      </c>
      <c r="L1115" t="s">
        <v>36</v>
      </c>
      <c r="M1115" t="s">
        <v>37</v>
      </c>
      <c r="N1115" t="s">
        <v>84</v>
      </c>
      <c r="O1115" t="s">
        <v>61</v>
      </c>
      <c r="P1115" t="s">
        <v>98</v>
      </c>
      <c r="Q1115">
        <v>3</v>
      </c>
      <c r="R1115" s="2">
        <v>45028</v>
      </c>
      <c r="S1115">
        <v>4</v>
      </c>
      <c r="T1115">
        <v>4</v>
      </c>
      <c r="U1115">
        <v>2</v>
      </c>
      <c r="V1115" s="1">
        <v>45066</v>
      </c>
      <c r="W1115" t="s">
        <v>50</v>
      </c>
      <c r="X1115" t="s">
        <v>42</v>
      </c>
      <c r="Y1115" t="s">
        <v>63</v>
      </c>
      <c r="Z1115">
        <v>1</v>
      </c>
      <c r="AA1115">
        <v>781.52</v>
      </c>
      <c r="AB1115">
        <v>44</v>
      </c>
    </row>
    <row r="1116" spans="1:28" x14ac:dyDescent="0.2">
      <c r="A1116">
        <v>1629</v>
      </c>
      <c r="B1116" s="1">
        <v>43775</v>
      </c>
      <c r="C1116" t="s">
        <v>139</v>
      </c>
      <c r="D1116" t="s">
        <v>54</v>
      </c>
      <c r="E1116" t="s">
        <v>108</v>
      </c>
      <c r="F1116" t="s">
        <v>46</v>
      </c>
      <c r="G1116" t="s">
        <v>56</v>
      </c>
      <c r="H1116" t="s">
        <v>55</v>
      </c>
      <c r="I1116" t="s">
        <v>95</v>
      </c>
      <c r="J1116" t="s">
        <v>70</v>
      </c>
      <c r="K1116" s="2">
        <v>16806</v>
      </c>
      <c r="L1116" t="s">
        <v>36</v>
      </c>
      <c r="M1116" t="s">
        <v>37</v>
      </c>
      <c r="N1116" t="s">
        <v>49</v>
      </c>
      <c r="O1116" t="s">
        <v>67</v>
      </c>
      <c r="P1116" t="s">
        <v>40</v>
      </c>
      <c r="Q1116">
        <v>3</v>
      </c>
      <c r="R1116" s="2">
        <v>44827</v>
      </c>
      <c r="S1116">
        <v>1</v>
      </c>
      <c r="T1116">
        <v>2</v>
      </c>
      <c r="U1116">
        <v>4</v>
      </c>
      <c r="V1116" s="1">
        <v>45125</v>
      </c>
      <c r="W1116" t="s">
        <v>41</v>
      </c>
      <c r="X1116" t="s">
        <v>42</v>
      </c>
      <c r="Y1116" t="s">
        <v>43</v>
      </c>
      <c r="Z1116">
        <v>2</v>
      </c>
      <c r="AA1116">
        <v>615.28</v>
      </c>
      <c r="AB1116">
        <v>73</v>
      </c>
    </row>
    <row r="1117" spans="1:28" x14ac:dyDescent="0.2">
      <c r="A1117">
        <v>1630</v>
      </c>
      <c r="B1117" s="1">
        <v>44311</v>
      </c>
      <c r="C1117" t="s">
        <v>139</v>
      </c>
      <c r="D1117" t="s">
        <v>69</v>
      </c>
      <c r="E1117" t="s">
        <v>108</v>
      </c>
      <c r="F1117" t="s">
        <v>31</v>
      </c>
      <c r="G1117" t="s">
        <v>32</v>
      </c>
      <c r="H1117" t="s">
        <v>33</v>
      </c>
      <c r="I1117" t="s">
        <v>95</v>
      </c>
      <c r="J1117" t="s">
        <v>65</v>
      </c>
      <c r="K1117" s="2">
        <v>16107</v>
      </c>
      <c r="L1117" t="s">
        <v>36</v>
      </c>
      <c r="M1117" t="s">
        <v>37</v>
      </c>
      <c r="N1117" t="s">
        <v>60</v>
      </c>
      <c r="O1117" t="s">
        <v>61</v>
      </c>
      <c r="P1117" t="s">
        <v>40</v>
      </c>
      <c r="Q1117">
        <v>3</v>
      </c>
      <c r="R1117" s="2">
        <v>44982</v>
      </c>
      <c r="S1117">
        <v>4</v>
      </c>
      <c r="T1117">
        <v>3</v>
      </c>
      <c r="U1117">
        <v>2</v>
      </c>
      <c r="V1117" s="1">
        <v>45011</v>
      </c>
      <c r="W1117" t="s">
        <v>50</v>
      </c>
      <c r="X1117" t="s">
        <v>51</v>
      </c>
      <c r="Y1117" t="s">
        <v>52</v>
      </c>
      <c r="Z1117">
        <v>4</v>
      </c>
      <c r="AA1117">
        <v>779.26</v>
      </c>
      <c r="AB1117">
        <v>77</v>
      </c>
    </row>
    <row r="1118" spans="1:28" x14ac:dyDescent="0.2">
      <c r="A1118">
        <v>1631</v>
      </c>
      <c r="B1118" s="1">
        <v>45094</v>
      </c>
      <c r="C1118" t="s">
        <v>139</v>
      </c>
      <c r="D1118" t="s">
        <v>29</v>
      </c>
      <c r="E1118" t="s">
        <v>108</v>
      </c>
      <c r="F1118" t="s">
        <v>55</v>
      </c>
      <c r="G1118" t="s">
        <v>32</v>
      </c>
      <c r="H1118" t="s">
        <v>55</v>
      </c>
      <c r="I1118" t="s">
        <v>95</v>
      </c>
      <c r="J1118" t="s">
        <v>82</v>
      </c>
      <c r="K1118" s="2">
        <v>31709</v>
      </c>
      <c r="L1118" t="s">
        <v>36</v>
      </c>
      <c r="M1118" t="s">
        <v>37</v>
      </c>
      <c r="N1118" t="s">
        <v>38</v>
      </c>
      <c r="O1118" t="s">
        <v>39</v>
      </c>
      <c r="P1118" t="s">
        <v>40</v>
      </c>
      <c r="Q1118">
        <v>3</v>
      </c>
      <c r="R1118" s="2">
        <v>45101</v>
      </c>
      <c r="S1118">
        <v>2</v>
      </c>
      <c r="T1118">
        <v>4</v>
      </c>
      <c r="U1118">
        <v>1</v>
      </c>
      <c r="V1118" s="1">
        <v>44940</v>
      </c>
      <c r="W1118" t="s">
        <v>50</v>
      </c>
      <c r="X1118" t="s">
        <v>51</v>
      </c>
      <c r="Y1118" t="s">
        <v>52</v>
      </c>
      <c r="Z1118">
        <v>1</v>
      </c>
      <c r="AA1118">
        <v>464.49</v>
      </c>
      <c r="AB1118">
        <v>37</v>
      </c>
    </row>
    <row r="1119" spans="1:28" x14ac:dyDescent="0.2">
      <c r="A1119">
        <v>1632</v>
      </c>
      <c r="B1119" s="1">
        <v>44575</v>
      </c>
      <c r="C1119" t="s">
        <v>139</v>
      </c>
      <c r="D1119" t="s">
        <v>85</v>
      </c>
      <c r="E1119" t="s">
        <v>30</v>
      </c>
      <c r="F1119" t="s">
        <v>55</v>
      </c>
      <c r="G1119" t="s">
        <v>32</v>
      </c>
      <c r="H1119" t="s">
        <v>55</v>
      </c>
      <c r="I1119" t="s">
        <v>95</v>
      </c>
      <c r="J1119" t="s">
        <v>70</v>
      </c>
      <c r="K1119" s="2">
        <v>25786</v>
      </c>
      <c r="L1119" t="s">
        <v>36</v>
      </c>
      <c r="M1119" t="s">
        <v>37</v>
      </c>
      <c r="N1119" t="s">
        <v>72</v>
      </c>
      <c r="O1119" t="s">
        <v>39</v>
      </c>
      <c r="P1119" t="s">
        <v>40</v>
      </c>
      <c r="Q1119">
        <v>3</v>
      </c>
      <c r="R1119" s="2">
        <v>44997</v>
      </c>
      <c r="S1119">
        <v>5</v>
      </c>
      <c r="T1119">
        <v>4</v>
      </c>
      <c r="U1119">
        <v>4</v>
      </c>
      <c r="V1119" s="1">
        <v>45011</v>
      </c>
      <c r="W1119" t="s">
        <v>41</v>
      </c>
      <c r="X1119" t="s">
        <v>51</v>
      </c>
      <c r="Y1119" t="s">
        <v>63</v>
      </c>
      <c r="Z1119">
        <v>4</v>
      </c>
      <c r="AA1119">
        <v>196.31</v>
      </c>
      <c r="AB1119">
        <v>52</v>
      </c>
    </row>
    <row r="1120" spans="1:28" x14ac:dyDescent="0.2">
      <c r="A1120">
        <v>1633</v>
      </c>
      <c r="B1120" s="1">
        <v>43395</v>
      </c>
      <c r="C1120" t="s">
        <v>53</v>
      </c>
      <c r="D1120" t="s">
        <v>44</v>
      </c>
      <c r="E1120" t="s">
        <v>30</v>
      </c>
      <c r="F1120" t="s">
        <v>31</v>
      </c>
      <c r="G1120" t="s">
        <v>56</v>
      </c>
      <c r="H1120" t="s">
        <v>33</v>
      </c>
      <c r="I1120" t="s">
        <v>95</v>
      </c>
      <c r="J1120" t="s">
        <v>70</v>
      </c>
      <c r="K1120" s="2">
        <v>34459</v>
      </c>
      <c r="L1120" t="s">
        <v>36</v>
      </c>
      <c r="M1120" t="s">
        <v>37</v>
      </c>
      <c r="N1120" t="s">
        <v>72</v>
      </c>
      <c r="O1120" t="s">
        <v>39</v>
      </c>
      <c r="P1120" t="s">
        <v>40</v>
      </c>
      <c r="Q1120">
        <v>3</v>
      </c>
      <c r="R1120" s="2">
        <v>44904</v>
      </c>
      <c r="S1120">
        <v>4</v>
      </c>
      <c r="T1120">
        <v>3</v>
      </c>
      <c r="U1120">
        <v>2</v>
      </c>
      <c r="V1120" s="1">
        <v>44843</v>
      </c>
      <c r="W1120" t="s">
        <v>62</v>
      </c>
      <c r="X1120" t="s">
        <v>51</v>
      </c>
      <c r="Y1120" t="s">
        <v>73</v>
      </c>
      <c r="Z1120">
        <v>3</v>
      </c>
      <c r="AA1120">
        <v>300.12</v>
      </c>
      <c r="AB1120">
        <v>24</v>
      </c>
    </row>
    <row r="1121" spans="1:28" x14ac:dyDescent="0.2">
      <c r="A1121">
        <v>1634</v>
      </c>
      <c r="B1121" s="1">
        <v>44486</v>
      </c>
      <c r="C1121" t="s">
        <v>53</v>
      </c>
      <c r="D1121" t="s">
        <v>87</v>
      </c>
      <c r="E1121" t="s">
        <v>30</v>
      </c>
      <c r="F1121" t="s">
        <v>31</v>
      </c>
      <c r="G1121" t="s">
        <v>32</v>
      </c>
      <c r="H1121" t="s">
        <v>46</v>
      </c>
      <c r="I1121" t="s">
        <v>95</v>
      </c>
      <c r="J1121" t="s">
        <v>35</v>
      </c>
      <c r="K1121" s="2">
        <v>27232</v>
      </c>
      <c r="L1121" t="s">
        <v>36</v>
      </c>
      <c r="M1121" t="s">
        <v>48</v>
      </c>
      <c r="N1121" t="s">
        <v>72</v>
      </c>
      <c r="O1121" t="s">
        <v>77</v>
      </c>
      <c r="P1121" t="s">
        <v>40</v>
      </c>
      <c r="Q1121">
        <v>3</v>
      </c>
      <c r="R1121" s="2">
        <v>44939</v>
      </c>
      <c r="S1121">
        <v>2</v>
      </c>
      <c r="T1121">
        <v>3</v>
      </c>
      <c r="U1121">
        <v>1</v>
      </c>
      <c r="V1121" s="1">
        <v>45011</v>
      </c>
      <c r="W1121" t="s">
        <v>92</v>
      </c>
      <c r="X1121" t="s">
        <v>51</v>
      </c>
      <c r="Y1121" t="s">
        <v>43</v>
      </c>
      <c r="Z1121">
        <v>3</v>
      </c>
      <c r="AA1121">
        <v>895.42</v>
      </c>
      <c r="AB1121">
        <v>47</v>
      </c>
    </row>
    <row r="1122" spans="1:28" x14ac:dyDescent="0.2">
      <c r="A1122">
        <v>1635</v>
      </c>
      <c r="B1122" s="1">
        <v>44488</v>
      </c>
      <c r="C1122" t="s">
        <v>53</v>
      </c>
      <c r="D1122" t="s">
        <v>64</v>
      </c>
      <c r="E1122" t="s">
        <v>30</v>
      </c>
      <c r="F1122" t="s">
        <v>55</v>
      </c>
      <c r="G1122" t="s">
        <v>32</v>
      </c>
      <c r="H1122" t="s">
        <v>46</v>
      </c>
      <c r="I1122" t="s">
        <v>95</v>
      </c>
      <c r="J1122" t="s">
        <v>135</v>
      </c>
      <c r="K1122" s="2">
        <v>32412</v>
      </c>
      <c r="L1122" t="s">
        <v>36</v>
      </c>
      <c r="M1122" t="s">
        <v>48</v>
      </c>
      <c r="N1122" t="s">
        <v>49</v>
      </c>
      <c r="O1122" t="s">
        <v>61</v>
      </c>
      <c r="P1122" t="s">
        <v>40</v>
      </c>
      <c r="Q1122">
        <v>3</v>
      </c>
      <c r="R1122" s="2">
        <v>44914</v>
      </c>
      <c r="S1122">
        <v>4</v>
      </c>
      <c r="T1122">
        <v>4</v>
      </c>
      <c r="U1122">
        <v>2</v>
      </c>
      <c r="V1122" s="1">
        <v>45061</v>
      </c>
      <c r="W1122" t="s">
        <v>41</v>
      </c>
      <c r="X1122" t="s">
        <v>51</v>
      </c>
      <c r="Y1122" t="s">
        <v>63</v>
      </c>
      <c r="Z1122">
        <v>3</v>
      </c>
      <c r="AA1122">
        <v>619.86</v>
      </c>
      <c r="AB1122">
        <v>33</v>
      </c>
    </row>
    <row r="1123" spans="1:28" x14ac:dyDescent="0.2">
      <c r="A1123">
        <v>1636</v>
      </c>
      <c r="B1123" s="1">
        <v>43389</v>
      </c>
      <c r="C1123" t="s">
        <v>140</v>
      </c>
      <c r="D1123" t="s">
        <v>85</v>
      </c>
      <c r="E1123" t="s">
        <v>30</v>
      </c>
      <c r="F1123" t="s">
        <v>31</v>
      </c>
      <c r="G1123" t="s">
        <v>56</v>
      </c>
      <c r="H1123" t="s">
        <v>46</v>
      </c>
      <c r="I1123" t="s">
        <v>132</v>
      </c>
      <c r="J1123" t="s">
        <v>47</v>
      </c>
      <c r="K1123" s="2">
        <v>36106</v>
      </c>
      <c r="L1123" t="s">
        <v>36</v>
      </c>
      <c r="M1123" t="s">
        <v>48</v>
      </c>
      <c r="N1123" t="s">
        <v>38</v>
      </c>
      <c r="O1123" t="s">
        <v>61</v>
      </c>
      <c r="P1123" t="s">
        <v>40</v>
      </c>
      <c r="Q1123">
        <v>3</v>
      </c>
      <c r="R1123" s="2">
        <v>44848</v>
      </c>
      <c r="S1123">
        <v>4</v>
      </c>
      <c r="T1123">
        <v>5</v>
      </c>
      <c r="U1123">
        <v>2</v>
      </c>
      <c r="V1123" s="1">
        <v>44804</v>
      </c>
      <c r="W1123" t="s">
        <v>68</v>
      </c>
      <c r="X1123" t="s">
        <v>51</v>
      </c>
      <c r="Y1123" t="s">
        <v>63</v>
      </c>
      <c r="Z1123">
        <v>1</v>
      </c>
      <c r="AA1123">
        <v>943.84</v>
      </c>
      <c r="AB1123">
        <v>20</v>
      </c>
    </row>
    <row r="1124" spans="1:28" x14ac:dyDescent="0.2">
      <c r="A1124">
        <v>1637</v>
      </c>
      <c r="B1124" s="1">
        <v>43947</v>
      </c>
      <c r="C1124" t="s">
        <v>140</v>
      </c>
      <c r="D1124" t="s">
        <v>44</v>
      </c>
      <c r="E1124" t="s">
        <v>30</v>
      </c>
      <c r="F1124" t="s">
        <v>55</v>
      </c>
      <c r="G1124" t="s">
        <v>32</v>
      </c>
      <c r="H1124" t="s">
        <v>46</v>
      </c>
      <c r="I1124" t="s">
        <v>132</v>
      </c>
      <c r="J1124" t="s">
        <v>65</v>
      </c>
      <c r="K1124" s="2">
        <v>31430</v>
      </c>
      <c r="L1124" t="s">
        <v>36</v>
      </c>
      <c r="M1124" t="s">
        <v>48</v>
      </c>
      <c r="N1124" t="s">
        <v>72</v>
      </c>
      <c r="O1124" t="s">
        <v>77</v>
      </c>
      <c r="P1124" t="s">
        <v>40</v>
      </c>
      <c r="Q1124">
        <v>3</v>
      </c>
      <c r="R1124" s="2">
        <v>44854</v>
      </c>
      <c r="S1124">
        <v>4</v>
      </c>
      <c r="T1124">
        <v>1</v>
      </c>
      <c r="U1124">
        <v>2</v>
      </c>
      <c r="V1124" s="1">
        <v>44838</v>
      </c>
      <c r="W1124" t="s">
        <v>50</v>
      </c>
      <c r="X1124" t="s">
        <v>51</v>
      </c>
      <c r="Y1124" t="s">
        <v>43</v>
      </c>
      <c r="Z1124">
        <v>5</v>
      </c>
      <c r="AA1124">
        <v>556.33000000000004</v>
      </c>
      <c r="AB1124">
        <v>34</v>
      </c>
    </row>
    <row r="1125" spans="1:28" x14ac:dyDescent="0.2">
      <c r="A1125">
        <v>1638</v>
      </c>
      <c r="B1125" s="1">
        <v>43852</v>
      </c>
      <c r="C1125" t="s">
        <v>140</v>
      </c>
      <c r="D1125" t="s">
        <v>87</v>
      </c>
      <c r="E1125" t="s">
        <v>30</v>
      </c>
      <c r="F1125" t="s">
        <v>55</v>
      </c>
      <c r="G1125" t="s">
        <v>56</v>
      </c>
      <c r="H1125" t="s">
        <v>55</v>
      </c>
      <c r="I1125" t="s">
        <v>57</v>
      </c>
      <c r="J1125" t="s">
        <v>35</v>
      </c>
      <c r="K1125" s="2">
        <v>34535</v>
      </c>
      <c r="L1125" t="s">
        <v>36</v>
      </c>
      <c r="M1125" t="s">
        <v>48</v>
      </c>
      <c r="N1125" t="s">
        <v>84</v>
      </c>
      <c r="O1125" t="s">
        <v>77</v>
      </c>
      <c r="P1125" t="s">
        <v>40</v>
      </c>
      <c r="Q1125">
        <v>3</v>
      </c>
      <c r="R1125" s="2">
        <v>45054</v>
      </c>
      <c r="S1125">
        <v>2</v>
      </c>
      <c r="T1125">
        <v>4</v>
      </c>
      <c r="U1125">
        <v>5</v>
      </c>
      <c r="V1125" s="1">
        <v>44922</v>
      </c>
      <c r="W1125" t="s">
        <v>50</v>
      </c>
      <c r="X1125" t="s">
        <v>51</v>
      </c>
      <c r="Y1125" t="s">
        <v>63</v>
      </c>
      <c r="Z1125">
        <v>4</v>
      </c>
      <c r="AA1125">
        <v>274.97000000000003</v>
      </c>
      <c r="AB1125">
        <v>26</v>
      </c>
    </row>
    <row r="1126" spans="1:28" x14ac:dyDescent="0.2">
      <c r="A1126">
        <v>1639</v>
      </c>
      <c r="B1126" s="1">
        <v>44650</v>
      </c>
      <c r="C1126" t="s">
        <v>125</v>
      </c>
      <c r="D1126" t="s">
        <v>44</v>
      </c>
      <c r="E1126" t="s">
        <v>108</v>
      </c>
      <c r="F1126" t="s">
        <v>55</v>
      </c>
      <c r="G1126" t="s">
        <v>45</v>
      </c>
      <c r="H1126" t="s">
        <v>55</v>
      </c>
      <c r="I1126" t="s">
        <v>95</v>
      </c>
      <c r="J1126" t="s">
        <v>70</v>
      </c>
      <c r="K1126" s="2">
        <v>21195</v>
      </c>
      <c r="L1126" t="s">
        <v>36</v>
      </c>
      <c r="M1126" t="s">
        <v>48</v>
      </c>
      <c r="N1126" t="s">
        <v>72</v>
      </c>
      <c r="O1126" t="s">
        <v>67</v>
      </c>
      <c r="P1126" t="s">
        <v>40</v>
      </c>
      <c r="Q1126">
        <v>3</v>
      </c>
      <c r="R1126" s="2">
        <v>44846</v>
      </c>
      <c r="S1126">
        <v>1</v>
      </c>
      <c r="T1126">
        <v>2</v>
      </c>
      <c r="U1126">
        <v>1</v>
      </c>
      <c r="V1126" s="1">
        <v>44947</v>
      </c>
      <c r="W1126" t="s">
        <v>92</v>
      </c>
      <c r="X1126" t="s">
        <v>42</v>
      </c>
      <c r="Y1126" t="s">
        <v>63</v>
      </c>
      <c r="Z1126">
        <v>5</v>
      </c>
      <c r="AA1126">
        <v>359.87</v>
      </c>
      <c r="AB1126">
        <v>64</v>
      </c>
    </row>
    <row r="1127" spans="1:28" x14ac:dyDescent="0.2">
      <c r="A1127">
        <v>1640</v>
      </c>
      <c r="B1127" s="1">
        <v>44345</v>
      </c>
      <c r="C1127" t="s">
        <v>139</v>
      </c>
      <c r="D1127" t="s">
        <v>87</v>
      </c>
      <c r="E1127" t="s">
        <v>108</v>
      </c>
      <c r="F1127" t="s">
        <v>31</v>
      </c>
      <c r="G1127" t="s">
        <v>45</v>
      </c>
      <c r="H1127" t="s">
        <v>55</v>
      </c>
      <c r="I1127" t="s">
        <v>95</v>
      </c>
      <c r="J1127" t="s">
        <v>79</v>
      </c>
      <c r="K1127" s="2">
        <v>22523</v>
      </c>
      <c r="L1127" t="s">
        <v>36</v>
      </c>
      <c r="M1127" t="s">
        <v>37</v>
      </c>
      <c r="N1127" t="s">
        <v>49</v>
      </c>
      <c r="O1127" t="s">
        <v>77</v>
      </c>
      <c r="P1127" t="s">
        <v>40</v>
      </c>
      <c r="Q1127">
        <v>3</v>
      </c>
      <c r="R1127" s="2">
        <v>44914</v>
      </c>
      <c r="S1127">
        <v>2</v>
      </c>
      <c r="T1127">
        <v>4</v>
      </c>
      <c r="U1127">
        <v>1</v>
      </c>
      <c r="V1127" s="1">
        <v>44958</v>
      </c>
      <c r="W1127" t="s">
        <v>92</v>
      </c>
      <c r="X1127" t="s">
        <v>42</v>
      </c>
      <c r="Y1127" t="s">
        <v>63</v>
      </c>
      <c r="Z1127">
        <v>1</v>
      </c>
      <c r="AA1127">
        <v>881.51</v>
      </c>
      <c r="AB1127">
        <v>60</v>
      </c>
    </row>
    <row r="1128" spans="1:28" x14ac:dyDescent="0.2">
      <c r="A1128">
        <v>1641</v>
      </c>
      <c r="B1128" s="1">
        <v>44994</v>
      </c>
      <c r="C1128" t="s">
        <v>139</v>
      </c>
      <c r="D1128" t="s">
        <v>81</v>
      </c>
      <c r="E1128" t="s">
        <v>108</v>
      </c>
      <c r="F1128" t="s">
        <v>46</v>
      </c>
      <c r="G1128" t="s">
        <v>32</v>
      </c>
      <c r="H1128" t="s">
        <v>33</v>
      </c>
      <c r="I1128" t="s">
        <v>95</v>
      </c>
      <c r="J1128" t="s">
        <v>70</v>
      </c>
      <c r="K1128" s="2">
        <v>32787</v>
      </c>
      <c r="L1128" t="s">
        <v>36</v>
      </c>
      <c r="M1128" t="s">
        <v>37</v>
      </c>
      <c r="N1128" t="s">
        <v>60</v>
      </c>
      <c r="O1128" t="s">
        <v>67</v>
      </c>
      <c r="P1128" t="s">
        <v>40</v>
      </c>
      <c r="Q1128">
        <v>3</v>
      </c>
      <c r="R1128" s="2">
        <v>45003</v>
      </c>
      <c r="S1128">
        <v>5</v>
      </c>
      <c r="T1128">
        <v>4</v>
      </c>
      <c r="U1128">
        <v>4</v>
      </c>
      <c r="V1128" s="1">
        <v>44917</v>
      </c>
      <c r="W1128" t="s">
        <v>62</v>
      </c>
      <c r="X1128" t="s">
        <v>51</v>
      </c>
      <c r="Y1128" t="s">
        <v>73</v>
      </c>
      <c r="Z1128">
        <v>5</v>
      </c>
      <c r="AA1128">
        <v>879.86</v>
      </c>
      <c r="AB1128">
        <v>34</v>
      </c>
    </row>
    <row r="1129" spans="1:28" x14ac:dyDescent="0.2">
      <c r="A1129">
        <v>1642</v>
      </c>
      <c r="B1129" s="1">
        <v>43791</v>
      </c>
      <c r="C1129" t="s">
        <v>139</v>
      </c>
      <c r="D1129" t="s">
        <v>54</v>
      </c>
      <c r="E1129" t="s">
        <v>108</v>
      </c>
      <c r="F1129" t="s">
        <v>31</v>
      </c>
      <c r="G1129" t="s">
        <v>45</v>
      </c>
      <c r="H1129" t="s">
        <v>46</v>
      </c>
      <c r="I1129" t="s">
        <v>95</v>
      </c>
      <c r="J1129" t="s">
        <v>101</v>
      </c>
      <c r="K1129" s="2">
        <v>17068</v>
      </c>
      <c r="L1129" t="s">
        <v>36</v>
      </c>
      <c r="M1129" t="s">
        <v>37</v>
      </c>
      <c r="N1129" t="s">
        <v>72</v>
      </c>
      <c r="O1129" t="s">
        <v>61</v>
      </c>
      <c r="P1129" t="s">
        <v>40</v>
      </c>
      <c r="Q1129">
        <v>3</v>
      </c>
      <c r="R1129" s="2">
        <v>45030</v>
      </c>
      <c r="S1129">
        <v>3</v>
      </c>
      <c r="T1129">
        <v>2</v>
      </c>
      <c r="U1129">
        <v>2</v>
      </c>
      <c r="V1129" s="1">
        <v>45125</v>
      </c>
      <c r="W1129" t="s">
        <v>50</v>
      </c>
      <c r="X1129" t="s">
        <v>51</v>
      </c>
      <c r="Y1129" t="s">
        <v>73</v>
      </c>
      <c r="Z1129">
        <v>3</v>
      </c>
      <c r="AA1129">
        <v>226.92</v>
      </c>
      <c r="AB1129">
        <v>73</v>
      </c>
    </row>
    <row r="1130" spans="1:28" x14ac:dyDescent="0.2">
      <c r="A1130">
        <v>1643</v>
      </c>
      <c r="B1130" s="1">
        <v>43562</v>
      </c>
      <c r="C1130" t="s">
        <v>53</v>
      </c>
      <c r="D1130" t="s">
        <v>85</v>
      </c>
      <c r="E1130" t="s">
        <v>30</v>
      </c>
      <c r="F1130" t="s">
        <v>55</v>
      </c>
      <c r="G1130" t="s">
        <v>45</v>
      </c>
      <c r="H1130" t="s">
        <v>55</v>
      </c>
      <c r="I1130" t="s">
        <v>95</v>
      </c>
      <c r="J1130" t="s">
        <v>47</v>
      </c>
      <c r="K1130" s="2">
        <v>29725</v>
      </c>
      <c r="L1130" t="s">
        <v>36</v>
      </c>
      <c r="M1130" t="s">
        <v>48</v>
      </c>
      <c r="N1130" t="s">
        <v>60</v>
      </c>
      <c r="O1130" t="s">
        <v>39</v>
      </c>
      <c r="P1130" t="s">
        <v>40</v>
      </c>
      <c r="Q1130">
        <v>3</v>
      </c>
      <c r="R1130" s="2">
        <v>44796</v>
      </c>
      <c r="S1130">
        <v>5</v>
      </c>
      <c r="T1130">
        <v>3</v>
      </c>
      <c r="U1130">
        <v>4</v>
      </c>
      <c r="V1130" s="1">
        <v>45120</v>
      </c>
      <c r="W1130" t="s">
        <v>68</v>
      </c>
      <c r="X1130" t="s">
        <v>51</v>
      </c>
      <c r="Y1130" t="s">
        <v>63</v>
      </c>
      <c r="Z1130">
        <v>3</v>
      </c>
      <c r="AA1130">
        <v>674.14</v>
      </c>
      <c r="AB1130">
        <v>38</v>
      </c>
    </row>
    <row r="1131" spans="1:28" x14ac:dyDescent="0.2">
      <c r="A1131">
        <v>1644</v>
      </c>
      <c r="B1131" s="1">
        <v>45008</v>
      </c>
      <c r="C1131" t="s">
        <v>53</v>
      </c>
      <c r="D1131" t="s">
        <v>64</v>
      </c>
      <c r="E1131" t="s">
        <v>30</v>
      </c>
      <c r="F1131" t="s">
        <v>31</v>
      </c>
      <c r="G1131" t="s">
        <v>32</v>
      </c>
      <c r="H1131" t="s">
        <v>33</v>
      </c>
      <c r="I1131" t="s">
        <v>95</v>
      </c>
      <c r="J1131" t="s">
        <v>47</v>
      </c>
      <c r="K1131" s="2">
        <v>36804</v>
      </c>
      <c r="L1131" t="s">
        <v>36</v>
      </c>
      <c r="M1131" t="s">
        <v>48</v>
      </c>
      <c r="N1131" t="s">
        <v>60</v>
      </c>
      <c r="O1131" t="s">
        <v>39</v>
      </c>
      <c r="P1131" t="s">
        <v>40</v>
      </c>
      <c r="Q1131">
        <v>3</v>
      </c>
      <c r="R1131" s="2">
        <v>45017</v>
      </c>
      <c r="S1131">
        <v>3</v>
      </c>
      <c r="T1131">
        <v>1</v>
      </c>
      <c r="U1131">
        <v>1</v>
      </c>
      <c r="V1131" s="1">
        <v>44908</v>
      </c>
      <c r="W1131" t="s">
        <v>50</v>
      </c>
      <c r="X1131" t="s">
        <v>51</v>
      </c>
      <c r="Y1131" t="s">
        <v>43</v>
      </c>
      <c r="Z1131">
        <v>4</v>
      </c>
      <c r="AA1131">
        <v>383.95</v>
      </c>
      <c r="AB1131">
        <v>23</v>
      </c>
    </row>
    <row r="1132" spans="1:28" x14ac:dyDescent="0.2">
      <c r="A1132">
        <v>1645</v>
      </c>
      <c r="B1132" s="1">
        <v>44245</v>
      </c>
      <c r="C1132" t="s">
        <v>53</v>
      </c>
      <c r="D1132" t="s">
        <v>74</v>
      </c>
      <c r="E1132" t="s">
        <v>30</v>
      </c>
      <c r="F1132" t="s">
        <v>46</v>
      </c>
      <c r="G1132" t="s">
        <v>45</v>
      </c>
      <c r="H1132" t="s">
        <v>33</v>
      </c>
      <c r="I1132" t="s">
        <v>95</v>
      </c>
      <c r="J1132" t="s">
        <v>97</v>
      </c>
      <c r="K1132" s="2">
        <v>27747</v>
      </c>
      <c r="L1132" t="s">
        <v>36</v>
      </c>
      <c r="M1132" t="s">
        <v>48</v>
      </c>
      <c r="N1132" t="s">
        <v>49</v>
      </c>
      <c r="O1132" t="s">
        <v>39</v>
      </c>
      <c r="P1132" t="s">
        <v>40</v>
      </c>
      <c r="Q1132">
        <v>3</v>
      </c>
      <c r="R1132" s="2">
        <v>44830</v>
      </c>
      <c r="S1132">
        <v>5</v>
      </c>
      <c r="T1132">
        <v>5</v>
      </c>
      <c r="U1132">
        <v>5</v>
      </c>
      <c r="V1132" s="1">
        <v>44785</v>
      </c>
      <c r="W1132" t="s">
        <v>68</v>
      </c>
      <c r="X1132" t="s">
        <v>51</v>
      </c>
      <c r="Y1132" t="s">
        <v>63</v>
      </c>
      <c r="Z1132">
        <v>1</v>
      </c>
      <c r="AA1132">
        <v>122.81</v>
      </c>
      <c r="AB1132">
        <v>46</v>
      </c>
    </row>
    <row r="1133" spans="1:28" x14ac:dyDescent="0.2">
      <c r="A1133">
        <v>1646</v>
      </c>
      <c r="B1133" s="1">
        <v>43560</v>
      </c>
      <c r="C1133" t="s">
        <v>140</v>
      </c>
      <c r="D1133" t="s">
        <v>85</v>
      </c>
      <c r="E1133" t="s">
        <v>30</v>
      </c>
      <c r="F1133" t="s">
        <v>31</v>
      </c>
      <c r="G1133" t="s">
        <v>32</v>
      </c>
      <c r="H1133" t="s">
        <v>55</v>
      </c>
      <c r="I1133" t="s">
        <v>132</v>
      </c>
      <c r="J1133" t="s">
        <v>58</v>
      </c>
      <c r="K1133" s="2">
        <v>31945</v>
      </c>
      <c r="L1133" t="s">
        <v>36</v>
      </c>
      <c r="M1133" t="s">
        <v>48</v>
      </c>
      <c r="N1133" t="s">
        <v>72</v>
      </c>
      <c r="O1133" t="s">
        <v>77</v>
      </c>
      <c r="P1133" t="s">
        <v>40</v>
      </c>
      <c r="Q1133">
        <v>3</v>
      </c>
      <c r="R1133" s="2">
        <v>44946</v>
      </c>
      <c r="S1133">
        <v>2</v>
      </c>
      <c r="T1133">
        <v>2</v>
      </c>
      <c r="U1133">
        <v>1</v>
      </c>
      <c r="V1133" s="1">
        <v>44780</v>
      </c>
      <c r="W1133" t="s">
        <v>50</v>
      </c>
      <c r="X1133" t="s">
        <v>42</v>
      </c>
      <c r="Y1133" t="s">
        <v>63</v>
      </c>
      <c r="Z1133">
        <v>5</v>
      </c>
      <c r="AA1133">
        <v>380.22</v>
      </c>
      <c r="AB1133">
        <v>32</v>
      </c>
    </row>
    <row r="1134" spans="1:28" x14ac:dyDescent="0.2">
      <c r="A1134">
        <v>1647</v>
      </c>
      <c r="B1134" s="1">
        <v>43761</v>
      </c>
      <c r="C1134" t="s">
        <v>140</v>
      </c>
      <c r="D1134" t="s">
        <v>44</v>
      </c>
      <c r="E1134" t="s">
        <v>30</v>
      </c>
      <c r="F1134" t="s">
        <v>31</v>
      </c>
      <c r="G1134" t="s">
        <v>56</v>
      </c>
      <c r="H1134" t="s">
        <v>46</v>
      </c>
      <c r="I1134" t="s">
        <v>95</v>
      </c>
      <c r="J1134" t="s">
        <v>102</v>
      </c>
      <c r="K1134" s="2">
        <v>31446</v>
      </c>
      <c r="L1134" t="s">
        <v>36</v>
      </c>
      <c r="M1134" t="s">
        <v>48</v>
      </c>
      <c r="N1134" t="s">
        <v>72</v>
      </c>
      <c r="O1134" t="s">
        <v>39</v>
      </c>
      <c r="P1134" t="s">
        <v>40</v>
      </c>
      <c r="Q1134">
        <v>3</v>
      </c>
      <c r="R1134" s="2">
        <v>44973</v>
      </c>
      <c r="S1134">
        <v>4</v>
      </c>
      <c r="T1134">
        <v>2</v>
      </c>
      <c r="U1134">
        <v>5</v>
      </c>
      <c r="V1134" s="1">
        <v>44819</v>
      </c>
      <c r="W1134" t="s">
        <v>92</v>
      </c>
      <c r="X1134" t="s">
        <v>51</v>
      </c>
      <c r="Y1134" t="s">
        <v>73</v>
      </c>
      <c r="Z1134">
        <v>5</v>
      </c>
      <c r="AA1134">
        <v>719.1</v>
      </c>
      <c r="AB1134">
        <v>33</v>
      </c>
    </row>
    <row r="1135" spans="1:28" x14ac:dyDescent="0.2">
      <c r="A1135">
        <v>1648</v>
      </c>
      <c r="B1135" s="1">
        <v>44330</v>
      </c>
      <c r="C1135" t="s">
        <v>140</v>
      </c>
      <c r="D1135" t="s">
        <v>87</v>
      </c>
      <c r="E1135" t="s">
        <v>30</v>
      </c>
      <c r="F1135" t="s">
        <v>46</v>
      </c>
      <c r="G1135" t="s">
        <v>32</v>
      </c>
      <c r="H1135" t="s">
        <v>46</v>
      </c>
      <c r="I1135" t="s">
        <v>57</v>
      </c>
      <c r="J1135" t="s">
        <v>47</v>
      </c>
      <c r="K1135" s="2">
        <v>28356</v>
      </c>
      <c r="L1135" t="s">
        <v>36</v>
      </c>
      <c r="M1135" t="s">
        <v>48</v>
      </c>
      <c r="N1135" t="s">
        <v>38</v>
      </c>
      <c r="O1135" t="s">
        <v>61</v>
      </c>
      <c r="P1135" t="s">
        <v>40</v>
      </c>
      <c r="Q1135">
        <v>3</v>
      </c>
      <c r="R1135" s="2">
        <v>44911</v>
      </c>
      <c r="S1135">
        <v>4</v>
      </c>
      <c r="T1135">
        <v>4</v>
      </c>
      <c r="U1135">
        <v>5</v>
      </c>
      <c r="V1135" s="1">
        <v>44937</v>
      </c>
      <c r="W1135" t="s">
        <v>62</v>
      </c>
      <c r="X1135" t="s">
        <v>51</v>
      </c>
      <c r="Y1135" t="s">
        <v>73</v>
      </c>
      <c r="Z1135">
        <v>1</v>
      </c>
      <c r="AA1135">
        <v>699.81</v>
      </c>
      <c r="AB1135">
        <v>44</v>
      </c>
    </row>
    <row r="1136" spans="1:28" x14ac:dyDescent="0.2">
      <c r="A1136">
        <v>1649</v>
      </c>
      <c r="B1136" s="1">
        <v>43543</v>
      </c>
      <c r="C1136" t="s">
        <v>124</v>
      </c>
      <c r="D1136" t="s">
        <v>74</v>
      </c>
      <c r="E1136" t="s">
        <v>30</v>
      </c>
      <c r="F1136" t="s">
        <v>55</v>
      </c>
      <c r="G1136" t="s">
        <v>45</v>
      </c>
      <c r="H1136" t="s">
        <v>46</v>
      </c>
      <c r="I1136" t="s">
        <v>95</v>
      </c>
      <c r="J1136" t="s">
        <v>101</v>
      </c>
      <c r="K1136" s="2">
        <v>23446</v>
      </c>
      <c r="L1136" t="s">
        <v>83</v>
      </c>
      <c r="M1136" t="s">
        <v>48</v>
      </c>
      <c r="N1136" t="s">
        <v>38</v>
      </c>
      <c r="O1136" t="s">
        <v>61</v>
      </c>
      <c r="P1136" t="s">
        <v>40</v>
      </c>
      <c r="Q1136">
        <v>3</v>
      </c>
      <c r="R1136" s="2">
        <v>45135</v>
      </c>
      <c r="S1136">
        <v>3</v>
      </c>
      <c r="T1136">
        <v>1</v>
      </c>
      <c r="U1136">
        <v>2</v>
      </c>
      <c r="V1136" s="1">
        <v>44889</v>
      </c>
      <c r="W1136" t="s">
        <v>41</v>
      </c>
      <c r="X1136" t="s">
        <v>42</v>
      </c>
      <c r="Y1136" t="s">
        <v>73</v>
      </c>
      <c r="Z1136">
        <v>5</v>
      </c>
      <c r="AA1136">
        <v>452.38</v>
      </c>
      <c r="AB1136">
        <v>55</v>
      </c>
    </row>
    <row r="1137" spans="1:28" x14ac:dyDescent="0.2">
      <c r="A1137">
        <v>1650</v>
      </c>
      <c r="B1137" s="1">
        <v>43593</v>
      </c>
      <c r="C1137" t="s">
        <v>125</v>
      </c>
      <c r="D1137" t="s">
        <v>81</v>
      </c>
      <c r="E1137" t="s">
        <v>108</v>
      </c>
      <c r="F1137" t="s">
        <v>46</v>
      </c>
      <c r="G1137" t="s">
        <v>32</v>
      </c>
      <c r="H1137" t="s">
        <v>33</v>
      </c>
      <c r="I1137" t="s">
        <v>95</v>
      </c>
      <c r="J1137" t="s">
        <v>79</v>
      </c>
      <c r="K1137" s="2">
        <v>16860</v>
      </c>
      <c r="L1137" t="s">
        <v>36</v>
      </c>
      <c r="M1137" t="s">
        <v>48</v>
      </c>
      <c r="N1137" t="s">
        <v>84</v>
      </c>
      <c r="O1137" t="s">
        <v>39</v>
      </c>
      <c r="P1137" t="s">
        <v>40</v>
      </c>
      <c r="Q1137">
        <v>3</v>
      </c>
      <c r="R1137" s="2">
        <v>45014</v>
      </c>
      <c r="S1137">
        <v>5</v>
      </c>
      <c r="T1137">
        <v>1</v>
      </c>
      <c r="U1137">
        <v>3</v>
      </c>
      <c r="V1137" s="1">
        <v>44842</v>
      </c>
      <c r="W1137" t="s">
        <v>41</v>
      </c>
      <c r="X1137" t="s">
        <v>42</v>
      </c>
      <c r="Y1137" t="s">
        <v>63</v>
      </c>
      <c r="Z1137">
        <v>3</v>
      </c>
      <c r="AA1137">
        <v>727.36</v>
      </c>
      <c r="AB1137">
        <v>73</v>
      </c>
    </row>
    <row r="1138" spans="1:28" x14ac:dyDescent="0.2">
      <c r="A1138">
        <v>1651</v>
      </c>
      <c r="B1138" s="1">
        <v>43743</v>
      </c>
      <c r="C1138" t="s">
        <v>139</v>
      </c>
      <c r="D1138" t="s">
        <v>54</v>
      </c>
      <c r="E1138" t="s">
        <v>108</v>
      </c>
      <c r="F1138" t="s">
        <v>46</v>
      </c>
      <c r="G1138" t="s">
        <v>45</v>
      </c>
      <c r="H1138" t="s">
        <v>33</v>
      </c>
      <c r="I1138" t="s">
        <v>95</v>
      </c>
      <c r="J1138" t="s">
        <v>47</v>
      </c>
      <c r="K1138" s="2">
        <v>33992</v>
      </c>
      <c r="L1138" t="s">
        <v>36</v>
      </c>
      <c r="M1138" t="s">
        <v>37</v>
      </c>
      <c r="N1138" t="s">
        <v>72</v>
      </c>
      <c r="O1138" t="s">
        <v>39</v>
      </c>
      <c r="P1138" t="s">
        <v>40</v>
      </c>
      <c r="Q1138">
        <v>3</v>
      </c>
      <c r="R1138" s="2">
        <v>44866</v>
      </c>
      <c r="S1138">
        <v>4</v>
      </c>
      <c r="T1138">
        <v>4</v>
      </c>
      <c r="U1138">
        <v>4</v>
      </c>
      <c r="V1138" s="1">
        <v>44915</v>
      </c>
      <c r="W1138" t="s">
        <v>50</v>
      </c>
      <c r="X1138" t="s">
        <v>42</v>
      </c>
      <c r="Y1138" t="s">
        <v>73</v>
      </c>
      <c r="Z1138">
        <v>5</v>
      </c>
      <c r="AA1138">
        <v>595.83000000000004</v>
      </c>
      <c r="AB1138">
        <v>26</v>
      </c>
    </row>
    <row r="1139" spans="1:28" x14ac:dyDescent="0.2">
      <c r="A1139">
        <v>1652</v>
      </c>
      <c r="B1139" s="1">
        <v>44529</v>
      </c>
      <c r="C1139" t="s">
        <v>139</v>
      </c>
      <c r="D1139" t="s">
        <v>69</v>
      </c>
      <c r="E1139" t="s">
        <v>108</v>
      </c>
      <c r="F1139" t="s">
        <v>55</v>
      </c>
      <c r="G1139" t="s">
        <v>32</v>
      </c>
      <c r="H1139" t="s">
        <v>55</v>
      </c>
      <c r="I1139" t="s">
        <v>95</v>
      </c>
      <c r="J1139" t="s">
        <v>70</v>
      </c>
      <c r="K1139" s="2">
        <v>31199</v>
      </c>
      <c r="L1139" t="s">
        <v>36</v>
      </c>
      <c r="M1139" t="s">
        <v>37</v>
      </c>
      <c r="N1139" t="s">
        <v>38</v>
      </c>
      <c r="O1139" t="s">
        <v>61</v>
      </c>
      <c r="P1139" t="s">
        <v>40</v>
      </c>
      <c r="Q1139">
        <v>3</v>
      </c>
      <c r="R1139" s="2">
        <v>45086</v>
      </c>
      <c r="S1139">
        <v>1</v>
      </c>
      <c r="T1139">
        <v>4</v>
      </c>
      <c r="U1139">
        <v>4</v>
      </c>
      <c r="V1139" s="1">
        <v>44904</v>
      </c>
      <c r="W1139" t="s">
        <v>41</v>
      </c>
      <c r="X1139" t="s">
        <v>42</v>
      </c>
      <c r="Y1139" t="s">
        <v>63</v>
      </c>
      <c r="Z1139">
        <v>4</v>
      </c>
      <c r="AA1139">
        <v>740.51</v>
      </c>
      <c r="AB1139">
        <v>36</v>
      </c>
    </row>
    <row r="1140" spans="1:28" x14ac:dyDescent="0.2">
      <c r="A1140">
        <v>1653</v>
      </c>
      <c r="B1140" s="1">
        <v>43410</v>
      </c>
      <c r="C1140" t="s">
        <v>53</v>
      </c>
      <c r="D1140" t="s">
        <v>44</v>
      </c>
      <c r="E1140" t="s">
        <v>30</v>
      </c>
      <c r="F1140" t="s">
        <v>46</v>
      </c>
      <c r="G1140" t="s">
        <v>56</v>
      </c>
      <c r="H1140" t="s">
        <v>33</v>
      </c>
      <c r="I1140" t="s">
        <v>95</v>
      </c>
      <c r="J1140" t="s">
        <v>70</v>
      </c>
      <c r="K1140" s="2">
        <v>20827</v>
      </c>
      <c r="L1140" t="s">
        <v>36</v>
      </c>
      <c r="M1140" t="s">
        <v>48</v>
      </c>
      <c r="N1140" t="s">
        <v>49</v>
      </c>
      <c r="O1140" t="s">
        <v>67</v>
      </c>
      <c r="P1140" t="s">
        <v>40</v>
      </c>
      <c r="Q1140">
        <v>3</v>
      </c>
      <c r="R1140" s="2">
        <v>44897</v>
      </c>
      <c r="S1140">
        <v>2</v>
      </c>
      <c r="T1140">
        <v>4</v>
      </c>
      <c r="U1140">
        <v>5</v>
      </c>
      <c r="V1140" s="1">
        <v>45131</v>
      </c>
      <c r="W1140" t="s">
        <v>68</v>
      </c>
      <c r="X1140" t="s">
        <v>51</v>
      </c>
      <c r="Y1140" t="s">
        <v>52</v>
      </c>
      <c r="Z1140">
        <v>1</v>
      </c>
      <c r="AA1140">
        <v>886.01</v>
      </c>
      <c r="AB1140">
        <v>61</v>
      </c>
    </row>
    <row r="1141" spans="1:28" x14ac:dyDescent="0.2">
      <c r="A1141">
        <v>1654</v>
      </c>
      <c r="B1141" s="1">
        <v>44404</v>
      </c>
      <c r="C1141" t="s">
        <v>53</v>
      </c>
      <c r="D1141" t="s">
        <v>87</v>
      </c>
      <c r="E1141" t="s">
        <v>30</v>
      </c>
      <c r="F1141" t="s">
        <v>55</v>
      </c>
      <c r="G1141" t="s">
        <v>56</v>
      </c>
      <c r="H1141" t="s">
        <v>33</v>
      </c>
      <c r="I1141" t="s">
        <v>95</v>
      </c>
      <c r="J1141" t="s">
        <v>79</v>
      </c>
      <c r="K1141" s="2">
        <v>36513</v>
      </c>
      <c r="L1141" t="s">
        <v>36</v>
      </c>
      <c r="M1141" t="s">
        <v>48</v>
      </c>
      <c r="N1141" t="s">
        <v>72</v>
      </c>
      <c r="O1141" t="s">
        <v>77</v>
      </c>
      <c r="P1141" t="s">
        <v>40</v>
      </c>
      <c r="Q1141">
        <v>3</v>
      </c>
      <c r="R1141" s="2">
        <v>45088</v>
      </c>
      <c r="S1141">
        <v>2</v>
      </c>
      <c r="T1141">
        <v>3</v>
      </c>
      <c r="U1141">
        <v>3</v>
      </c>
      <c r="V1141" s="1">
        <v>45047</v>
      </c>
      <c r="W1141" t="s">
        <v>68</v>
      </c>
      <c r="X1141" t="s">
        <v>51</v>
      </c>
      <c r="Y1141" t="s">
        <v>43</v>
      </c>
      <c r="Z1141">
        <v>2</v>
      </c>
      <c r="AA1141">
        <v>641.09</v>
      </c>
      <c r="AB1141">
        <v>22</v>
      </c>
    </row>
    <row r="1142" spans="1:28" x14ac:dyDescent="0.2">
      <c r="A1142">
        <v>1655</v>
      </c>
      <c r="B1142" s="1">
        <v>45125</v>
      </c>
      <c r="C1142" t="s">
        <v>53</v>
      </c>
      <c r="D1142" t="s">
        <v>64</v>
      </c>
      <c r="E1142" t="s">
        <v>30</v>
      </c>
      <c r="F1142" t="s">
        <v>46</v>
      </c>
      <c r="G1142" t="s">
        <v>45</v>
      </c>
      <c r="H1142" t="s">
        <v>33</v>
      </c>
      <c r="I1142" t="s">
        <v>95</v>
      </c>
      <c r="J1142" t="s">
        <v>101</v>
      </c>
      <c r="K1142" s="2">
        <v>15585</v>
      </c>
      <c r="L1142" t="s">
        <v>36</v>
      </c>
      <c r="M1142" t="s">
        <v>48</v>
      </c>
      <c r="N1142" t="s">
        <v>72</v>
      </c>
      <c r="O1142" t="s">
        <v>67</v>
      </c>
      <c r="P1142" t="s">
        <v>40</v>
      </c>
      <c r="Q1142">
        <v>3</v>
      </c>
      <c r="R1142" s="2">
        <v>44829</v>
      </c>
      <c r="S1142">
        <v>3</v>
      </c>
      <c r="T1142">
        <v>1</v>
      </c>
      <c r="U1142">
        <v>2</v>
      </c>
      <c r="V1142" s="1">
        <v>45092</v>
      </c>
      <c r="W1142" t="s">
        <v>92</v>
      </c>
      <c r="X1142" t="s">
        <v>42</v>
      </c>
      <c r="Y1142" t="s">
        <v>63</v>
      </c>
      <c r="Z1142">
        <v>5</v>
      </c>
      <c r="AA1142">
        <v>780.94</v>
      </c>
      <c r="AB1142">
        <v>81</v>
      </c>
    </row>
    <row r="1143" spans="1:28" x14ac:dyDescent="0.2">
      <c r="A1143">
        <v>1656</v>
      </c>
      <c r="B1143" s="1">
        <v>44808</v>
      </c>
      <c r="C1143" t="s">
        <v>131</v>
      </c>
      <c r="D1143" t="s">
        <v>29</v>
      </c>
      <c r="E1143" t="s">
        <v>30</v>
      </c>
      <c r="F1143" t="s">
        <v>46</v>
      </c>
      <c r="G1143" t="s">
        <v>32</v>
      </c>
      <c r="H1143" t="s">
        <v>33</v>
      </c>
      <c r="I1143" t="s">
        <v>132</v>
      </c>
      <c r="J1143" t="s">
        <v>70</v>
      </c>
      <c r="K1143" s="2">
        <v>31187</v>
      </c>
      <c r="L1143" t="s">
        <v>36</v>
      </c>
      <c r="M1143" t="s">
        <v>48</v>
      </c>
      <c r="N1143" t="s">
        <v>72</v>
      </c>
      <c r="O1143" t="s">
        <v>61</v>
      </c>
      <c r="P1143" t="s">
        <v>40</v>
      </c>
      <c r="Q1143">
        <v>3</v>
      </c>
      <c r="R1143" s="2">
        <v>44834</v>
      </c>
      <c r="S1143">
        <v>1</v>
      </c>
      <c r="T1143">
        <v>4</v>
      </c>
      <c r="U1143">
        <v>5</v>
      </c>
      <c r="V1143" s="1">
        <v>45004</v>
      </c>
      <c r="W1143" t="s">
        <v>41</v>
      </c>
      <c r="X1143" t="s">
        <v>42</v>
      </c>
      <c r="Y1143" t="s">
        <v>63</v>
      </c>
      <c r="Z1143">
        <v>3</v>
      </c>
      <c r="AA1143">
        <v>132.75</v>
      </c>
      <c r="AB1143">
        <v>37</v>
      </c>
    </row>
    <row r="1144" spans="1:28" x14ac:dyDescent="0.2">
      <c r="A1144">
        <v>1657</v>
      </c>
      <c r="B1144" s="1">
        <v>43609</v>
      </c>
      <c r="C1144" t="s">
        <v>140</v>
      </c>
      <c r="D1144" t="s">
        <v>85</v>
      </c>
      <c r="E1144" t="s">
        <v>30</v>
      </c>
      <c r="F1144" t="s">
        <v>31</v>
      </c>
      <c r="G1144" t="s">
        <v>56</v>
      </c>
      <c r="H1144" t="s">
        <v>46</v>
      </c>
      <c r="I1144" t="s">
        <v>95</v>
      </c>
      <c r="J1144" t="s">
        <v>79</v>
      </c>
      <c r="K1144" s="2">
        <v>25445</v>
      </c>
      <c r="L1144" t="s">
        <v>36</v>
      </c>
      <c r="M1144" t="s">
        <v>48</v>
      </c>
      <c r="N1144" t="s">
        <v>60</v>
      </c>
      <c r="O1144" t="s">
        <v>67</v>
      </c>
      <c r="P1144" t="s">
        <v>40</v>
      </c>
      <c r="Q1144">
        <v>3</v>
      </c>
      <c r="R1144" s="2">
        <v>45136</v>
      </c>
      <c r="S1144">
        <v>1</v>
      </c>
      <c r="T1144">
        <v>5</v>
      </c>
      <c r="U1144">
        <v>1</v>
      </c>
      <c r="V1144" s="1">
        <v>44835</v>
      </c>
      <c r="W1144" t="s">
        <v>68</v>
      </c>
      <c r="X1144" t="s">
        <v>42</v>
      </c>
      <c r="Y1144" t="s">
        <v>73</v>
      </c>
      <c r="Z1144">
        <v>1</v>
      </c>
      <c r="AA1144">
        <v>838.52</v>
      </c>
      <c r="AB1144">
        <v>50</v>
      </c>
    </row>
    <row r="1145" spans="1:28" x14ac:dyDescent="0.2">
      <c r="A1145">
        <v>1658</v>
      </c>
      <c r="B1145" s="1">
        <v>43772</v>
      </c>
      <c r="C1145" t="s">
        <v>140</v>
      </c>
      <c r="D1145" t="s">
        <v>44</v>
      </c>
      <c r="E1145" t="s">
        <v>30</v>
      </c>
      <c r="F1145" t="s">
        <v>31</v>
      </c>
      <c r="G1145" t="s">
        <v>56</v>
      </c>
      <c r="H1145" t="s">
        <v>46</v>
      </c>
      <c r="I1145" t="s">
        <v>95</v>
      </c>
      <c r="J1145" t="s">
        <v>70</v>
      </c>
      <c r="K1145" s="2">
        <v>27757</v>
      </c>
      <c r="L1145" t="s">
        <v>36</v>
      </c>
      <c r="M1145" t="s">
        <v>48</v>
      </c>
      <c r="N1145" t="s">
        <v>60</v>
      </c>
      <c r="O1145" t="s">
        <v>39</v>
      </c>
      <c r="P1145" t="s">
        <v>40</v>
      </c>
      <c r="Q1145">
        <v>3</v>
      </c>
      <c r="R1145" s="2">
        <v>44780</v>
      </c>
      <c r="S1145">
        <v>2</v>
      </c>
      <c r="T1145">
        <v>1</v>
      </c>
      <c r="U1145">
        <v>2</v>
      </c>
      <c r="V1145" s="1">
        <v>45083</v>
      </c>
      <c r="W1145" t="s">
        <v>62</v>
      </c>
      <c r="X1145" t="s">
        <v>51</v>
      </c>
      <c r="Y1145" t="s">
        <v>43</v>
      </c>
      <c r="Z1145">
        <v>4</v>
      </c>
      <c r="AA1145">
        <v>474.23</v>
      </c>
      <c r="AB1145">
        <v>44</v>
      </c>
    </row>
    <row r="1146" spans="1:28" x14ac:dyDescent="0.2">
      <c r="A1146">
        <v>1659</v>
      </c>
      <c r="B1146" s="1">
        <v>43795</v>
      </c>
      <c r="C1146" t="s">
        <v>140</v>
      </c>
      <c r="D1146" t="s">
        <v>87</v>
      </c>
      <c r="E1146" t="s">
        <v>30</v>
      </c>
      <c r="F1146" t="s">
        <v>55</v>
      </c>
      <c r="G1146" t="s">
        <v>32</v>
      </c>
      <c r="H1146" t="s">
        <v>46</v>
      </c>
      <c r="I1146" t="s">
        <v>57</v>
      </c>
      <c r="J1146" t="s">
        <v>70</v>
      </c>
      <c r="K1146" s="2">
        <v>28306</v>
      </c>
      <c r="L1146" t="s">
        <v>36</v>
      </c>
      <c r="M1146" t="s">
        <v>37</v>
      </c>
      <c r="N1146" t="s">
        <v>38</v>
      </c>
      <c r="O1146" t="s">
        <v>61</v>
      </c>
      <c r="P1146" t="s">
        <v>40</v>
      </c>
      <c r="Q1146">
        <v>3</v>
      </c>
      <c r="R1146" s="2">
        <v>45118</v>
      </c>
      <c r="S1146">
        <v>4</v>
      </c>
      <c r="T1146">
        <v>5</v>
      </c>
      <c r="U1146">
        <v>5</v>
      </c>
      <c r="V1146" s="1">
        <v>45069</v>
      </c>
      <c r="W1146" t="s">
        <v>41</v>
      </c>
      <c r="X1146" t="s">
        <v>42</v>
      </c>
      <c r="Y1146" t="s">
        <v>52</v>
      </c>
      <c r="Z1146">
        <v>1</v>
      </c>
      <c r="AA1146">
        <v>579.05999999999995</v>
      </c>
      <c r="AB1146">
        <v>42</v>
      </c>
    </row>
    <row r="1147" spans="1:28" x14ac:dyDescent="0.2">
      <c r="A1147">
        <v>1660</v>
      </c>
      <c r="B1147" s="1">
        <v>44782</v>
      </c>
      <c r="C1147" t="s">
        <v>124</v>
      </c>
      <c r="D1147" t="s">
        <v>74</v>
      </c>
      <c r="E1147" t="s">
        <v>108</v>
      </c>
      <c r="F1147" t="s">
        <v>31</v>
      </c>
      <c r="G1147" t="s">
        <v>56</v>
      </c>
      <c r="H1147" t="s">
        <v>55</v>
      </c>
      <c r="I1147" t="s">
        <v>95</v>
      </c>
      <c r="J1147" t="s">
        <v>65</v>
      </c>
      <c r="K1147" s="2">
        <v>26116</v>
      </c>
      <c r="L1147" t="s">
        <v>36</v>
      </c>
      <c r="M1147" t="s">
        <v>48</v>
      </c>
      <c r="N1147" t="s">
        <v>60</v>
      </c>
      <c r="O1147" t="s">
        <v>39</v>
      </c>
      <c r="P1147" t="s">
        <v>40</v>
      </c>
      <c r="Q1147">
        <v>3</v>
      </c>
      <c r="R1147" s="2">
        <v>45094</v>
      </c>
      <c r="S1147">
        <v>5</v>
      </c>
      <c r="T1147">
        <v>5</v>
      </c>
      <c r="U1147">
        <v>1</v>
      </c>
      <c r="V1147" s="1">
        <v>45132</v>
      </c>
      <c r="W1147" t="s">
        <v>92</v>
      </c>
      <c r="X1147" t="s">
        <v>42</v>
      </c>
      <c r="Y1147" t="s">
        <v>43</v>
      </c>
      <c r="Z1147">
        <v>5</v>
      </c>
      <c r="AA1147">
        <v>698.82</v>
      </c>
      <c r="AB1147">
        <v>51</v>
      </c>
    </row>
    <row r="1148" spans="1:28" x14ac:dyDescent="0.2">
      <c r="A1148">
        <v>1661</v>
      </c>
      <c r="B1148" s="1">
        <v>43543</v>
      </c>
      <c r="C1148" t="s">
        <v>125</v>
      </c>
      <c r="D1148" t="s">
        <v>81</v>
      </c>
      <c r="E1148" t="s">
        <v>30</v>
      </c>
      <c r="F1148" t="s">
        <v>31</v>
      </c>
      <c r="G1148" t="s">
        <v>32</v>
      </c>
      <c r="H1148" t="s">
        <v>55</v>
      </c>
      <c r="I1148" t="s">
        <v>95</v>
      </c>
      <c r="J1148" t="s">
        <v>35</v>
      </c>
      <c r="K1148" s="2">
        <v>30087</v>
      </c>
      <c r="L1148" t="s">
        <v>36</v>
      </c>
      <c r="M1148" t="s">
        <v>48</v>
      </c>
      <c r="N1148" t="s">
        <v>49</v>
      </c>
      <c r="O1148" t="s">
        <v>77</v>
      </c>
      <c r="P1148" t="s">
        <v>40</v>
      </c>
      <c r="Q1148">
        <v>3</v>
      </c>
      <c r="R1148" s="2">
        <v>44982</v>
      </c>
      <c r="S1148">
        <v>5</v>
      </c>
      <c r="T1148">
        <v>4</v>
      </c>
      <c r="U1148">
        <v>4</v>
      </c>
      <c r="V1148" s="1">
        <v>45127</v>
      </c>
      <c r="W1148" t="s">
        <v>68</v>
      </c>
      <c r="X1148" t="s">
        <v>42</v>
      </c>
      <c r="Y1148" t="s">
        <v>43</v>
      </c>
      <c r="Z1148">
        <v>5</v>
      </c>
      <c r="AA1148">
        <v>633.36</v>
      </c>
      <c r="AB1148">
        <v>37</v>
      </c>
    </row>
    <row r="1149" spans="1:28" x14ac:dyDescent="0.2">
      <c r="A1149">
        <v>1662</v>
      </c>
      <c r="B1149" s="1">
        <v>43429</v>
      </c>
      <c r="C1149" t="s">
        <v>139</v>
      </c>
      <c r="D1149" t="s">
        <v>54</v>
      </c>
      <c r="E1149" t="s">
        <v>30</v>
      </c>
      <c r="F1149" t="s">
        <v>31</v>
      </c>
      <c r="G1149" t="s">
        <v>32</v>
      </c>
      <c r="H1149" t="s">
        <v>55</v>
      </c>
      <c r="I1149" t="s">
        <v>95</v>
      </c>
      <c r="J1149" t="s">
        <v>79</v>
      </c>
      <c r="K1149" s="2">
        <v>23319</v>
      </c>
      <c r="L1149" t="s">
        <v>36</v>
      </c>
      <c r="M1149" t="s">
        <v>37</v>
      </c>
      <c r="N1149" t="s">
        <v>49</v>
      </c>
      <c r="O1149" t="s">
        <v>67</v>
      </c>
      <c r="P1149" t="s">
        <v>40</v>
      </c>
      <c r="Q1149">
        <v>3</v>
      </c>
      <c r="R1149" s="2">
        <v>45063</v>
      </c>
      <c r="S1149">
        <v>2</v>
      </c>
      <c r="T1149">
        <v>4</v>
      </c>
      <c r="U1149">
        <v>5</v>
      </c>
      <c r="V1149" s="1">
        <v>44975</v>
      </c>
      <c r="W1149" t="s">
        <v>68</v>
      </c>
      <c r="X1149" t="s">
        <v>42</v>
      </c>
      <c r="Y1149" t="s">
        <v>43</v>
      </c>
      <c r="Z1149">
        <v>3</v>
      </c>
      <c r="AA1149">
        <v>241.19</v>
      </c>
      <c r="AB1149">
        <v>55</v>
      </c>
    </row>
    <row r="1150" spans="1:28" x14ac:dyDescent="0.2">
      <c r="A1150">
        <v>1663</v>
      </c>
      <c r="B1150" s="1">
        <v>44661</v>
      </c>
      <c r="C1150" t="s">
        <v>139</v>
      </c>
      <c r="D1150" t="s">
        <v>69</v>
      </c>
      <c r="E1150" t="s">
        <v>108</v>
      </c>
      <c r="F1150" t="s">
        <v>55</v>
      </c>
      <c r="G1150" t="s">
        <v>32</v>
      </c>
      <c r="H1150" t="s">
        <v>55</v>
      </c>
      <c r="I1150" t="s">
        <v>95</v>
      </c>
      <c r="J1150" t="s">
        <v>47</v>
      </c>
      <c r="K1150" s="2">
        <v>22311</v>
      </c>
      <c r="L1150" t="s">
        <v>36</v>
      </c>
      <c r="M1150" t="s">
        <v>37</v>
      </c>
      <c r="N1150" t="s">
        <v>84</v>
      </c>
      <c r="O1150" t="s">
        <v>39</v>
      </c>
      <c r="P1150" t="s">
        <v>40</v>
      </c>
      <c r="Q1150">
        <v>3</v>
      </c>
      <c r="R1150" s="2">
        <v>44995</v>
      </c>
      <c r="S1150">
        <v>4</v>
      </c>
      <c r="T1150">
        <v>2</v>
      </c>
      <c r="U1150">
        <v>4</v>
      </c>
      <c r="V1150" s="1">
        <v>45120</v>
      </c>
      <c r="W1150" t="s">
        <v>92</v>
      </c>
      <c r="X1150" t="s">
        <v>51</v>
      </c>
      <c r="Y1150" t="s">
        <v>73</v>
      </c>
      <c r="Z1150">
        <v>5</v>
      </c>
      <c r="AA1150">
        <v>271.37</v>
      </c>
      <c r="AB1150">
        <v>61</v>
      </c>
    </row>
    <row r="1151" spans="1:28" x14ac:dyDescent="0.2">
      <c r="A1151">
        <v>1664</v>
      </c>
      <c r="B1151" s="1">
        <v>44288</v>
      </c>
      <c r="C1151" t="s">
        <v>53</v>
      </c>
      <c r="D1151" t="s">
        <v>44</v>
      </c>
      <c r="E1151" t="s">
        <v>30</v>
      </c>
      <c r="F1151" t="s">
        <v>55</v>
      </c>
      <c r="G1151" t="s">
        <v>32</v>
      </c>
      <c r="H1151" t="s">
        <v>55</v>
      </c>
      <c r="I1151" t="s">
        <v>95</v>
      </c>
      <c r="J1151" t="s">
        <v>89</v>
      </c>
      <c r="K1151" s="2">
        <v>33491</v>
      </c>
      <c r="L1151" t="s">
        <v>36</v>
      </c>
      <c r="M1151" t="s">
        <v>48</v>
      </c>
      <c r="N1151" t="s">
        <v>38</v>
      </c>
      <c r="O1151" t="s">
        <v>61</v>
      </c>
      <c r="P1151" t="s">
        <v>40</v>
      </c>
      <c r="Q1151">
        <v>3</v>
      </c>
      <c r="R1151" s="2">
        <v>44969</v>
      </c>
      <c r="S1151">
        <v>2</v>
      </c>
      <c r="T1151">
        <v>1</v>
      </c>
      <c r="U1151">
        <v>1</v>
      </c>
      <c r="V1151" s="1">
        <v>45115</v>
      </c>
      <c r="W1151" t="s">
        <v>62</v>
      </c>
      <c r="X1151" t="s">
        <v>42</v>
      </c>
      <c r="Y1151" t="s">
        <v>52</v>
      </c>
      <c r="Z1151">
        <v>1</v>
      </c>
      <c r="AA1151">
        <v>137.87</v>
      </c>
      <c r="AB1151">
        <v>30</v>
      </c>
    </row>
    <row r="1152" spans="1:28" x14ac:dyDescent="0.2">
      <c r="A1152">
        <v>1665</v>
      </c>
      <c r="B1152" s="1">
        <v>43821</v>
      </c>
      <c r="C1152" t="s">
        <v>53</v>
      </c>
      <c r="D1152" t="s">
        <v>87</v>
      </c>
      <c r="E1152" t="s">
        <v>30</v>
      </c>
      <c r="F1152" t="s">
        <v>31</v>
      </c>
      <c r="G1152" t="s">
        <v>45</v>
      </c>
      <c r="H1152" t="s">
        <v>46</v>
      </c>
      <c r="I1152" t="s">
        <v>95</v>
      </c>
      <c r="J1152" t="s">
        <v>96</v>
      </c>
      <c r="K1152" s="2">
        <v>23202</v>
      </c>
      <c r="L1152" t="s">
        <v>36</v>
      </c>
      <c r="M1152" t="s">
        <v>48</v>
      </c>
      <c r="N1152" t="s">
        <v>72</v>
      </c>
      <c r="O1152" t="s">
        <v>39</v>
      </c>
      <c r="P1152" t="s">
        <v>40</v>
      </c>
      <c r="Q1152">
        <v>3</v>
      </c>
      <c r="R1152" s="2">
        <v>44796</v>
      </c>
      <c r="S1152">
        <v>4</v>
      </c>
      <c r="T1152">
        <v>2</v>
      </c>
      <c r="U1152">
        <v>3</v>
      </c>
      <c r="V1152" s="1">
        <v>44880</v>
      </c>
      <c r="W1152" t="s">
        <v>62</v>
      </c>
      <c r="X1152" t="s">
        <v>42</v>
      </c>
      <c r="Y1152" t="s">
        <v>73</v>
      </c>
      <c r="Z1152">
        <v>3</v>
      </c>
      <c r="AA1152">
        <v>999.83</v>
      </c>
      <c r="AB1152">
        <v>56</v>
      </c>
    </row>
    <row r="1153" spans="1:28" x14ac:dyDescent="0.2">
      <c r="A1153">
        <v>1666</v>
      </c>
      <c r="B1153" s="1">
        <v>44422</v>
      </c>
      <c r="C1153" t="s">
        <v>53</v>
      </c>
      <c r="D1153" t="s">
        <v>64</v>
      </c>
      <c r="E1153" t="s">
        <v>30</v>
      </c>
      <c r="F1153" t="s">
        <v>55</v>
      </c>
      <c r="G1153" t="s">
        <v>45</v>
      </c>
      <c r="H1153" t="s">
        <v>46</v>
      </c>
      <c r="I1153" t="s">
        <v>95</v>
      </c>
      <c r="J1153" t="s">
        <v>65</v>
      </c>
      <c r="K1153" s="2">
        <v>28693</v>
      </c>
      <c r="L1153" t="s">
        <v>80</v>
      </c>
      <c r="M1153" t="s">
        <v>48</v>
      </c>
      <c r="N1153" t="s">
        <v>72</v>
      </c>
      <c r="O1153" t="s">
        <v>77</v>
      </c>
      <c r="P1153" t="s">
        <v>40</v>
      </c>
      <c r="Q1153">
        <v>3</v>
      </c>
      <c r="R1153" s="2">
        <v>44785</v>
      </c>
      <c r="S1153">
        <v>3</v>
      </c>
      <c r="T1153">
        <v>3</v>
      </c>
      <c r="U1153">
        <v>4</v>
      </c>
      <c r="V1153" s="1">
        <v>44978</v>
      </c>
      <c r="W1153" t="s">
        <v>68</v>
      </c>
      <c r="X1153" t="s">
        <v>42</v>
      </c>
      <c r="Y1153" t="s">
        <v>43</v>
      </c>
      <c r="Z1153">
        <v>5</v>
      </c>
      <c r="AA1153">
        <v>597.62</v>
      </c>
      <c r="AB1153">
        <v>43</v>
      </c>
    </row>
    <row r="1154" spans="1:28" x14ac:dyDescent="0.2">
      <c r="A1154">
        <v>1667</v>
      </c>
      <c r="B1154" s="1">
        <v>43340</v>
      </c>
      <c r="C1154" t="s">
        <v>131</v>
      </c>
      <c r="D1154" t="s">
        <v>69</v>
      </c>
      <c r="E1154" t="s">
        <v>30</v>
      </c>
      <c r="F1154" t="s">
        <v>55</v>
      </c>
      <c r="G1154" t="s">
        <v>45</v>
      </c>
      <c r="H1154" t="s">
        <v>55</v>
      </c>
      <c r="I1154" t="s">
        <v>132</v>
      </c>
      <c r="J1154" t="s">
        <v>89</v>
      </c>
      <c r="K1154" s="2">
        <v>26377</v>
      </c>
      <c r="L1154" t="s">
        <v>36</v>
      </c>
      <c r="M1154" t="s">
        <v>48</v>
      </c>
      <c r="N1154" t="s">
        <v>72</v>
      </c>
      <c r="O1154" t="s">
        <v>39</v>
      </c>
      <c r="P1154" t="s">
        <v>40</v>
      </c>
      <c r="Q1154">
        <v>3</v>
      </c>
      <c r="R1154" s="2">
        <v>44858</v>
      </c>
      <c r="S1154">
        <v>1</v>
      </c>
      <c r="T1154">
        <v>3</v>
      </c>
      <c r="U1154">
        <v>5</v>
      </c>
      <c r="V1154" s="1">
        <v>44815</v>
      </c>
      <c r="W1154" t="s">
        <v>41</v>
      </c>
      <c r="X1154" t="s">
        <v>51</v>
      </c>
      <c r="Y1154" t="s">
        <v>63</v>
      </c>
      <c r="Z1154">
        <v>1</v>
      </c>
      <c r="AA1154">
        <v>697.89</v>
      </c>
      <c r="AB1154">
        <v>46</v>
      </c>
    </row>
    <row r="1155" spans="1:28" x14ac:dyDescent="0.2">
      <c r="A1155">
        <v>1668</v>
      </c>
      <c r="B1155" s="1">
        <v>45117</v>
      </c>
      <c r="C1155" t="s">
        <v>131</v>
      </c>
      <c r="D1155" t="s">
        <v>29</v>
      </c>
      <c r="E1155" t="s">
        <v>30</v>
      </c>
      <c r="F1155" t="s">
        <v>46</v>
      </c>
      <c r="G1155" t="s">
        <v>32</v>
      </c>
      <c r="H1155" t="s">
        <v>46</v>
      </c>
      <c r="I1155" t="s">
        <v>132</v>
      </c>
      <c r="J1155" t="s">
        <v>47</v>
      </c>
      <c r="K1155" s="2">
        <v>17417</v>
      </c>
      <c r="L1155" t="s">
        <v>36</v>
      </c>
      <c r="M1155" t="s">
        <v>48</v>
      </c>
      <c r="N1155" t="s">
        <v>72</v>
      </c>
      <c r="O1155" t="s">
        <v>61</v>
      </c>
      <c r="P1155" t="s">
        <v>40</v>
      </c>
      <c r="Q1155">
        <v>3</v>
      </c>
      <c r="R1155" s="2">
        <v>44835</v>
      </c>
      <c r="S1155">
        <v>2</v>
      </c>
      <c r="T1155">
        <v>1</v>
      </c>
      <c r="U1155">
        <v>3</v>
      </c>
      <c r="V1155" s="1">
        <v>45100</v>
      </c>
      <c r="W1155" t="s">
        <v>50</v>
      </c>
      <c r="X1155" t="s">
        <v>51</v>
      </c>
      <c r="Y1155" t="s">
        <v>43</v>
      </c>
      <c r="Z1155">
        <v>5</v>
      </c>
      <c r="AA1155">
        <v>673.27</v>
      </c>
      <c r="AB1155">
        <v>76</v>
      </c>
    </row>
    <row r="1156" spans="1:28" x14ac:dyDescent="0.2">
      <c r="A1156">
        <v>1669</v>
      </c>
      <c r="B1156" s="1">
        <v>44092</v>
      </c>
      <c r="C1156" t="s">
        <v>140</v>
      </c>
      <c r="D1156" t="s">
        <v>85</v>
      </c>
      <c r="E1156" t="s">
        <v>30</v>
      </c>
      <c r="F1156" t="s">
        <v>46</v>
      </c>
      <c r="G1156" t="s">
        <v>45</v>
      </c>
      <c r="H1156" t="s">
        <v>33</v>
      </c>
      <c r="I1156" t="s">
        <v>95</v>
      </c>
      <c r="J1156" t="s">
        <v>70</v>
      </c>
      <c r="K1156" s="2">
        <v>22538</v>
      </c>
      <c r="L1156" t="s">
        <v>36</v>
      </c>
      <c r="M1156" t="s">
        <v>48</v>
      </c>
      <c r="N1156" t="s">
        <v>84</v>
      </c>
      <c r="O1156" t="s">
        <v>77</v>
      </c>
      <c r="P1156" t="s">
        <v>40</v>
      </c>
      <c r="Q1156">
        <v>3</v>
      </c>
      <c r="R1156" s="2">
        <v>44817</v>
      </c>
      <c r="S1156">
        <v>3</v>
      </c>
      <c r="T1156">
        <v>1</v>
      </c>
      <c r="U1156">
        <v>2</v>
      </c>
      <c r="V1156" s="1">
        <v>44936</v>
      </c>
      <c r="W1156" t="s">
        <v>62</v>
      </c>
      <c r="X1156" t="s">
        <v>51</v>
      </c>
      <c r="Y1156" t="s">
        <v>73</v>
      </c>
      <c r="Z1156">
        <v>5</v>
      </c>
      <c r="AA1156">
        <v>753.01</v>
      </c>
      <c r="AB1156">
        <v>59</v>
      </c>
    </row>
    <row r="1157" spans="1:28" x14ac:dyDescent="0.2">
      <c r="A1157">
        <v>1670</v>
      </c>
      <c r="B1157" s="1">
        <v>43664</v>
      </c>
      <c r="C1157" t="s">
        <v>140</v>
      </c>
      <c r="D1157" t="s">
        <v>44</v>
      </c>
      <c r="E1157" t="s">
        <v>30</v>
      </c>
      <c r="F1157" t="s">
        <v>31</v>
      </c>
      <c r="G1157" t="s">
        <v>45</v>
      </c>
      <c r="H1157" t="s">
        <v>55</v>
      </c>
      <c r="I1157" t="s">
        <v>95</v>
      </c>
      <c r="J1157" t="s">
        <v>89</v>
      </c>
      <c r="K1157" s="2">
        <v>22226</v>
      </c>
      <c r="L1157" t="s">
        <v>36</v>
      </c>
      <c r="M1157" t="s">
        <v>37</v>
      </c>
      <c r="N1157" t="s">
        <v>60</v>
      </c>
      <c r="O1157" t="s">
        <v>39</v>
      </c>
      <c r="P1157" t="s">
        <v>40</v>
      </c>
      <c r="Q1157">
        <v>3</v>
      </c>
      <c r="R1157" s="2">
        <v>44784</v>
      </c>
      <c r="S1157">
        <v>2</v>
      </c>
      <c r="T1157">
        <v>2</v>
      </c>
      <c r="U1157">
        <v>2</v>
      </c>
      <c r="V1157" s="1">
        <v>44958</v>
      </c>
      <c r="W1157" t="s">
        <v>41</v>
      </c>
      <c r="X1157" t="s">
        <v>42</v>
      </c>
      <c r="Y1157" t="s">
        <v>43</v>
      </c>
      <c r="Z1157">
        <v>5</v>
      </c>
      <c r="AA1157">
        <v>939.02</v>
      </c>
      <c r="AB1157">
        <v>59</v>
      </c>
    </row>
    <row r="1158" spans="1:28" x14ac:dyDescent="0.2">
      <c r="A1158">
        <v>1671</v>
      </c>
      <c r="B1158" s="1">
        <v>44521</v>
      </c>
      <c r="C1158" t="s">
        <v>140</v>
      </c>
      <c r="D1158" t="s">
        <v>87</v>
      </c>
      <c r="E1158" t="s">
        <v>30</v>
      </c>
      <c r="F1158" t="s">
        <v>31</v>
      </c>
      <c r="G1158" t="s">
        <v>45</v>
      </c>
      <c r="H1158" t="s">
        <v>55</v>
      </c>
      <c r="I1158" t="s">
        <v>57</v>
      </c>
      <c r="J1158" t="s">
        <v>96</v>
      </c>
      <c r="K1158" s="2">
        <v>23660</v>
      </c>
      <c r="L1158" t="s">
        <v>36</v>
      </c>
      <c r="M1158" t="s">
        <v>37</v>
      </c>
      <c r="N1158" t="s">
        <v>38</v>
      </c>
      <c r="O1158" t="s">
        <v>67</v>
      </c>
      <c r="P1158" t="s">
        <v>40</v>
      </c>
      <c r="Q1158">
        <v>3</v>
      </c>
      <c r="R1158" s="2">
        <v>45115</v>
      </c>
      <c r="S1158">
        <v>5</v>
      </c>
      <c r="T1158">
        <v>3</v>
      </c>
      <c r="U1158">
        <v>5</v>
      </c>
      <c r="V1158" s="1">
        <v>44880</v>
      </c>
      <c r="W1158" t="s">
        <v>50</v>
      </c>
      <c r="X1158" t="s">
        <v>51</v>
      </c>
      <c r="Y1158" t="s">
        <v>73</v>
      </c>
      <c r="Z1158">
        <v>2</v>
      </c>
      <c r="AA1158">
        <v>680.45</v>
      </c>
      <c r="AB1158">
        <v>57</v>
      </c>
    </row>
    <row r="1159" spans="1:28" x14ac:dyDescent="0.2">
      <c r="A1159">
        <v>1672</v>
      </c>
      <c r="B1159" s="1">
        <v>44263</v>
      </c>
      <c r="C1159" t="s">
        <v>124</v>
      </c>
      <c r="D1159" t="s">
        <v>29</v>
      </c>
      <c r="E1159" t="s">
        <v>30</v>
      </c>
      <c r="F1159" t="s">
        <v>55</v>
      </c>
      <c r="G1159" t="s">
        <v>56</v>
      </c>
      <c r="H1159" t="s">
        <v>46</v>
      </c>
      <c r="I1159" t="s">
        <v>95</v>
      </c>
      <c r="J1159" t="s">
        <v>70</v>
      </c>
      <c r="K1159" s="2">
        <v>17313</v>
      </c>
      <c r="L1159" t="s">
        <v>36</v>
      </c>
      <c r="M1159" t="s">
        <v>48</v>
      </c>
      <c r="N1159" t="s">
        <v>84</v>
      </c>
      <c r="O1159" t="s">
        <v>67</v>
      </c>
      <c r="P1159" t="s">
        <v>40</v>
      </c>
      <c r="Q1159">
        <v>3</v>
      </c>
      <c r="R1159" s="2">
        <v>44842</v>
      </c>
      <c r="S1159">
        <v>1</v>
      </c>
      <c r="T1159">
        <v>3</v>
      </c>
      <c r="U1159">
        <v>4</v>
      </c>
      <c r="V1159" s="1">
        <v>44818</v>
      </c>
      <c r="W1159" t="s">
        <v>68</v>
      </c>
      <c r="X1159" t="s">
        <v>51</v>
      </c>
      <c r="Y1159" t="s">
        <v>63</v>
      </c>
      <c r="Z1159">
        <v>3</v>
      </c>
      <c r="AA1159">
        <v>263.8</v>
      </c>
      <c r="AB1159">
        <v>74</v>
      </c>
    </row>
    <row r="1160" spans="1:28" x14ac:dyDescent="0.2">
      <c r="A1160">
        <v>1673</v>
      </c>
      <c r="B1160" s="1">
        <v>43698</v>
      </c>
      <c r="C1160" t="s">
        <v>125</v>
      </c>
      <c r="D1160" t="s">
        <v>44</v>
      </c>
      <c r="E1160" t="s">
        <v>30</v>
      </c>
      <c r="F1160" t="s">
        <v>46</v>
      </c>
      <c r="G1160" t="s">
        <v>32</v>
      </c>
      <c r="H1160" t="s">
        <v>55</v>
      </c>
      <c r="I1160" t="s">
        <v>95</v>
      </c>
      <c r="J1160" t="s">
        <v>65</v>
      </c>
      <c r="K1160" s="2">
        <v>18574</v>
      </c>
      <c r="L1160" t="s">
        <v>36</v>
      </c>
      <c r="M1160" t="s">
        <v>37</v>
      </c>
      <c r="N1160" t="s">
        <v>60</v>
      </c>
      <c r="O1160" t="s">
        <v>39</v>
      </c>
      <c r="P1160" t="s">
        <v>40</v>
      </c>
      <c r="Q1160">
        <v>3</v>
      </c>
      <c r="R1160" s="2">
        <v>44792</v>
      </c>
      <c r="S1160">
        <v>3</v>
      </c>
      <c r="T1160">
        <v>5</v>
      </c>
      <c r="U1160">
        <v>5</v>
      </c>
      <c r="V1160" s="1">
        <v>44930</v>
      </c>
      <c r="W1160" t="s">
        <v>62</v>
      </c>
      <c r="X1160" t="s">
        <v>51</v>
      </c>
      <c r="Y1160" t="s">
        <v>52</v>
      </c>
      <c r="Z1160">
        <v>2</v>
      </c>
      <c r="AA1160">
        <v>981.06</v>
      </c>
      <c r="AB1160">
        <v>69</v>
      </c>
    </row>
    <row r="1161" spans="1:28" x14ac:dyDescent="0.2">
      <c r="A1161">
        <v>1674</v>
      </c>
      <c r="B1161" s="1">
        <v>44681</v>
      </c>
      <c r="C1161" t="s">
        <v>139</v>
      </c>
      <c r="D1161" t="s">
        <v>87</v>
      </c>
      <c r="E1161" t="s">
        <v>108</v>
      </c>
      <c r="F1161" t="s">
        <v>46</v>
      </c>
      <c r="G1161" t="s">
        <v>56</v>
      </c>
      <c r="H1161" t="s">
        <v>55</v>
      </c>
      <c r="I1161" t="s">
        <v>95</v>
      </c>
      <c r="J1161" t="s">
        <v>101</v>
      </c>
      <c r="K1161" s="2">
        <v>16970</v>
      </c>
      <c r="L1161" t="s">
        <v>36</v>
      </c>
      <c r="M1161" t="s">
        <v>37</v>
      </c>
      <c r="N1161" t="s">
        <v>60</v>
      </c>
      <c r="O1161" t="s">
        <v>67</v>
      </c>
      <c r="P1161" t="s">
        <v>40</v>
      </c>
      <c r="Q1161">
        <v>3</v>
      </c>
      <c r="R1161" s="2">
        <v>44838</v>
      </c>
      <c r="S1161">
        <v>1</v>
      </c>
      <c r="T1161">
        <v>5</v>
      </c>
      <c r="U1161">
        <v>5</v>
      </c>
      <c r="V1161" s="1">
        <v>44887</v>
      </c>
      <c r="W1161" t="s">
        <v>50</v>
      </c>
      <c r="X1161" t="s">
        <v>42</v>
      </c>
      <c r="Y1161" t="s">
        <v>73</v>
      </c>
      <c r="Z1161">
        <v>1</v>
      </c>
      <c r="AA1161">
        <v>293.55</v>
      </c>
      <c r="AB1161">
        <v>76</v>
      </c>
    </row>
    <row r="1162" spans="1:28" x14ac:dyDescent="0.2">
      <c r="A1162">
        <v>1675</v>
      </c>
      <c r="B1162" s="1">
        <v>44960</v>
      </c>
      <c r="C1162" t="s">
        <v>53</v>
      </c>
      <c r="D1162" t="s">
        <v>85</v>
      </c>
      <c r="E1162" t="s">
        <v>30</v>
      </c>
      <c r="F1162" t="s">
        <v>55</v>
      </c>
      <c r="G1162" t="s">
        <v>45</v>
      </c>
      <c r="H1162" t="s">
        <v>46</v>
      </c>
      <c r="I1162" t="s">
        <v>95</v>
      </c>
      <c r="J1162" t="s">
        <v>70</v>
      </c>
      <c r="K1162" s="2">
        <v>21856</v>
      </c>
      <c r="L1162" t="s">
        <v>36</v>
      </c>
      <c r="M1162" t="s">
        <v>48</v>
      </c>
      <c r="N1162" t="s">
        <v>49</v>
      </c>
      <c r="O1162" t="s">
        <v>39</v>
      </c>
      <c r="P1162" t="s">
        <v>40</v>
      </c>
      <c r="Q1162">
        <v>3</v>
      </c>
      <c r="R1162" s="2">
        <v>44951</v>
      </c>
      <c r="S1162">
        <v>4</v>
      </c>
      <c r="T1162">
        <v>1</v>
      </c>
      <c r="U1162">
        <v>4</v>
      </c>
      <c r="V1162" s="1">
        <v>44992</v>
      </c>
      <c r="W1162" t="s">
        <v>68</v>
      </c>
      <c r="X1162" t="s">
        <v>42</v>
      </c>
      <c r="Y1162" t="s">
        <v>43</v>
      </c>
      <c r="Z1162">
        <v>4</v>
      </c>
      <c r="AA1162">
        <v>904.68</v>
      </c>
      <c r="AB1162">
        <v>64</v>
      </c>
    </row>
    <row r="1163" spans="1:28" x14ac:dyDescent="0.2">
      <c r="A1163">
        <v>1676</v>
      </c>
      <c r="B1163" s="1">
        <v>45054</v>
      </c>
      <c r="C1163" t="s">
        <v>53</v>
      </c>
      <c r="D1163" t="s">
        <v>64</v>
      </c>
      <c r="E1163" t="s">
        <v>30</v>
      </c>
      <c r="F1163" t="s">
        <v>46</v>
      </c>
      <c r="G1163" t="s">
        <v>56</v>
      </c>
      <c r="H1163" t="s">
        <v>55</v>
      </c>
      <c r="I1163" t="s">
        <v>95</v>
      </c>
      <c r="J1163" t="s">
        <v>102</v>
      </c>
      <c r="K1163" s="2">
        <v>23235</v>
      </c>
      <c r="L1163" t="s">
        <v>36</v>
      </c>
      <c r="M1163" t="s">
        <v>48</v>
      </c>
      <c r="N1163" t="s">
        <v>60</v>
      </c>
      <c r="O1163" t="s">
        <v>39</v>
      </c>
      <c r="P1163" t="s">
        <v>40</v>
      </c>
      <c r="Q1163">
        <v>3</v>
      </c>
      <c r="R1163" s="2">
        <v>45012</v>
      </c>
      <c r="S1163">
        <v>2</v>
      </c>
      <c r="T1163">
        <v>5</v>
      </c>
      <c r="U1163">
        <v>1</v>
      </c>
      <c r="V1163" s="1">
        <v>44902</v>
      </c>
      <c r="W1163" t="s">
        <v>62</v>
      </c>
      <c r="X1163" t="s">
        <v>42</v>
      </c>
      <c r="Y1163" t="s">
        <v>43</v>
      </c>
      <c r="Z1163">
        <v>5</v>
      </c>
      <c r="AA1163">
        <v>104.66</v>
      </c>
      <c r="AB1163">
        <v>60</v>
      </c>
    </row>
    <row r="1164" spans="1:28" x14ac:dyDescent="0.2">
      <c r="A1164">
        <v>1677</v>
      </c>
      <c r="B1164" s="1">
        <v>44771</v>
      </c>
      <c r="C1164" t="s">
        <v>53</v>
      </c>
      <c r="D1164" t="s">
        <v>74</v>
      </c>
      <c r="E1164" t="s">
        <v>30</v>
      </c>
      <c r="F1164" t="s">
        <v>46</v>
      </c>
      <c r="G1164" t="s">
        <v>56</v>
      </c>
      <c r="H1164" t="s">
        <v>46</v>
      </c>
      <c r="I1164" t="s">
        <v>95</v>
      </c>
      <c r="J1164" t="s">
        <v>65</v>
      </c>
      <c r="K1164" s="2">
        <v>24068</v>
      </c>
      <c r="L1164" t="s">
        <v>80</v>
      </c>
      <c r="M1164" t="s">
        <v>37</v>
      </c>
      <c r="N1164" t="s">
        <v>60</v>
      </c>
      <c r="O1164" t="s">
        <v>39</v>
      </c>
      <c r="P1164" t="s">
        <v>40</v>
      </c>
      <c r="Q1164">
        <v>3</v>
      </c>
      <c r="R1164" s="2">
        <v>44995</v>
      </c>
      <c r="S1164">
        <v>5</v>
      </c>
      <c r="T1164">
        <v>4</v>
      </c>
      <c r="U1164">
        <v>5</v>
      </c>
      <c r="V1164" s="1">
        <v>44897</v>
      </c>
      <c r="W1164" t="s">
        <v>68</v>
      </c>
      <c r="X1164" t="s">
        <v>51</v>
      </c>
      <c r="Y1164" t="s">
        <v>52</v>
      </c>
      <c r="Z1164">
        <v>2</v>
      </c>
      <c r="AA1164">
        <v>836.37</v>
      </c>
      <c r="AB1164">
        <v>57</v>
      </c>
    </row>
    <row r="1165" spans="1:28" x14ac:dyDescent="0.2">
      <c r="A1165">
        <v>1678</v>
      </c>
      <c r="B1165" s="1">
        <v>44153</v>
      </c>
      <c r="C1165" t="s">
        <v>131</v>
      </c>
      <c r="D1165" t="s">
        <v>54</v>
      </c>
      <c r="E1165" t="s">
        <v>30</v>
      </c>
      <c r="F1165" t="s">
        <v>46</v>
      </c>
      <c r="G1165" t="s">
        <v>45</v>
      </c>
      <c r="H1165" t="s">
        <v>46</v>
      </c>
      <c r="I1165" t="s">
        <v>132</v>
      </c>
      <c r="J1165" t="s">
        <v>70</v>
      </c>
      <c r="K1165" s="2">
        <v>16889</v>
      </c>
      <c r="L1165" t="s">
        <v>36</v>
      </c>
      <c r="M1165" t="s">
        <v>37</v>
      </c>
      <c r="N1165" t="s">
        <v>72</v>
      </c>
      <c r="O1165" t="s">
        <v>39</v>
      </c>
      <c r="P1165" t="s">
        <v>40</v>
      </c>
      <c r="Q1165">
        <v>3</v>
      </c>
      <c r="R1165" s="2">
        <v>45098</v>
      </c>
      <c r="S1165">
        <v>2</v>
      </c>
      <c r="T1165">
        <v>1</v>
      </c>
      <c r="U1165">
        <v>1</v>
      </c>
      <c r="V1165" s="1">
        <v>45030</v>
      </c>
      <c r="W1165" t="s">
        <v>41</v>
      </c>
      <c r="X1165" t="s">
        <v>42</v>
      </c>
      <c r="Y1165" t="s">
        <v>63</v>
      </c>
      <c r="Z1165">
        <v>1</v>
      </c>
      <c r="AA1165">
        <v>749.64</v>
      </c>
      <c r="AB1165">
        <v>74</v>
      </c>
    </row>
    <row r="1166" spans="1:28" x14ac:dyDescent="0.2">
      <c r="A1166">
        <v>1679</v>
      </c>
      <c r="B1166" s="1">
        <v>44332</v>
      </c>
      <c r="C1166" t="s">
        <v>131</v>
      </c>
      <c r="D1166" t="s">
        <v>69</v>
      </c>
      <c r="E1166" t="s">
        <v>30</v>
      </c>
      <c r="F1166" t="s">
        <v>46</v>
      </c>
      <c r="G1166" t="s">
        <v>32</v>
      </c>
      <c r="H1166" t="s">
        <v>46</v>
      </c>
      <c r="I1166" t="s">
        <v>132</v>
      </c>
      <c r="J1166" t="s">
        <v>79</v>
      </c>
      <c r="K1166" s="2">
        <v>16420</v>
      </c>
      <c r="L1166" t="s">
        <v>36</v>
      </c>
      <c r="M1166" t="s">
        <v>48</v>
      </c>
      <c r="N1166" t="s">
        <v>72</v>
      </c>
      <c r="O1166" t="s">
        <v>39</v>
      </c>
      <c r="P1166" t="s">
        <v>40</v>
      </c>
      <c r="Q1166">
        <v>3</v>
      </c>
      <c r="R1166" s="2">
        <v>45139</v>
      </c>
      <c r="S1166">
        <v>5</v>
      </c>
      <c r="T1166">
        <v>4</v>
      </c>
      <c r="U1166">
        <v>3</v>
      </c>
      <c r="V1166" s="1">
        <v>45010</v>
      </c>
      <c r="W1166" t="s">
        <v>41</v>
      </c>
      <c r="X1166" t="s">
        <v>51</v>
      </c>
      <c r="Y1166" t="s">
        <v>43</v>
      </c>
      <c r="Z1166">
        <v>5</v>
      </c>
      <c r="AA1166">
        <v>213.06</v>
      </c>
      <c r="AB1166">
        <v>77</v>
      </c>
    </row>
    <row r="1167" spans="1:28" x14ac:dyDescent="0.2">
      <c r="A1167">
        <v>1680</v>
      </c>
      <c r="B1167" s="1">
        <v>43763</v>
      </c>
      <c r="C1167" t="s">
        <v>131</v>
      </c>
      <c r="D1167" t="s">
        <v>29</v>
      </c>
      <c r="E1167" t="s">
        <v>30</v>
      </c>
      <c r="F1167" t="s">
        <v>55</v>
      </c>
      <c r="G1167" t="s">
        <v>32</v>
      </c>
      <c r="H1167" t="s">
        <v>33</v>
      </c>
      <c r="I1167" t="s">
        <v>95</v>
      </c>
      <c r="J1167" t="s">
        <v>65</v>
      </c>
      <c r="K1167" s="2">
        <v>28004</v>
      </c>
      <c r="L1167" t="s">
        <v>36</v>
      </c>
      <c r="M1167" t="s">
        <v>48</v>
      </c>
      <c r="N1167" t="s">
        <v>60</v>
      </c>
      <c r="O1167" t="s">
        <v>77</v>
      </c>
      <c r="P1167" t="s">
        <v>40</v>
      </c>
      <c r="Q1167">
        <v>3</v>
      </c>
      <c r="R1167" s="2">
        <v>44986</v>
      </c>
      <c r="S1167">
        <v>5</v>
      </c>
      <c r="T1167">
        <v>4</v>
      </c>
      <c r="U1167">
        <v>5</v>
      </c>
      <c r="V1167" s="1">
        <v>44838</v>
      </c>
      <c r="W1167" t="s">
        <v>50</v>
      </c>
      <c r="X1167" t="s">
        <v>42</v>
      </c>
      <c r="Y1167" t="s">
        <v>63</v>
      </c>
      <c r="Z1167">
        <v>3</v>
      </c>
      <c r="AA1167">
        <v>882.76</v>
      </c>
      <c r="AB1167">
        <v>43</v>
      </c>
    </row>
    <row r="1168" spans="1:28" x14ac:dyDescent="0.2">
      <c r="A1168">
        <v>1681</v>
      </c>
      <c r="B1168" s="1">
        <v>44990</v>
      </c>
      <c r="C1168" t="s">
        <v>140</v>
      </c>
      <c r="D1168" t="s">
        <v>85</v>
      </c>
      <c r="E1168" t="s">
        <v>30</v>
      </c>
      <c r="F1168" t="s">
        <v>31</v>
      </c>
      <c r="G1168" t="s">
        <v>56</v>
      </c>
      <c r="H1168" t="s">
        <v>33</v>
      </c>
      <c r="I1168" t="s">
        <v>95</v>
      </c>
      <c r="J1168" t="s">
        <v>79</v>
      </c>
      <c r="K1168" s="2">
        <v>27312</v>
      </c>
      <c r="L1168" t="s">
        <v>36</v>
      </c>
      <c r="M1168" t="s">
        <v>37</v>
      </c>
      <c r="N1168" t="s">
        <v>38</v>
      </c>
      <c r="O1168" t="s">
        <v>77</v>
      </c>
      <c r="P1168" t="s">
        <v>40</v>
      </c>
      <c r="Q1168">
        <v>3</v>
      </c>
      <c r="R1168" s="2">
        <v>45076</v>
      </c>
      <c r="S1168">
        <v>2</v>
      </c>
      <c r="T1168">
        <v>3</v>
      </c>
      <c r="U1168">
        <v>4</v>
      </c>
      <c r="V1168" s="1">
        <v>44915</v>
      </c>
      <c r="W1168" t="s">
        <v>50</v>
      </c>
      <c r="X1168" t="s">
        <v>51</v>
      </c>
      <c r="Y1168" t="s">
        <v>43</v>
      </c>
      <c r="Z1168">
        <v>1</v>
      </c>
      <c r="AA1168">
        <v>113.42</v>
      </c>
      <c r="AB1168">
        <v>49</v>
      </c>
    </row>
    <row r="1169" spans="1:28" x14ac:dyDescent="0.2">
      <c r="A1169">
        <v>1682</v>
      </c>
      <c r="B1169" s="1">
        <v>44348</v>
      </c>
      <c r="C1169" t="s">
        <v>140</v>
      </c>
      <c r="D1169" t="s">
        <v>44</v>
      </c>
      <c r="E1169" t="s">
        <v>30</v>
      </c>
      <c r="F1169" t="s">
        <v>46</v>
      </c>
      <c r="G1169" t="s">
        <v>56</v>
      </c>
      <c r="H1169" t="s">
        <v>46</v>
      </c>
      <c r="I1169" t="s">
        <v>95</v>
      </c>
      <c r="J1169" t="s">
        <v>47</v>
      </c>
      <c r="K1169" s="2">
        <v>25931</v>
      </c>
      <c r="L1169" t="s">
        <v>36</v>
      </c>
      <c r="M1169" t="s">
        <v>37</v>
      </c>
      <c r="N1169" t="s">
        <v>72</v>
      </c>
      <c r="O1169" t="s">
        <v>67</v>
      </c>
      <c r="P1169" t="s">
        <v>40</v>
      </c>
      <c r="Q1169">
        <v>3</v>
      </c>
      <c r="R1169" s="2">
        <v>45031</v>
      </c>
      <c r="S1169">
        <v>5</v>
      </c>
      <c r="T1169">
        <v>3</v>
      </c>
      <c r="U1169">
        <v>4</v>
      </c>
      <c r="V1169" s="1">
        <v>44823</v>
      </c>
      <c r="W1169" t="s">
        <v>62</v>
      </c>
      <c r="X1169" t="s">
        <v>51</v>
      </c>
      <c r="Y1169" t="s">
        <v>43</v>
      </c>
      <c r="Z1169">
        <v>3</v>
      </c>
      <c r="AA1169">
        <v>284.61</v>
      </c>
      <c r="AB1169">
        <v>51</v>
      </c>
    </row>
    <row r="1170" spans="1:28" x14ac:dyDescent="0.2">
      <c r="A1170">
        <v>1683</v>
      </c>
      <c r="B1170" s="1">
        <v>44583</v>
      </c>
      <c r="C1170" t="s">
        <v>140</v>
      </c>
      <c r="D1170" t="s">
        <v>87</v>
      </c>
      <c r="E1170" t="s">
        <v>108</v>
      </c>
      <c r="F1170" t="s">
        <v>55</v>
      </c>
      <c r="G1170" t="s">
        <v>56</v>
      </c>
      <c r="H1170" t="s">
        <v>46</v>
      </c>
      <c r="I1170" t="s">
        <v>57</v>
      </c>
      <c r="J1170" t="s">
        <v>47</v>
      </c>
      <c r="K1170" s="2">
        <v>32187</v>
      </c>
      <c r="L1170" t="s">
        <v>36</v>
      </c>
      <c r="M1170" t="s">
        <v>37</v>
      </c>
      <c r="N1170" t="s">
        <v>60</v>
      </c>
      <c r="O1170" t="s">
        <v>67</v>
      </c>
      <c r="P1170" t="s">
        <v>40</v>
      </c>
      <c r="Q1170">
        <v>3</v>
      </c>
      <c r="R1170" s="2">
        <v>44924</v>
      </c>
      <c r="S1170">
        <v>2</v>
      </c>
      <c r="T1170">
        <v>4</v>
      </c>
      <c r="U1170">
        <v>4</v>
      </c>
      <c r="V1170" s="1">
        <v>45105</v>
      </c>
      <c r="W1170" t="s">
        <v>62</v>
      </c>
      <c r="X1170" t="s">
        <v>42</v>
      </c>
      <c r="Y1170" t="s">
        <v>43</v>
      </c>
      <c r="Z1170">
        <v>1</v>
      </c>
      <c r="AA1170">
        <v>599.74</v>
      </c>
      <c r="AB1170">
        <v>34</v>
      </c>
    </row>
    <row r="1171" spans="1:28" x14ac:dyDescent="0.2">
      <c r="A1171">
        <v>1684</v>
      </c>
      <c r="B1171" s="1">
        <v>45116</v>
      </c>
      <c r="C1171" t="s">
        <v>124</v>
      </c>
      <c r="D1171" t="s">
        <v>74</v>
      </c>
      <c r="E1171" t="s">
        <v>108</v>
      </c>
      <c r="F1171" t="s">
        <v>31</v>
      </c>
      <c r="G1171" t="s">
        <v>45</v>
      </c>
      <c r="H1171" t="s">
        <v>46</v>
      </c>
      <c r="I1171" t="s">
        <v>95</v>
      </c>
      <c r="J1171" t="s">
        <v>79</v>
      </c>
      <c r="K1171" s="2">
        <v>23077</v>
      </c>
      <c r="L1171" t="s">
        <v>36</v>
      </c>
      <c r="M1171" t="s">
        <v>48</v>
      </c>
      <c r="N1171" t="s">
        <v>49</v>
      </c>
      <c r="O1171" t="s">
        <v>39</v>
      </c>
      <c r="P1171" t="s">
        <v>40</v>
      </c>
      <c r="Q1171">
        <v>3</v>
      </c>
      <c r="R1171" s="2">
        <v>44925</v>
      </c>
      <c r="S1171">
        <v>2</v>
      </c>
      <c r="T1171">
        <v>4</v>
      </c>
      <c r="U1171">
        <v>3</v>
      </c>
      <c r="V1171" s="1">
        <v>45082</v>
      </c>
      <c r="W1171" t="s">
        <v>41</v>
      </c>
      <c r="X1171" t="s">
        <v>42</v>
      </c>
      <c r="Y1171" t="s">
        <v>43</v>
      </c>
      <c r="Z1171">
        <v>5</v>
      </c>
      <c r="AA1171">
        <v>700.99</v>
      </c>
      <c r="AB1171">
        <v>60</v>
      </c>
    </row>
    <row r="1172" spans="1:28" x14ac:dyDescent="0.2">
      <c r="A1172">
        <v>1685</v>
      </c>
      <c r="B1172" s="1">
        <v>43415</v>
      </c>
      <c r="C1172" t="s">
        <v>125</v>
      </c>
      <c r="D1172" t="s">
        <v>81</v>
      </c>
      <c r="E1172" t="s">
        <v>108</v>
      </c>
      <c r="F1172" t="s">
        <v>55</v>
      </c>
      <c r="G1172" t="s">
        <v>45</v>
      </c>
      <c r="H1172" t="s">
        <v>55</v>
      </c>
      <c r="I1172" t="s">
        <v>95</v>
      </c>
      <c r="J1172" t="s">
        <v>47</v>
      </c>
      <c r="K1172" s="2">
        <v>25015</v>
      </c>
      <c r="L1172" t="s">
        <v>36</v>
      </c>
      <c r="M1172" t="s">
        <v>37</v>
      </c>
      <c r="N1172" t="s">
        <v>72</v>
      </c>
      <c r="O1172" t="s">
        <v>77</v>
      </c>
      <c r="P1172" t="s">
        <v>40</v>
      </c>
      <c r="Q1172">
        <v>3</v>
      </c>
      <c r="R1172" s="2">
        <v>44944</v>
      </c>
      <c r="S1172">
        <v>1</v>
      </c>
      <c r="T1172">
        <v>4</v>
      </c>
      <c r="U1172">
        <v>2</v>
      </c>
      <c r="V1172" s="1">
        <v>44927</v>
      </c>
      <c r="W1172" t="s">
        <v>50</v>
      </c>
      <c r="X1172" t="s">
        <v>42</v>
      </c>
      <c r="Y1172" t="s">
        <v>73</v>
      </c>
      <c r="Z1172">
        <v>1</v>
      </c>
      <c r="AA1172">
        <v>650.07000000000005</v>
      </c>
      <c r="AB1172">
        <v>50</v>
      </c>
    </row>
    <row r="1173" spans="1:28" x14ac:dyDescent="0.2">
      <c r="A1173">
        <v>1686</v>
      </c>
      <c r="B1173" s="1">
        <v>44201</v>
      </c>
      <c r="C1173" t="s">
        <v>139</v>
      </c>
      <c r="D1173" t="s">
        <v>85</v>
      </c>
      <c r="E1173" t="s">
        <v>30</v>
      </c>
      <c r="F1173" t="s">
        <v>31</v>
      </c>
      <c r="G1173" t="s">
        <v>32</v>
      </c>
      <c r="H1173" t="s">
        <v>55</v>
      </c>
      <c r="I1173" t="s">
        <v>95</v>
      </c>
      <c r="J1173" t="s">
        <v>35</v>
      </c>
      <c r="K1173" s="2">
        <v>19789</v>
      </c>
      <c r="L1173" t="s">
        <v>36</v>
      </c>
      <c r="M1173" t="s">
        <v>48</v>
      </c>
      <c r="N1173" t="s">
        <v>72</v>
      </c>
      <c r="O1173" t="s">
        <v>39</v>
      </c>
      <c r="P1173" t="s">
        <v>40</v>
      </c>
      <c r="Q1173">
        <v>3</v>
      </c>
      <c r="R1173" s="2">
        <v>44963</v>
      </c>
      <c r="S1173">
        <v>2</v>
      </c>
      <c r="T1173">
        <v>4</v>
      </c>
      <c r="U1173">
        <v>2</v>
      </c>
      <c r="V1173" s="1">
        <v>44876</v>
      </c>
      <c r="W1173" t="s">
        <v>92</v>
      </c>
      <c r="X1173" t="s">
        <v>51</v>
      </c>
      <c r="Y1173" t="s">
        <v>63</v>
      </c>
      <c r="Z1173">
        <v>2</v>
      </c>
      <c r="AA1173">
        <v>851.38</v>
      </c>
      <c r="AB1173">
        <v>67</v>
      </c>
    </row>
    <row r="1174" spans="1:28" x14ac:dyDescent="0.2">
      <c r="A1174">
        <v>1687</v>
      </c>
      <c r="B1174" s="1">
        <v>44890</v>
      </c>
      <c r="C1174" t="s">
        <v>53</v>
      </c>
      <c r="D1174" t="s">
        <v>44</v>
      </c>
      <c r="E1174" t="s">
        <v>30</v>
      </c>
      <c r="F1174" t="s">
        <v>46</v>
      </c>
      <c r="G1174" t="s">
        <v>32</v>
      </c>
      <c r="H1174" t="s">
        <v>55</v>
      </c>
      <c r="I1174" t="s">
        <v>95</v>
      </c>
      <c r="J1174" t="s">
        <v>79</v>
      </c>
      <c r="K1174" s="2">
        <v>24587</v>
      </c>
      <c r="L1174" t="s">
        <v>36</v>
      </c>
      <c r="M1174" t="s">
        <v>48</v>
      </c>
      <c r="N1174" t="s">
        <v>38</v>
      </c>
      <c r="O1174" t="s">
        <v>39</v>
      </c>
      <c r="P1174" t="s">
        <v>40</v>
      </c>
      <c r="Q1174">
        <v>3</v>
      </c>
      <c r="R1174" s="2">
        <v>45141</v>
      </c>
      <c r="S1174">
        <v>3</v>
      </c>
      <c r="T1174">
        <v>4</v>
      </c>
      <c r="U1174">
        <v>5</v>
      </c>
      <c r="V1174" s="1">
        <v>44981</v>
      </c>
      <c r="W1174" t="s">
        <v>50</v>
      </c>
      <c r="X1174" t="s">
        <v>42</v>
      </c>
      <c r="Y1174" t="s">
        <v>43</v>
      </c>
      <c r="Z1174">
        <v>4</v>
      </c>
      <c r="AA1174">
        <v>455.1</v>
      </c>
      <c r="AB1174">
        <v>55</v>
      </c>
    </row>
    <row r="1175" spans="1:28" x14ac:dyDescent="0.2">
      <c r="A1175">
        <v>1688</v>
      </c>
      <c r="B1175" s="1">
        <v>43920</v>
      </c>
      <c r="C1175" t="s">
        <v>53</v>
      </c>
      <c r="D1175" t="s">
        <v>87</v>
      </c>
      <c r="E1175" t="s">
        <v>30</v>
      </c>
      <c r="F1175" t="s">
        <v>55</v>
      </c>
      <c r="G1175" t="s">
        <v>45</v>
      </c>
      <c r="H1175" t="s">
        <v>55</v>
      </c>
      <c r="I1175" t="s">
        <v>95</v>
      </c>
      <c r="J1175" t="s">
        <v>100</v>
      </c>
      <c r="K1175" s="2">
        <v>20659</v>
      </c>
      <c r="L1175" t="s">
        <v>80</v>
      </c>
      <c r="M1175" t="s">
        <v>48</v>
      </c>
      <c r="N1175" t="s">
        <v>60</v>
      </c>
      <c r="O1175" t="s">
        <v>77</v>
      </c>
      <c r="P1175" t="s">
        <v>40</v>
      </c>
      <c r="Q1175">
        <v>3</v>
      </c>
      <c r="R1175" s="2">
        <v>44877</v>
      </c>
      <c r="S1175">
        <v>1</v>
      </c>
      <c r="T1175">
        <v>4</v>
      </c>
      <c r="U1175">
        <v>5</v>
      </c>
      <c r="V1175" s="1">
        <v>44916</v>
      </c>
      <c r="W1175" t="s">
        <v>62</v>
      </c>
      <c r="X1175" t="s">
        <v>42</v>
      </c>
      <c r="Y1175" t="s">
        <v>63</v>
      </c>
      <c r="Z1175">
        <v>3</v>
      </c>
      <c r="AA1175">
        <v>880.67</v>
      </c>
      <c r="AB1175">
        <v>64</v>
      </c>
    </row>
    <row r="1176" spans="1:28" x14ac:dyDescent="0.2">
      <c r="A1176">
        <v>1689</v>
      </c>
      <c r="B1176" s="1">
        <v>44198</v>
      </c>
      <c r="C1176" t="s">
        <v>131</v>
      </c>
      <c r="D1176" t="s">
        <v>87</v>
      </c>
      <c r="E1176" t="s">
        <v>30</v>
      </c>
      <c r="F1176" t="s">
        <v>46</v>
      </c>
      <c r="G1176" t="s">
        <v>32</v>
      </c>
      <c r="H1176" t="s">
        <v>33</v>
      </c>
      <c r="I1176" t="s">
        <v>132</v>
      </c>
      <c r="J1176" t="s">
        <v>70</v>
      </c>
      <c r="K1176" s="2">
        <v>31385</v>
      </c>
      <c r="L1176" t="s">
        <v>36</v>
      </c>
      <c r="M1176" t="s">
        <v>48</v>
      </c>
      <c r="N1176" t="s">
        <v>60</v>
      </c>
      <c r="O1176" t="s">
        <v>67</v>
      </c>
      <c r="P1176" t="s">
        <v>40</v>
      </c>
      <c r="Q1176">
        <v>3</v>
      </c>
      <c r="R1176" s="2">
        <v>45042</v>
      </c>
      <c r="S1176">
        <v>5</v>
      </c>
      <c r="T1176">
        <v>3</v>
      </c>
      <c r="U1176">
        <v>5</v>
      </c>
      <c r="V1176" s="1">
        <v>44819</v>
      </c>
      <c r="W1176" t="s">
        <v>50</v>
      </c>
      <c r="X1176" t="s">
        <v>51</v>
      </c>
      <c r="Y1176" t="s">
        <v>73</v>
      </c>
      <c r="Z1176">
        <v>2</v>
      </c>
      <c r="AA1176">
        <v>712.64</v>
      </c>
      <c r="AB1176">
        <v>36</v>
      </c>
    </row>
    <row r="1177" spans="1:28" x14ac:dyDescent="0.2">
      <c r="A1177">
        <v>1690</v>
      </c>
      <c r="B1177" s="1">
        <v>43522</v>
      </c>
      <c r="C1177" t="s">
        <v>131</v>
      </c>
      <c r="D1177" t="s">
        <v>81</v>
      </c>
      <c r="E1177" t="s">
        <v>30</v>
      </c>
      <c r="F1177" t="s">
        <v>31</v>
      </c>
      <c r="G1177" t="s">
        <v>45</v>
      </c>
      <c r="H1177" t="s">
        <v>33</v>
      </c>
      <c r="I1177" t="s">
        <v>132</v>
      </c>
      <c r="J1177" t="s">
        <v>105</v>
      </c>
      <c r="K1177" s="2">
        <v>15361</v>
      </c>
      <c r="L1177" t="s">
        <v>36</v>
      </c>
      <c r="M1177" t="s">
        <v>48</v>
      </c>
      <c r="N1177" t="s">
        <v>72</v>
      </c>
      <c r="O1177" t="s">
        <v>39</v>
      </c>
      <c r="P1177" t="s">
        <v>40</v>
      </c>
      <c r="Q1177">
        <v>3</v>
      </c>
      <c r="R1177" s="2">
        <v>44877</v>
      </c>
      <c r="S1177">
        <v>3</v>
      </c>
      <c r="T1177">
        <v>1</v>
      </c>
      <c r="U1177">
        <v>5</v>
      </c>
      <c r="V1177" s="1">
        <v>44947</v>
      </c>
      <c r="W1177" t="s">
        <v>92</v>
      </c>
      <c r="X1177" t="s">
        <v>42</v>
      </c>
      <c r="Y1177" t="s">
        <v>43</v>
      </c>
      <c r="Z1177">
        <v>3</v>
      </c>
      <c r="AA1177">
        <v>504.34</v>
      </c>
      <c r="AB1177">
        <v>77</v>
      </c>
    </row>
    <row r="1178" spans="1:28" x14ac:dyDescent="0.2">
      <c r="A1178">
        <v>1691</v>
      </c>
      <c r="B1178" s="1">
        <v>43744</v>
      </c>
      <c r="C1178" t="s">
        <v>131</v>
      </c>
      <c r="D1178" t="s">
        <v>54</v>
      </c>
      <c r="E1178" t="s">
        <v>30</v>
      </c>
      <c r="F1178" t="s">
        <v>31</v>
      </c>
      <c r="G1178" t="s">
        <v>45</v>
      </c>
      <c r="H1178" t="s">
        <v>46</v>
      </c>
      <c r="I1178" t="s">
        <v>95</v>
      </c>
      <c r="J1178" t="s">
        <v>96</v>
      </c>
      <c r="K1178" s="2">
        <v>16823</v>
      </c>
      <c r="L1178" t="s">
        <v>36</v>
      </c>
      <c r="M1178" t="s">
        <v>48</v>
      </c>
      <c r="N1178" t="s">
        <v>72</v>
      </c>
      <c r="O1178" t="s">
        <v>39</v>
      </c>
      <c r="P1178" t="s">
        <v>40</v>
      </c>
      <c r="Q1178">
        <v>3</v>
      </c>
      <c r="R1178" s="2">
        <v>44895</v>
      </c>
      <c r="S1178">
        <v>3</v>
      </c>
      <c r="T1178">
        <v>1</v>
      </c>
      <c r="U1178">
        <v>2</v>
      </c>
      <c r="V1178" s="1">
        <v>44825</v>
      </c>
      <c r="W1178" t="s">
        <v>50</v>
      </c>
      <c r="X1178" t="s">
        <v>51</v>
      </c>
      <c r="Y1178" t="s">
        <v>43</v>
      </c>
      <c r="Z1178">
        <v>3</v>
      </c>
      <c r="AA1178">
        <v>120.37</v>
      </c>
      <c r="AB1178">
        <v>73</v>
      </c>
    </row>
    <row r="1179" spans="1:28" x14ac:dyDescent="0.2">
      <c r="A1179">
        <v>1692</v>
      </c>
      <c r="B1179" s="1">
        <v>43940</v>
      </c>
      <c r="C1179" t="s">
        <v>140</v>
      </c>
      <c r="D1179" t="s">
        <v>94</v>
      </c>
      <c r="E1179" t="s">
        <v>30</v>
      </c>
      <c r="F1179" t="s">
        <v>46</v>
      </c>
      <c r="G1179" t="s">
        <v>32</v>
      </c>
      <c r="H1179" t="s">
        <v>46</v>
      </c>
      <c r="I1179" t="s">
        <v>95</v>
      </c>
      <c r="J1179" t="s">
        <v>79</v>
      </c>
      <c r="K1179" s="2">
        <v>15972</v>
      </c>
      <c r="L1179" t="s">
        <v>36</v>
      </c>
      <c r="M1179" t="s">
        <v>37</v>
      </c>
      <c r="N1179" t="s">
        <v>60</v>
      </c>
      <c r="O1179" t="s">
        <v>39</v>
      </c>
      <c r="P1179" t="s">
        <v>40</v>
      </c>
      <c r="Q1179">
        <v>3</v>
      </c>
      <c r="R1179" s="2">
        <v>45102</v>
      </c>
      <c r="S1179">
        <v>2</v>
      </c>
      <c r="T1179">
        <v>2</v>
      </c>
      <c r="U1179">
        <v>1</v>
      </c>
      <c r="V1179" s="1">
        <v>44993</v>
      </c>
      <c r="W1179" t="s">
        <v>62</v>
      </c>
      <c r="X1179" t="s">
        <v>51</v>
      </c>
      <c r="Y1179" t="s">
        <v>43</v>
      </c>
      <c r="Z1179">
        <v>1</v>
      </c>
      <c r="AA1179">
        <v>705.24</v>
      </c>
      <c r="AB1179">
        <v>77</v>
      </c>
    </row>
    <row r="1180" spans="1:28" x14ac:dyDescent="0.2">
      <c r="A1180">
        <v>1693</v>
      </c>
      <c r="B1180" s="1">
        <v>44919</v>
      </c>
      <c r="C1180" t="s">
        <v>140</v>
      </c>
      <c r="D1180" t="s">
        <v>85</v>
      </c>
      <c r="E1180" t="s">
        <v>30</v>
      </c>
      <c r="F1180" t="s">
        <v>31</v>
      </c>
      <c r="G1180" t="s">
        <v>32</v>
      </c>
      <c r="H1180" t="s">
        <v>46</v>
      </c>
      <c r="I1180" t="s">
        <v>95</v>
      </c>
      <c r="J1180" t="s">
        <v>70</v>
      </c>
      <c r="K1180" s="2">
        <v>31272</v>
      </c>
      <c r="L1180" t="s">
        <v>36</v>
      </c>
      <c r="M1180" t="s">
        <v>37</v>
      </c>
      <c r="N1180" t="s">
        <v>60</v>
      </c>
      <c r="O1180" t="s">
        <v>61</v>
      </c>
      <c r="P1180" t="s">
        <v>40</v>
      </c>
      <c r="Q1180">
        <v>3</v>
      </c>
      <c r="R1180" s="2">
        <v>44913</v>
      </c>
      <c r="S1180">
        <v>3</v>
      </c>
      <c r="T1180">
        <v>5</v>
      </c>
      <c r="U1180">
        <v>1</v>
      </c>
      <c r="V1180" s="1">
        <v>44995</v>
      </c>
      <c r="W1180" t="s">
        <v>62</v>
      </c>
      <c r="X1180" t="s">
        <v>51</v>
      </c>
      <c r="Y1180" t="s">
        <v>73</v>
      </c>
      <c r="Z1180">
        <v>5</v>
      </c>
      <c r="AA1180">
        <v>928.81</v>
      </c>
      <c r="AB1180">
        <v>37</v>
      </c>
    </row>
    <row r="1181" spans="1:28" x14ac:dyDescent="0.2">
      <c r="A1181">
        <v>1694</v>
      </c>
      <c r="B1181" s="1">
        <v>44295</v>
      </c>
      <c r="C1181" t="s">
        <v>124</v>
      </c>
      <c r="D1181" t="s">
        <v>64</v>
      </c>
      <c r="E1181" t="s">
        <v>108</v>
      </c>
      <c r="F1181" t="s">
        <v>46</v>
      </c>
      <c r="G1181" t="s">
        <v>45</v>
      </c>
      <c r="H1181" t="s">
        <v>33</v>
      </c>
      <c r="I1181" t="s">
        <v>95</v>
      </c>
      <c r="J1181" t="s">
        <v>47</v>
      </c>
      <c r="K1181" s="2">
        <v>22558</v>
      </c>
      <c r="L1181" t="s">
        <v>36</v>
      </c>
      <c r="M1181" t="s">
        <v>48</v>
      </c>
      <c r="N1181" t="s">
        <v>84</v>
      </c>
      <c r="O1181" t="s">
        <v>67</v>
      </c>
      <c r="P1181" t="s">
        <v>40</v>
      </c>
      <c r="Q1181">
        <v>3</v>
      </c>
      <c r="R1181" s="2">
        <v>44804</v>
      </c>
      <c r="S1181">
        <v>3</v>
      </c>
      <c r="T1181">
        <v>5</v>
      </c>
      <c r="U1181">
        <v>3</v>
      </c>
      <c r="V1181" s="1">
        <v>44803</v>
      </c>
      <c r="W1181" t="s">
        <v>92</v>
      </c>
      <c r="X1181" t="s">
        <v>42</v>
      </c>
      <c r="Y1181" t="s">
        <v>63</v>
      </c>
      <c r="Z1181">
        <v>5</v>
      </c>
      <c r="AA1181">
        <v>638.07000000000005</v>
      </c>
      <c r="AB1181">
        <v>60</v>
      </c>
    </row>
    <row r="1182" spans="1:28" x14ac:dyDescent="0.2">
      <c r="A1182">
        <v>1695</v>
      </c>
      <c r="B1182" s="1">
        <v>43347</v>
      </c>
      <c r="C1182" t="s">
        <v>125</v>
      </c>
      <c r="D1182" t="s">
        <v>85</v>
      </c>
      <c r="E1182" t="s">
        <v>108</v>
      </c>
      <c r="F1182" t="s">
        <v>31</v>
      </c>
      <c r="G1182" t="s">
        <v>32</v>
      </c>
      <c r="H1182" t="s">
        <v>55</v>
      </c>
      <c r="I1182" t="s">
        <v>95</v>
      </c>
      <c r="J1182" t="s">
        <v>134</v>
      </c>
      <c r="K1182" s="2">
        <v>29903</v>
      </c>
      <c r="L1182" t="s">
        <v>36</v>
      </c>
      <c r="M1182" t="s">
        <v>37</v>
      </c>
      <c r="N1182" t="s">
        <v>60</v>
      </c>
      <c r="O1182" t="s">
        <v>39</v>
      </c>
      <c r="P1182" t="s">
        <v>40</v>
      </c>
      <c r="Q1182">
        <v>3</v>
      </c>
      <c r="R1182" s="2">
        <v>45071</v>
      </c>
      <c r="S1182">
        <v>3</v>
      </c>
      <c r="T1182">
        <v>3</v>
      </c>
      <c r="U1182">
        <v>3</v>
      </c>
      <c r="V1182" s="1">
        <v>44929</v>
      </c>
      <c r="W1182" t="s">
        <v>41</v>
      </c>
      <c r="X1182" t="s">
        <v>42</v>
      </c>
      <c r="Y1182" t="s">
        <v>73</v>
      </c>
      <c r="Z1182">
        <v>2</v>
      </c>
      <c r="AA1182">
        <v>913.34</v>
      </c>
      <c r="AB1182">
        <v>37</v>
      </c>
    </row>
    <row r="1183" spans="1:28" x14ac:dyDescent="0.2">
      <c r="A1183">
        <v>1696</v>
      </c>
      <c r="B1183" s="1">
        <v>44507</v>
      </c>
      <c r="C1183" t="s">
        <v>139</v>
      </c>
      <c r="D1183" t="s">
        <v>81</v>
      </c>
      <c r="E1183" t="s">
        <v>30</v>
      </c>
      <c r="F1183" t="s">
        <v>55</v>
      </c>
      <c r="G1183" t="s">
        <v>32</v>
      </c>
      <c r="H1183" t="s">
        <v>33</v>
      </c>
      <c r="I1183" t="s">
        <v>95</v>
      </c>
      <c r="J1183" t="s">
        <v>75</v>
      </c>
      <c r="K1183" s="2">
        <v>22905</v>
      </c>
      <c r="L1183" t="s">
        <v>36</v>
      </c>
      <c r="M1183" t="s">
        <v>48</v>
      </c>
      <c r="N1183" t="s">
        <v>49</v>
      </c>
      <c r="O1183" t="s">
        <v>67</v>
      </c>
      <c r="P1183" t="s">
        <v>40</v>
      </c>
      <c r="Q1183">
        <v>3</v>
      </c>
      <c r="R1183" s="2">
        <v>45073</v>
      </c>
      <c r="S1183">
        <v>4</v>
      </c>
      <c r="T1183">
        <v>4</v>
      </c>
      <c r="U1183">
        <v>1</v>
      </c>
      <c r="V1183" s="1">
        <v>45075</v>
      </c>
      <c r="W1183" t="s">
        <v>62</v>
      </c>
      <c r="X1183" t="s">
        <v>42</v>
      </c>
      <c r="Y1183" t="s">
        <v>63</v>
      </c>
      <c r="Z1183">
        <v>1</v>
      </c>
      <c r="AA1183">
        <v>754.78</v>
      </c>
      <c r="AB1183">
        <v>59</v>
      </c>
    </row>
    <row r="1184" spans="1:28" x14ac:dyDescent="0.2">
      <c r="A1184">
        <v>1697</v>
      </c>
      <c r="B1184" s="1">
        <v>45070</v>
      </c>
      <c r="C1184" t="s">
        <v>139</v>
      </c>
      <c r="D1184" t="s">
        <v>87</v>
      </c>
      <c r="E1184" t="s">
        <v>30</v>
      </c>
      <c r="F1184" t="s">
        <v>55</v>
      </c>
      <c r="G1184" t="s">
        <v>56</v>
      </c>
      <c r="H1184" t="s">
        <v>46</v>
      </c>
      <c r="I1184" t="s">
        <v>95</v>
      </c>
      <c r="J1184" t="s">
        <v>65</v>
      </c>
      <c r="K1184" s="2">
        <v>31943</v>
      </c>
      <c r="L1184" t="s">
        <v>36</v>
      </c>
      <c r="M1184" t="s">
        <v>48</v>
      </c>
      <c r="N1184" t="s">
        <v>84</v>
      </c>
      <c r="O1184" t="s">
        <v>39</v>
      </c>
      <c r="P1184" t="s">
        <v>40</v>
      </c>
      <c r="Q1184">
        <v>3</v>
      </c>
      <c r="R1184" s="2">
        <v>44849</v>
      </c>
      <c r="S1184">
        <v>1</v>
      </c>
      <c r="T1184">
        <v>5</v>
      </c>
      <c r="U1184">
        <v>2</v>
      </c>
      <c r="V1184" s="1">
        <v>44848</v>
      </c>
      <c r="W1184" t="s">
        <v>41</v>
      </c>
      <c r="X1184" t="s">
        <v>51</v>
      </c>
      <c r="Y1184" t="s">
        <v>73</v>
      </c>
      <c r="Z1184">
        <v>4</v>
      </c>
      <c r="AA1184">
        <v>503.3</v>
      </c>
      <c r="AB1184">
        <v>36</v>
      </c>
    </row>
    <row r="1185" spans="1:28" x14ac:dyDescent="0.2">
      <c r="A1185">
        <v>1698</v>
      </c>
      <c r="B1185" s="1">
        <v>44242</v>
      </c>
      <c r="C1185" t="s">
        <v>53</v>
      </c>
      <c r="D1185" t="s">
        <v>44</v>
      </c>
      <c r="E1185" t="s">
        <v>30</v>
      </c>
      <c r="F1185" t="s">
        <v>55</v>
      </c>
      <c r="G1185" t="s">
        <v>45</v>
      </c>
      <c r="H1185" t="s">
        <v>46</v>
      </c>
      <c r="I1185" t="s">
        <v>95</v>
      </c>
      <c r="J1185" t="s">
        <v>109</v>
      </c>
      <c r="K1185" s="2">
        <v>34652</v>
      </c>
      <c r="L1185" t="s">
        <v>36</v>
      </c>
      <c r="M1185" t="s">
        <v>48</v>
      </c>
      <c r="N1185" t="s">
        <v>38</v>
      </c>
      <c r="O1185" t="s">
        <v>67</v>
      </c>
      <c r="P1185" t="s">
        <v>40</v>
      </c>
      <c r="Q1185">
        <v>3</v>
      </c>
      <c r="R1185" s="2">
        <v>45006</v>
      </c>
      <c r="S1185">
        <v>3</v>
      </c>
      <c r="T1185">
        <v>5</v>
      </c>
      <c r="U1185">
        <v>4</v>
      </c>
      <c r="V1185" s="1">
        <v>44888</v>
      </c>
      <c r="W1185" t="s">
        <v>68</v>
      </c>
      <c r="X1185" t="s">
        <v>51</v>
      </c>
      <c r="Y1185" t="s">
        <v>73</v>
      </c>
      <c r="Z1185">
        <v>5</v>
      </c>
      <c r="AA1185">
        <v>218.31</v>
      </c>
      <c r="AB1185">
        <v>27</v>
      </c>
    </row>
    <row r="1186" spans="1:28" x14ac:dyDescent="0.2">
      <c r="A1186">
        <v>1699</v>
      </c>
      <c r="B1186" s="1">
        <v>44503</v>
      </c>
      <c r="C1186" t="s">
        <v>131</v>
      </c>
      <c r="D1186" t="s">
        <v>54</v>
      </c>
      <c r="E1186" t="s">
        <v>30</v>
      </c>
      <c r="F1186" t="s">
        <v>31</v>
      </c>
      <c r="G1186" t="s">
        <v>32</v>
      </c>
      <c r="H1186" t="s">
        <v>46</v>
      </c>
      <c r="I1186" t="s">
        <v>132</v>
      </c>
      <c r="J1186" t="s">
        <v>82</v>
      </c>
      <c r="K1186" s="2">
        <v>34137</v>
      </c>
      <c r="L1186" t="s">
        <v>36</v>
      </c>
      <c r="M1186" t="s">
        <v>48</v>
      </c>
      <c r="N1186" t="s">
        <v>49</v>
      </c>
      <c r="O1186" t="s">
        <v>67</v>
      </c>
      <c r="P1186" t="s">
        <v>40</v>
      </c>
      <c r="Q1186">
        <v>3</v>
      </c>
      <c r="R1186" s="2">
        <v>45041</v>
      </c>
      <c r="S1186">
        <v>2</v>
      </c>
      <c r="T1186">
        <v>4</v>
      </c>
      <c r="U1186">
        <v>3</v>
      </c>
      <c r="V1186" s="1">
        <v>45131</v>
      </c>
      <c r="W1186" t="s">
        <v>50</v>
      </c>
      <c r="X1186" t="s">
        <v>51</v>
      </c>
      <c r="Y1186" t="s">
        <v>52</v>
      </c>
      <c r="Z1186">
        <v>3</v>
      </c>
      <c r="AA1186">
        <v>730.86</v>
      </c>
      <c r="AB1186">
        <v>28</v>
      </c>
    </row>
    <row r="1187" spans="1:28" x14ac:dyDescent="0.2">
      <c r="A1187">
        <v>1700</v>
      </c>
      <c r="B1187" s="1">
        <v>43363</v>
      </c>
      <c r="C1187" t="s">
        <v>131</v>
      </c>
      <c r="D1187" t="s">
        <v>69</v>
      </c>
      <c r="E1187" t="s">
        <v>30</v>
      </c>
      <c r="F1187" t="s">
        <v>31</v>
      </c>
      <c r="G1187" t="s">
        <v>32</v>
      </c>
      <c r="H1187" t="s">
        <v>33</v>
      </c>
      <c r="I1187" t="s">
        <v>95</v>
      </c>
      <c r="J1187" t="s">
        <v>79</v>
      </c>
      <c r="K1187" s="2">
        <v>21283</v>
      </c>
      <c r="L1187" t="s">
        <v>36</v>
      </c>
      <c r="M1187" t="s">
        <v>48</v>
      </c>
      <c r="N1187" t="s">
        <v>84</v>
      </c>
      <c r="O1187" t="s">
        <v>39</v>
      </c>
      <c r="P1187" t="s">
        <v>40</v>
      </c>
      <c r="Q1187">
        <v>3</v>
      </c>
      <c r="R1187" s="2">
        <v>45050</v>
      </c>
      <c r="S1187">
        <v>5</v>
      </c>
      <c r="T1187">
        <v>2</v>
      </c>
      <c r="U1187">
        <v>4</v>
      </c>
      <c r="V1187" s="1">
        <v>44823</v>
      </c>
      <c r="W1187" t="s">
        <v>50</v>
      </c>
      <c r="X1187" t="s">
        <v>51</v>
      </c>
      <c r="Y1187" t="s">
        <v>63</v>
      </c>
      <c r="Z1187">
        <v>4</v>
      </c>
      <c r="AA1187">
        <v>203.34</v>
      </c>
      <c r="AB1187">
        <v>60</v>
      </c>
    </row>
    <row r="1188" spans="1:28" x14ac:dyDescent="0.2">
      <c r="A1188">
        <v>1701</v>
      </c>
      <c r="B1188" s="1">
        <v>43669</v>
      </c>
      <c r="C1188" t="s">
        <v>131</v>
      </c>
      <c r="D1188" t="s">
        <v>29</v>
      </c>
      <c r="E1188" t="s">
        <v>30</v>
      </c>
      <c r="F1188" t="s">
        <v>31</v>
      </c>
      <c r="G1188" t="s">
        <v>45</v>
      </c>
      <c r="H1188" t="s">
        <v>55</v>
      </c>
      <c r="I1188" t="s">
        <v>95</v>
      </c>
      <c r="J1188" t="s">
        <v>96</v>
      </c>
      <c r="K1188" s="2">
        <v>20034</v>
      </c>
      <c r="L1188" t="s">
        <v>36</v>
      </c>
      <c r="M1188" t="s">
        <v>48</v>
      </c>
      <c r="N1188" t="s">
        <v>60</v>
      </c>
      <c r="O1188" t="s">
        <v>61</v>
      </c>
      <c r="P1188" t="s">
        <v>40</v>
      </c>
      <c r="Q1188">
        <v>3</v>
      </c>
      <c r="R1188" s="2">
        <v>45045</v>
      </c>
      <c r="S1188">
        <v>5</v>
      </c>
      <c r="T1188">
        <v>3</v>
      </c>
      <c r="U1188">
        <v>2</v>
      </c>
      <c r="V1188" s="1">
        <v>45095</v>
      </c>
      <c r="W1188" t="s">
        <v>68</v>
      </c>
      <c r="X1188" t="s">
        <v>42</v>
      </c>
      <c r="Y1188" t="s">
        <v>73</v>
      </c>
      <c r="Z1188">
        <v>1</v>
      </c>
      <c r="AA1188">
        <v>460.53</v>
      </c>
      <c r="AB1188">
        <v>65</v>
      </c>
    </row>
    <row r="1189" spans="1:28" x14ac:dyDescent="0.2">
      <c r="A1189">
        <v>1702</v>
      </c>
      <c r="B1189" s="1">
        <v>44693</v>
      </c>
      <c r="C1189" t="s">
        <v>140</v>
      </c>
      <c r="D1189" t="s">
        <v>85</v>
      </c>
      <c r="E1189" t="s">
        <v>30</v>
      </c>
      <c r="F1189" t="s">
        <v>31</v>
      </c>
      <c r="G1189" t="s">
        <v>45</v>
      </c>
      <c r="H1189" t="s">
        <v>46</v>
      </c>
      <c r="I1189" t="s">
        <v>95</v>
      </c>
      <c r="J1189" t="s">
        <v>96</v>
      </c>
      <c r="K1189" s="2">
        <v>32759</v>
      </c>
      <c r="L1189" t="s">
        <v>36</v>
      </c>
      <c r="M1189" t="s">
        <v>37</v>
      </c>
      <c r="N1189" t="s">
        <v>60</v>
      </c>
      <c r="O1189" t="s">
        <v>61</v>
      </c>
      <c r="P1189" t="s">
        <v>40</v>
      </c>
      <c r="Q1189">
        <v>3</v>
      </c>
      <c r="R1189" s="2">
        <v>44946</v>
      </c>
      <c r="S1189">
        <v>4</v>
      </c>
      <c r="T1189">
        <v>1</v>
      </c>
      <c r="U1189">
        <v>2</v>
      </c>
      <c r="V1189" s="1">
        <v>45004</v>
      </c>
      <c r="W1189" t="s">
        <v>92</v>
      </c>
      <c r="X1189" t="s">
        <v>42</v>
      </c>
      <c r="Y1189" t="s">
        <v>63</v>
      </c>
      <c r="Z1189">
        <v>5</v>
      </c>
      <c r="AA1189">
        <v>733.92</v>
      </c>
      <c r="AB1189">
        <v>33</v>
      </c>
    </row>
    <row r="1190" spans="1:28" x14ac:dyDescent="0.2">
      <c r="A1190">
        <v>1703</v>
      </c>
      <c r="B1190" s="1">
        <v>43376</v>
      </c>
      <c r="C1190" t="s">
        <v>140</v>
      </c>
      <c r="D1190" t="s">
        <v>44</v>
      </c>
      <c r="E1190" t="s">
        <v>30</v>
      </c>
      <c r="F1190" t="s">
        <v>55</v>
      </c>
      <c r="G1190" t="s">
        <v>56</v>
      </c>
      <c r="H1190" t="s">
        <v>46</v>
      </c>
      <c r="I1190" t="s">
        <v>57</v>
      </c>
      <c r="J1190" t="s">
        <v>47</v>
      </c>
      <c r="K1190" s="2">
        <v>28544</v>
      </c>
      <c r="L1190" t="s">
        <v>36</v>
      </c>
      <c r="M1190" t="s">
        <v>37</v>
      </c>
      <c r="N1190" t="s">
        <v>60</v>
      </c>
      <c r="O1190" t="s">
        <v>61</v>
      </c>
      <c r="P1190" t="s">
        <v>40</v>
      </c>
      <c r="Q1190">
        <v>3</v>
      </c>
      <c r="R1190" s="2">
        <v>44973</v>
      </c>
      <c r="S1190">
        <v>1</v>
      </c>
      <c r="T1190">
        <v>1</v>
      </c>
      <c r="U1190">
        <v>4</v>
      </c>
      <c r="V1190" s="1">
        <v>44840</v>
      </c>
      <c r="W1190" t="s">
        <v>50</v>
      </c>
      <c r="X1190" t="s">
        <v>42</v>
      </c>
      <c r="Y1190" t="s">
        <v>63</v>
      </c>
      <c r="Z1190">
        <v>2</v>
      </c>
      <c r="AA1190">
        <v>987.43</v>
      </c>
      <c r="AB1190">
        <v>40</v>
      </c>
    </row>
    <row r="1191" spans="1:28" x14ac:dyDescent="0.2">
      <c r="A1191">
        <v>1704</v>
      </c>
      <c r="B1191" s="1">
        <v>44161</v>
      </c>
      <c r="C1191" t="s">
        <v>124</v>
      </c>
      <c r="D1191" t="s">
        <v>29</v>
      </c>
      <c r="E1191" t="s">
        <v>30</v>
      </c>
      <c r="F1191" t="s">
        <v>46</v>
      </c>
      <c r="G1191" t="s">
        <v>32</v>
      </c>
      <c r="H1191" t="s">
        <v>46</v>
      </c>
      <c r="I1191" t="s">
        <v>95</v>
      </c>
      <c r="J1191" t="s">
        <v>96</v>
      </c>
      <c r="K1191" s="2">
        <v>34506</v>
      </c>
      <c r="L1191" t="s">
        <v>36</v>
      </c>
      <c r="M1191" t="s">
        <v>37</v>
      </c>
      <c r="N1191" t="s">
        <v>49</v>
      </c>
      <c r="O1191" t="s">
        <v>39</v>
      </c>
      <c r="P1191" t="s">
        <v>40</v>
      </c>
      <c r="Q1191">
        <v>3</v>
      </c>
      <c r="R1191" s="2">
        <v>45022</v>
      </c>
      <c r="S1191">
        <v>4</v>
      </c>
      <c r="T1191">
        <v>4</v>
      </c>
      <c r="U1191">
        <v>3</v>
      </c>
      <c r="V1191" s="1">
        <v>45059</v>
      </c>
      <c r="W1191" t="s">
        <v>50</v>
      </c>
      <c r="X1191" t="s">
        <v>51</v>
      </c>
      <c r="Y1191" t="s">
        <v>63</v>
      </c>
      <c r="Z1191">
        <v>1</v>
      </c>
      <c r="AA1191">
        <v>691.32</v>
      </c>
      <c r="AB1191">
        <v>26</v>
      </c>
    </row>
    <row r="1192" spans="1:28" x14ac:dyDescent="0.2">
      <c r="A1192">
        <v>1705</v>
      </c>
      <c r="B1192" s="1">
        <v>43377</v>
      </c>
      <c r="C1192" t="s">
        <v>125</v>
      </c>
      <c r="D1192" t="s">
        <v>44</v>
      </c>
      <c r="E1192" t="s">
        <v>30</v>
      </c>
      <c r="F1192" t="s">
        <v>46</v>
      </c>
      <c r="G1192" t="s">
        <v>56</v>
      </c>
      <c r="H1192" t="s">
        <v>55</v>
      </c>
      <c r="I1192" t="s">
        <v>95</v>
      </c>
      <c r="J1192" t="s">
        <v>96</v>
      </c>
      <c r="K1192" s="2">
        <v>21321</v>
      </c>
      <c r="L1192" t="s">
        <v>36</v>
      </c>
      <c r="M1192" t="s">
        <v>37</v>
      </c>
      <c r="N1192" t="s">
        <v>49</v>
      </c>
      <c r="O1192" t="s">
        <v>61</v>
      </c>
      <c r="P1192" t="s">
        <v>40</v>
      </c>
      <c r="Q1192">
        <v>3</v>
      </c>
      <c r="R1192" s="2">
        <v>45018</v>
      </c>
      <c r="S1192">
        <v>4</v>
      </c>
      <c r="T1192">
        <v>4</v>
      </c>
      <c r="U1192">
        <v>1</v>
      </c>
      <c r="V1192" s="1">
        <v>44856</v>
      </c>
      <c r="W1192" t="s">
        <v>92</v>
      </c>
      <c r="X1192" t="s">
        <v>51</v>
      </c>
      <c r="Y1192" t="s">
        <v>73</v>
      </c>
      <c r="Z1192">
        <v>1</v>
      </c>
      <c r="AA1192">
        <v>663.08</v>
      </c>
      <c r="AB1192">
        <v>60</v>
      </c>
    </row>
    <row r="1193" spans="1:28" x14ac:dyDescent="0.2">
      <c r="A1193">
        <v>1706</v>
      </c>
      <c r="B1193" s="1">
        <v>44167</v>
      </c>
      <c r="C1193" t="s">
        <v>139</v>
      </c>
      <c r="D1193" t="s">
        <v>81</v>
      </c>
      <c r="E1193" t="s">
        <v>30</v>
      </c>
      <c r="F1193" t="s">
        <v>31</v>
      </c>
      <c r="G1193" t="s">
        <v>45</v>
      </c>
      <c r="H1193" t="s">
        <v>55</v>
      </c>
      <c r="I1193" t="s">
        <v>95</v>
      </c>
      <c r="J1193" t="s">
        <v>47</v>
      </c>
      <c r="K1193" s="2">
        <v>32966</v>
      </c>
      <c r="L1193" t="s">
        <v>36</v>
      </c>
      <c r="M1193" t="s">
        <v>37</v>
      </c>
      <c r="N1193" t="s">
        <v>49</v>
      </c>
      <c r="O1193" t="s">
        <v>67</v>
      </c>
      <c r="P1193" t="s">
        <v>40</v>
      </c>
      <c r="Q1193">
        <v>3</v>
      </c>
      <c r="R1193" s="2">
        <v>45096</v>
      </c>
      <c r="S1193">
        <v>3</v>
      </c>
      <c r="T1193">
        <v>2</v>
      </c>
      <c r="U1193">
        <v>5</v>
      </c>
      <c r="V1193" s="1">
        <v>44825</v>
      </c>
      <c r="W1193" t="s">
        <v>50</v>
      </c>
      <c r="X1193" t="s">
        <v>51</v>
      </c>
      <c r="Y1193" t="s">
        <v>52</v>
      </c>
      <c r="Z1193">
        <v>1</v>
      </c>
      <c r="AA1193">
        <v>970.01</v>
      </c>
      <c r="AB1193">
        <v>30</v>
      </c>
    </row>
    <row r="1194" spans="1:28" x14ac:dyDescent="0.2">
      <c r="A1194">
        <v>1707</v>
      </c>
      <c r="B1194" s="1">
        <v>44463</v>
      </c>
      <c r="C1194" t="s">
        <v>139</v>
      </c>
      <c r="D1194" t="s">
        <v>54</v>
      </c>
      <c r="E1194" t="s">
        <v>30</v>
      </c>
      <c r="F1194" t="s">
        <v>46</v>
      </c>
      <c r="G1194" t="s">
        <v>32</v>
      </c>
      <c r="H1194" t="s">
        <v>55</v>
      </c>
      <c r="I1194" t="s">
        <v>95</v>
      </c>
      <c r="J1194" t="s">
        <v>101</v>
      </c>
      <c r="K1194" s="2">
        <v>34413</v>
      </c>
      <c r="L1194" t="s">
        <v>36</v>
      </c>
      <c r="M1194" t="s">
        <v>48</v>
      </c>
      <c r="N1194" t="s">
        <v>84</v>
      </c>
      <c r="O1194" t="s">
        <v>67</v>
      </c>
      <c r="P1194" t="s">
        <v>40</v>
      </c>
      <c r="Q1194">
        <v>3</v>
      </c>
      <c r="R1194" s="2">
        <v>44855</v>
      </c>
      <c r="S1194">
        <v>5</v>
      </c>
      <c r="T1194">
        <v>4</v>
      </c>
      <c r="U1194">
        <v>3</v>
      </c>
      <c r="V1194" s="1">
        <v>45072</v>
      </c>
      <c r="W1194" t="s">
        <v>50</v>
      </c>
      <c r="X1194" t="s">
        <v>42</v>
      </c>
      <c r="Y1194" t="s">
        <v>73</v>
      </c>
      <c r="Z1194">
        <v>3</v>
      </c>
      <c r="AA1194">
        <v>496.31</v>
      </c>
      <c r="AB1194">
        <v>27</v>
      </c>
    </row>
    <row r="1195" spans="1:28" x14ac:dyDescent="0.2">
      <c r="A1195">
        <v>1708</v>
      </c>
      <c r="B1195" s="1">
        <v>44084</v>
      </c>
      <c r="C1195" t="s">
        <v>139</v>
      </c>
      <c r="D1195" t="s">
        <v>94</v>
      </c>
      <c r="E1195" t="s">
        <v>30</v>
      </c>
      <c r="F1195" t="s">
        <v>55</v>
      </c>
      <c r="G1195" t="s">
        <v>45</v>
      </c>
      <c r="H1195" t="s">
        <v>33</v>
      </c>
      <c r="I1195" t="s">
        <v>95</v>
      </c>
      <c r="J1195" t="s">
        <v>89</v>
      </c>
      <c r="K1195" s="2">
        <v>33005</v>
      </c>
      <c r="L1195" t="s">
        <v>36</v>
      </c>
      <c r="M1195" t="s">
        <v>48</v>
      </c>
      <c r="N1195" t="s">
        <v>84</v>
      </c>
      <c r="O1195" t="s">
        <v>39</v>
      </c>
      <c r="P1195" t="s">
        <v>40</v>
      </c>
      <c r="Q1195">
        <v>3</v>
      </c>
      <c r="R1195" s="2">
        <v>44955</v>
      </c>
      <c r="S1195">
        <v>4</v>
      </c>
      <c r="T1195">
        <v>5</v>
      </c>
      <c r="U1195">
        <v>4</v>
      </c>
      <c r="V1195" s="1">
        <v>45097</v>
      </c>
      <c r="W1195" t="s">
        <v>50</v>
      </c>
      <c r="X1195" t="s">
        <v>42</v>
      </c>
      <c r="Y1195" t="s">
        <v>52</v>
      </c>
      <c r="Z1195">
        <v>5</v>
      </c>
      <c r="AA1195">
        <v>640.01</v>
      </c>
      <c r="AB1195">
        <v>30</v>
      </c>
    </row>
    <row r="1196" spans="1:28" x14ac:dyDescent="0.2">
      <c r="A1196">
        <v>1709</v>
      </c>
      <c r="B1196" s="1">
        <v>44706</v>
      </c>
      <c r="C1196" t="s">
        <v>53</v>
      </c>
      <c r="D1196" t="s">
        <v>85</v>
      </c>
      <c r="E1196" t="s">
        <v>30</v>
      </c>
      <c r="F1196" t="s">
        <v>55</v>
      </c>
      <c r="G1196" t="s">
        <v>32</v>
      </c>
      <c r="H1196" t="s">
        <v>33</v>
      </c>
      <c r="I1196" t="s">
        <v>95</v>
      </c>
      <c r="J1196" t="s">
        <v>58</v>
      </c>
      <c r="K1196" s="2">
        <v>22727</v>
      </c>
      <c r="L1196" t="s">
        <v>80</v>
      </c>
      <c r="M1196" t="s">
        <v>48</v>
      </c>
      <c r="N1196" t="s">
        <v>72</v>
      </c>
      <c r="O1196" t="s">
        <v>67</v>
      </c>
      <c r="P1196" t="s">
        <v>40</v>
      </c>
      <c r="Q1196">
        <v>3</v>
      </c>
      <c r="R1196" s="2">
        <v>45056</v>
      </c>
      <c r="S1196">
        <v>5</v>
      </c>
      <c r="T1196">
        <v>4</v>
      </c>
      <c r="U1196">
        <v>2</v>
      </c>
      <c r="V1196" s="1">
        <v>45080</v>
      </c>
      <c r="W1196" t="s">
        <v>68</v>
      </c>
      <c r="X1196" t="s">
        <v>51</v>
      </c>
      <c r="Y1196" t="s">
        <v>43</v>
      </c>
      <c r="Z1196">
        <v>4</v>
      </c>
      <c r="AA1196">
        <v>858.8</v>
      </c>
      <c r="AB1196">
        <v>60</v>
      </c>
    </row>
    <row r="1197" spans="1:28" x14ac:dyDescent="0.2">
      <c r="A1197">
        <v>1710</v>
      </c>
      <c r="B1197" s="1">
        <v>43511</v>
      </c>
      <c r="C1197" t="s">
        <v>131</v>
      </c>
      <c r="D1197" t="s">
        <v>54</v>
      </c>
      <c r="E1197" t="s">
        <v>30</v>
      </c>
      <c r="F1197" t="s">
        <v>46</v>
      </c>
      <c r="G1197" t="s">
        <v>45</v>
      </c>
      <c r="H1197" t="s">
        <v>46</v>
      </c>
      <c r="I1197" t="s">
        <v>132</v>
      </c>
      <c r="J1197" t="s">
        <v>70</v>
      </c>
      <c r="K1197" s="2">
        <v>26077</v>
      </c>
      <c r="L1197" t="s">
        <v>36</v>
      </c>
      <c r="M1197" t="s">
        <v>48</v>
      </c>
      <c r="N1197" t="s">
        <v>72</v>
      </c>
      <c r="O1197" t="s">
        <v>77</v>
      </c>
      <c r="P1197" t="s">
        <v>40</v>
      </c>
      <c r="Q1197">
        <v>3</v>
      </c>
      <c r="R1197" s="2">
        <v>45110</v>
      </c>
      <c r="S1197">
        <v>1</v>
      </c>
      <c r="T1197">
        <v>2</v>
      </c>
      <c r="U1197">
        <v>3</v>
      </c>
      <c r="V1197" s="1">
        <v>44906</v>
      </c>
      <c r="W1197" t="s">
        <v>92</v>
      </c>
      <c r="X1197" t="s">
        <v>51</v>
      </c>
      <c r="Y1197" t="s">
        <v>73</v>
      </c>
      <c r="Z1197">
        <v>2</v>
      </c>
      <c r="AA1197">
        <v>300.52</v>
      </c>
      <c r="AB1197">
        <v>48</v>
      </c>
    </row>
    <row r="1198" spans="1:28" x14ac:dyDescent="0.2">
      <c r="A1198">
        <v>1711</v>
      </c>
      <c r="B1198" s="1">
        <v>43371</v>
      </c>
      <c r="C1198" t="s">
        <v>131</v>
      </c>
      <c r="D1198" t="s">
        <v>69</v>
      </c>
      <c r="E1198" t="s">
        <v>30</v>
      </c>
      <c r="F1198" t="s">
        <v>55</v>
      </c>
      <c r="G1198" t="s">
        <v>45</v>
      </c>
      <c r="H1198" t="s">
        <v>33</v>
      </c>
      <c r="I1198" t="s">
        <v>95</v>
      </c>
      <c r="J1198" t="s">
        <v>65</v>
      </c>
      <c r="K1198" s="2">
        <v>31158</v>
      </c>
      <c r="L1198" t="s">
        <v>36</v>
      </c>
      <c r="M1198" t="s">
        <v>48</v>
      </c>
      <c r="N1198" t="s">
        <v>60</v>
      </c>
      <c r="O1198" t="s">
        <v>39</v>
      </c>
      <c r="P1198" t="s">
        <v>40</v>
      </c>
      <c r="Q1198">
        <v>3</v>
      </c>
      <c r="R1198" s="2">
        <v>45051</v>
      </c>
      <c r="S1198">
        <v>5</v>
      </c>
      <c r="T1198">
        <v>1</v>
      </c>
      <c r="U1198">
        <v>4</v>
      </c>
      <c r="V1198" s="1">
        <v>44834</v>
      </c>
      <c r="W1198" t="s">
        <v>68</v>
      </c>
      <c r="X1198" t="s">
        <v>51</v>
      </c>
      <c r="Y1198" t="s">
        <v>43</v>
      </c>
      <c r="Z1198">
        <v>3</v>
      </c>
      <c r="AA1198">
        <v>102.19</v>
      </c>
      <c r="AB1198">
        <v>33</v>
      </c>
    </row>
    <row r="1199" spans="1:28" x14ac:dyDescent="0.2">
      <c r="A1199">
        <v>1712</v>
      </c>
      <c r="B1199" s="1">
        <v>43446</v>
      </c>
      <c r="C1199" t="s">
        <v>131</v>
      </c>
      <c r="D1199" t="s">
        <v>29</v>
      </c>
      <c r="E1199" t="s">
        <v>30</v>
      </c>
      <c r="F1199" t="s">
        <v>55</v>
      </c>
      <c r="G1199" t="s">
        <v>45</v>
      </c>
      <c r="H1199" t="s">
        <v>33</v>
      </c>
      <c r="I1199" t="s">
        <v>95</v>
      </c>
      <c r="J1199" t="s">
        <v>79</v>
      </c>
      <c r="K1199" s="2">
        <v>26358</v>
      </c>
      <c r="L1199" t="s">
        <v>36</v>
      </c>
      <c r="M1199" t="s">
        <v>37</v>
      </c>
      <c r="N1199" t="s">
        <v>72</v>
      </c>
      <c r="O1199" t="s">
        <v>61</v>
      </c>
      <c r="P1199" t="s">
        <v>40</v>
      </c>
      <c r="Q1199">
        <v>3</v>
      </c>
      <c r="R1199" s="2">
        <v>45058</v>
      </c>
      <c r="S1199">
        <v>3</v>
      </c>
      <c r="T1199">
        <v>2</v>
      </c>
      <c r="U1199">
        <v>3</v>
      </c>
      <c r="V1199" s="1">
        <v>45083</v>
      </c>
      <c r="W1199" t="s">
        <v>92</v>
      </c>
      <c r="X1199" t="s">
        <v>42</v>
      </c>
      <c r="Y1199" t="s">
        <v>63</v>
      </c>
      <c r="Z1199">
        <v>2</v>
      </c>
      <c r="AA1199">
        <v>581.16</v>
      </c>
      <c r="AB1199">
        <v>46</v>
      </c>
    </row>
    <row r="1200" spans="1:28" x14ac:dyDescent="0.2">
      <c r="A1200">
        <v>1713</v>
      </c>
      <c r="B1200" s="1">
        <v>44531</v>
      </c>
      <c r="C1200" t="s">
        <v>140</v>
      </c>
      <c r="D1200" t="s">
        <v>85</v>
      </c>
      <c r="E1200" t="s">
        <v>30</v>
      </c>
      <c r="F1200" t="s">
        <v>31</v>
      </c>
      <c r="G1200" t="s">
        <v>56</v>
      </c>
      <c r="H1200" t="s">
        <v>55</v>
      </c>
      <c r="I1200" t="s">
        <v>95</v>
      </c>
      <c r="J1200" t="s">
        <v>65</v>
      </c>
      <c r="K1200" s="2">
        <v>33114</v>
      </c>
      <c r="L1200" t="s">
        <v>36</v>
      </c>
      <c r="M1200" t="s">
        <v>37</v>
      </c>
      <c r="N1200" t="s">
        <v>84</v>
      </c>
      <c r="O1200" t="s">
        <v>67</v>
      </c>
      <c r="P1200" t="s">
        <v>40</v>
      </c>
      <c r="Q1200">
        <v>3</v>
      </c>
      <c r="R1200" s="2">
        <v>44845</v>
      </c>
      <c r="S1200">
        <v>4</v>
      </c>
      <c r="T1200">
        <v>4</v>
      </c>
      <c r="U1200">
        <v>5</v>
      </c>
      <c r="V1200" s="1">
        <v>44996</v>
      </c>
      <c r="W1200" t="s">
        <v>41</v>
      </c>
      <c r="X1200" t="s">
        <v>42</v>
      </c>
      <c r="Y1200" t="s">
        <v>52</v>
      </c>
      <c r="Z1200">
        <v>3</v>
      </c>
      <c r="AA1200">
        <v>752.91</v>
      </c>
      <c r="AB1200">
        <v>31</v>
      </c>
    </row>
    <row r="1201" spans="1:28" x14ac:dyDescent="0.2">
      <c r="A1201">
        <v>1714</v>
      </c>
      <c r="B1201" s="1">
        <v>44573</v>
      </c>
      <c r="C1201" t="s">
        <v>140</v>
      </c>
      <c r="D1201" t="s">
        <v>44</v>
      </c>
      <c r="E1201" t="s">
        <v>30</v>
      </c>
      <c r="F1201" t="s">
        <v>55</v>
      </c>
      <c r="G1201" t="s">
        <v>56</v>
      </c>
      <c r="H1201" t="s">
        <v>33</v>
      </c>
      <c r="I1201" t="s">
        <v>57</v>
      </c>
      <c r="J1201" t="s">
        <v>70</v>
      </c>
      <c r="K1201" s="2">
        <v>36636</v>
      </c>
      <c r="L1201" t="s">
        <v>36</v>
      </c>
      <c r="M1201" t="s">
        <v>37</v>
      </c>
      <c r="N1201" t="s">
        <v>38</v>
      </c>
      <c r="O1201" t="s">
        <v>67</v>
      </c>
      <c r="P1201" t="s">
        <v>40</v>
      </c>
      <c r="Q1201">
        <v>3</v>
      </c>
      <c r="R1201" s="2">
        <v>44984</v>
      </c>
      <c r="S1201">
        <v>1</v>
      </c>
      <c r="T1201">
        <v>2</v>
      </c>
      <c r="U1201">
        <v>3</v>
      </c>
      <c r="V1201" s="1">
        <v>45131</v>
      </c>
      <c r="W1201" t="s">
        <v>62</v>
      </c>
      <c r="X1201" t="s">
        <v>51</v>
      </c>
      <c r="Y1201" t="s">
        <v>73</v>
      </c>
      <c r="Z1201">
        <v>3</v>
      </c>
      <c r="AA1201">
        <v>374.58</v>
      </c>
      <c r="AB1201">
        <v>22</v>
      </c>
    </row>
    <row r="1202" spans="1:28" x14ac:dyDescent="0.2">
      <c r="A1202">
        <v>1715</v>
      </c>
      <c r="B1202" s="1">
        <v>44131</v>
      </c>
      <c r="C1202" t="s">
        <v>124</v>
      </c>
      <c r="D1202" t="s">
        <v>74</v>
      </c>
      <c r="E1202" t="s">
        <v>30</v>
      </c>
      <c r="F1202" t="s">
        <v>55</v>
      </c>
      <c r="G1202" t="s">
        <v>56</v>
      </c>
      <c r="H1202" t="s">
        <v>46</v>
      </c>
      <c r="I1202" t="s">
        <v>95</v>
      </c>
      <c r="J1202" t="s">
        <v>47</v>
      </c>
      <c r="K1202" s="2">
        <v>24117</v>
      </c>
      <c r="L1202" t="s">
        <v>36</v>
      </c>
      <c r="M1202" t="s">
        <v>37</v>
      </c>
      <c r="N1202" t="s">
        <v>38</v>
      </c>
      <c r="O1202" t="s">
        <v>77</v>
      </c>
      <c r="P1202" t="s">
        <v>40</v>
      </c>
      <c r="Q1202">
        <v>3</v>
      </c>
      <c r="R1202" s="2">
        <v>45032</v>
      </c>
      <c r="S1202">
        <v>2</v>
      </c>
      <c r="T1202">
        <v>2</v>
      </c>
      <c r="U1202">
        <v>5</v>
      </c>
      <c r="V1202" s="1">
        <v>44974</v>
      </c>
      <c r="W1202" t="s">
        <v>41</v>
      </c>
      <c r="X1202" t="s">
        <v>42</v>
      </c>
      <c r="Y1202" t="s">
        <v>52</v>
      </c>
      <c r="Z1202">
        <v>3</v>
      </c>
      <c r="AA1202">
        <v>788.64</v>
      </c>
      <c r="AB1202">
        <v>54</v>
      </c>
    </row>
    <row r="1203" spans="1:28" x14ac:dyDescent="0.2">
      <c r="A1203">
        <v>1716</v>
      </c>
      <c r="B1203" s="1">
        <v>44137</v>
      </c>
      <c r="C1203" t="s">
        <v>125</v>
      </c>
      <c r="D1203" t="s">
        <v>81</v>
      </c>
      <c r="E1203" t="s">
        <v>30</v>
      </c>
      <c r="F1203" t="s">
        <v>31</v>
      </c>
      <c r="G1203" t="s">
        <v>32</v>
      </c>
      <c r="H1203" t="s">
        <v>46</v>
      </c>
      <c r="I1203" t="s">
        <v>95</v>
      </c>
      <c r="J1203" t="s">
        <v>65</v>
      </c>
      <c r="K1203" s="2">
        <v>22359</v>
      </c>
      <c r="L1203" t="s">
        <v>36</v>
      </c>
      <c r="M1203" t="s">
        <v>37</v>
      </c>
      <c r="N1203" t="s">
        <v>84</v>
      </c>
      <c r="O1203" t="s">
        <v>39</v>
      </c>
      <c r="P1203" t="s">
        <v>40</v>
      </c>
      <c r="Q1203">
        <v>3</v>
      </c>
      <c r="R1203" s="2">
        <v>44941</v>
      </c>
      <c r="S1203">
        <v>2</v>
      </c>
      <c r="T1203">
        <v>1</v>
      </c>
      <c r="U1203">
        <v>1</v>
      </c>
      <c r="V1203" s="1">
        <v>44970</v>
      </c>
      <c r="W1203" t="s">
        <v>92</v>
      </c>
      <c r="X1203" t="s">
        <v>51</v>
      </c>
      <c r="Y1203" t="s">
        <v>52</v>
      </c>
      <c r="Z1203">
        <v>2</v>
      </c>
      <c r="AA1203">
        <v>234.05</v>
      </c>
      <c r="AB1203">
        <v>59</v>
      </c>
    </row>
    <row r="1204" spans="1:28" x14ac:dyDescent="0.2">
      <c r="A1204">
        <v>1717</v>
      </c>
      <c r="B1204" s="1">
        <v>44310</v>
      </c>
      <c r="C1204" t="s">
        <v>139</v>
      </c>
      <c r="D1204" t="s">
        <v>69</v>
      </c>
      <c r="E1204" t="s">
        <v>30</v>
      </c>
      <c r="F1204" t="s">
        <v>46</v>
      </c>
      <c r="G1204" t="s">
        <v>56</v>
      </c>
      <c r="H1204" t="s">
        <v>46</v>
      </c>
      <c r="I1204" t="s">
        <v>95</v>
      </c>
      <c r="J1204" t="s">
        <v>65</v>
      </c>
      <c r="K1204" s="2">
        <v>21880</v>
      </c>
      <c r="L1204" t="s">
        <v>36</v>
      </c>
      <c r="M1204" t="s">
        <v>48</v>
      </c>
      <c r="N1204" t="s">
        <v>84</v>
      </c>
      <c r="O1204" t="s">
        <v>39</v>
      </c>
      <c r="P1204" t="s">
        <v>40</v>
      </c>
      <c r="Q1204">
        <v>3</v>
      </c>
      <c r="R1204" s="2">
        <v>44991</v>
      </c>
      <c r="S1204">
        <v>4</v>
      </c>
      <c r="T1204">
        <v>2</v>
      </c>
      <c r="U1204">
        <v>5</v>
      </c>
      <c r="V1204" s="1">
        <v>44870</v>
      </c>
      <c r="W1204" t="s">
        <v>50</v>
      </c>
      <c r="X1204" t="s">
        <v>51</v>
      </c>
      <c r="Y1204" t="s">
        <v>52</v>
      </c>
      <c r="Z1204">
        <v>1</v>
      </c>
      <c r="AA1204">
        <v>381.33</v>
      </c>
      <c r="AB1204">
        <v>62</v>
      </c>
    </row>
    <row r="1205" spans="1:28" x14ac:dyDescent="0.2">
      <c r="A1205">
        <v>1718</v>
      </c>
      <c r="B1205" s="1">
        <v>44011</v>
      </c>
      <c r="C1205" t="s">
        <v>139</v>
      </c>
      <c r="D1205" t="s">
        <v>29</v>
      </c>
      <c r="E1205" t="s">
        <v>30</v>
      </c>
      <c r="F1205" t="s">
        <v>55</v>
      </c>
      <c r="G1205" t="s">
        <v>56</v>
      </c>
      <c r="H1205" t="s">
        <v>33</v>
      </c>
      <c r="I1205" t="s">
        <v>95</v>
      </c>
      <c r="J1205" t="s">
        <v>70</v>
      </c>
      <c r="K1205" s="2">
        <v>36895</v>
      </c>
      <c r="L1205" t="s">
        <v>36</v>
      </c>
      <c r="M1205" t="s">
        <v>48</v>
      </c>
      <c r="N1205" t="s">
        <v>60</v>
      </c>
      <c r="O1205" t="s">
        <v>77</v>
      </c>
      <c r="P1205" t="s">
        <v>40</v>
      </c>
      <c r="Q1205">
        <v>3</v>
      </c>
      <c r="R1205" s="2">
        <v>45126</v>
      </c>
      <c r="S1205">
        <v>5</v>
      </c>
      <c r="T1205">
        <v>4</v>
      </c>
      <c r="U1205">
        <v>5</v>
      </c>
      <c r="V1205" s="1">
        <v>44919</v>
      </c>
      <c r="W1205" t="s">
        <v>41</v>
      </c>
      <c r="X1205" t="s">
        <v>42</v>
      </c>
      <c r="Y1205" t="s">
        <v>73</v>
      </c>
      <c r="Z1205">
        <v>3</v>
      </c>
      <c r="AA1205">
        <v>527.62</v>
      </c>
      <c r="AB1205">
        <v>19</v>
      </c>
    </row>
    <row r="1206" spans="1:28" x14ac:dyDescent="0.2">
      <c r="A1206">
        <v>1719</v>
      </c>
      <c r="B1206" s="1">
        <v>44392</v>
      </c>
      <c r="C1206" t="s">
        <v>139</v>
      </c>
      <c r="D1206" t="s">
        <v>85</v>
      </c>
      <c r="E1206" t="s">
        <v>30</v>
      </c>
      <c r="F1206" t="s">
        <v>31</v>
      </c>
      <c r="G1206" t="s">
        <v>56</v>
      </c>
      <c r="H1206" t="s">
        <v>33</v>
      </c>
      <c r="I1206" t="s">
        <v>95</v>
      </c>
      <c r="J1206" t="s">
        <v>70</v>
      </c>
      <c r="K1206" s="2">
        <v>34099</v>
      </c>
      <c r="L1206" t="s">
        <v>36</v>
      </c>
      <c r="M1206" t="s">
        <v>48</v>
      </c>
      <c r="N1206" t="s">
        <v>49</v>
      </c>
      <c r="O1206" t="s">
        <v>39</v>
      </c>
      <c r="P1206" t="s">
        <v>40</v>
      </c>
      <c r="Q1206">
        <v>3</v>
      </c>
      <c r="R1206" s="2">
        <v>45014</v>
      </c>
      <c r="S1206">
        <v>2</v>
      </c>
      <c r="T1206">
        <v>3</v>
      </c>
      <c r="U1206">
        <v>1</v>
      </c>
      <c r="V1206" s="1">
        <v>44816</v>
      </c>
      <c r="W1206" t="s">
        <v>41</v>
      </c>
      <c r="X1206" t="s">
        <v>51</v>
      </c>
      <c r="Y1206" t="s">
        <v>73</v>
      </c>
      <c r="Z1206">
        <v>3</v>
      </c>
      <c r="AA1206">
        <v>442.1</v>
      </c>
      <c r="AB1206">
        <v>28</v>
      </c>
    </row>
    <row r="1207" spans="1:28" x14ac:dyDescent="0.2">
      <c r="A1207">
        <v>1720</v>
      </c>
      <c r="B1207" s="1">
        <v>45097</v>
      </c>
      <c r="C1207" t="s">
        <v>131</v>
      </c>
      <c r="D1207" t="s">
        <v>87</v>
      </c>
      <c r="E1207" t="s">
        <v>30</v>
      </c>
      <c r="F1207" t="s">
        <v>46</v>
      </c>
      <c r="G1207" t="s">
        <v>32</v>
      </c>
      <c r="H1207" t="s">
        <v>46</v>
      </c>
      <c r="I1207" t="s">
        <v>95</v>
      </c>
      <c r="J1207" t="s">
        <v>70</v>
      </c>
      <c r="K1207" s="2">
        <v>23809</v>
      </c>
      <c r="L1207" t="s">
        <v>36</v>
      </c>
      <c r="M1207" t="s">
        <v>48</v>
      </c>
      <c r="N1207" t="s">
        <v>60</v>
      </c>
      <c r="O1207" t="s">
        <v>61</v>
      </c>
      <c r="P1207" t="s">
        <v>40</v>
      </c>
      <c r="Q1207">
        <v>3</v>
      </c>
      <c r="R1207" s="2">
        <v>45117</v>
      </c>
      <c r="S1207">
        <v>4</v>
      </c>
      <c r="T1207">
        <v>3</v>
      </c>
      <c r="U1207">
        <v>2</v>
      </c>
      <c r="V1207" s="1">
        <v>44945</v>
      </c>
      <c r="W1207" t="s">
        <v>62</v>
      </c>
      <c r="X1207" t="s">
        <v>42</v>
      </c>
      <c r="Y1207" t="s">
        <v>73</v>
      </c>
      <c r="Z1207">
        <v>2</v>
      </c>
      <c r="AA1207">
        <v>396.81</v>
      </c>
      <c r="AB1207">
        <v>58</v>
      </c>
    </row>
    <row r="1208" spans="1:28" x14ac:dyDescent="0.2">
      <c r="A1208">
        <v>1721</v>
      </c>
      <c r="B1208" s="1">
        <v>43730</v>
      </c>
      <c r="C1208" t="s">
        <v>131</v>
      </c>
      <c r="D1208" t="s">
        <v>81</v>
      </c>
      <c r="E1208" t="s">
        <v>30</v>
      </c>
      <c r="F1208" t="s">
        <v>55</v>
      </c>
      <c r="G1208" t="s">
        <v>56</v>
      </c>
      <c r="H1208" t="s">
        <v>55</v>
      </c>
      <c r="I1208" t="s">
        <v>95</v>
      </c>
      <c r="J1208" t="s">
        <v>35</v>
      </c>
      <c r="K1208" s="2">
        <v>36124</v>
      </c>
      <c r="L1208" t="s">
        <v>36</v>
      </c>
      <c r="M1208" t="s">
        <v>48</v>
      </c>
      <c r="N1208" t="s">
        <v>38</v>
      </c>
      <c r="O1208" t="s">
        <v>77</v>
      </c>
      <c r="P1208" t="s">
        <v>40</v>
      </c>
      <c r="Q1208">
        <v>3</v>
      </c>
      <c r="R1208" s="2">
        <v>45107</v>
      </c>
      <c r="S1208">
        <v>5</v>
      </c>
      <c r="T1208">
        <v>4</v>
      </c>
      <c r="U1208">
        <v>4</v>
      </c>
      <c r="V1208" s="1">
        <v>44973</v>
      </c>
      <c r="W1208" t="s">
        <v>62</v>
      </c>
      <c r="X1208" t="s">
        <v>51</v>
      </c>
      <c r="Y1208" t="s">
        <v>43</v>
      </c>
      <c r="Z1208">
        <v>2</v>
      </c>
      <c r="AA1208">
        <v>730.31</v>
      </c>
      <c r="AB1208">
        <v>21</v>
      </c>
    </row>
    <row r="1209" spans="1:28" x14ac:dyDescent="0.2">
      <c r="A1209">
        <v>1722</v>
      </c>
      <c r="B1209" s="1">
        <v>44614</v>
      </c>
      <c r="C1209" t="s">
        <v>131</v>
      </c>
      <c r="D1209" t="s">
        <v>54</v>
      </c>
      <c r="E1209" t="s">
        <v>30</v>
      </c>
      <c r="F1209" t="s">
        <v>55</v>
      </c>
      <c r="G1209" t="s">
        <v>56</v>
      </c>
      <c r="H1209" t="s">
        <v>55</v>
      </c>
      <c r="I1209" t="s">
        <v>95</v>
      </c>
      <c r="J1209" t="s">
        <v>103</v>
      </c>
      <c r="K1209" s="2">
        <v>24867</v>
      </c>
      <c r="L1209" t="s">
        <v>36</v>
      </c>
      <c r="M1209" t="s">
        <v>37</v>
      </c>
      <c r="N1209" t="s">
        <v>49</v>
      </c>
      <c r="O1209" t="s">
        <v>77</v>
      </c>
      <c r="P1209" t="s">
        <v>40</v>
      </c>
      <c r="Q1209">
        <v>3</v>
      </c>
      <c r="R1209" s="2">
        <v>45001</v>
      </c>
      <c r="S1209">
        <v>2</v>
      </c>
      <c r="T1209">
        <v>2</v>
      </c>
      <c r="U1209">
        <v>4</v>
      </c>
      <c r="V1209" s="1">
        <v>45060</v>
      </c>
      <c r="W1209" t="s">
        <v>68</v>
      </c>
      <c r="X1209" t="s">
        <v>51</v>
      </c>
      <c r="Y1209" t="s">
        <v>52</v>
      </c>
      <c r="Z1209">
        <v>2</v>
      </c>
      <c r="AA1209">
        <v>128.06</v>
      </c>
      <c r="AB1209">
        <v>54</v>
      </c>
    </row>
    <row r="1210" spans="1:28" x14ac:dyDescent="0.2">
      <c r="A1210">
        <v>1723</v>
      </c>
      <c r="B1210" s="1">
        <v>44013</v>
      </c>
      <c r="C1210" t="s">
        <v>140</v>
      </c>
      <c r="D1210" t="s">
        <v>94</v>
      </c>
      <c r="E1210" t="s">
        <v>30</v>
      </c>
      <c r="F1210" t="s">
        <v>55</v>
      </c>
      <c r="G1210" t="s">
        <v>56</v>
      </c>
      <c r="H1210" t="s">
        <v>55</v>
      </c>
      <c r="I1210" t="s">
        <v>57</v>
      </c>
      <c r="J1210" t="s">
        <v>75</v>
      </c>
      <c r="K1210" s="2">
        <v>25300</v>
      </c>
      <c r="L1210" t="s">
        <v>36</v>
      </c>
      <c r="M1210" t="s">
        <v>37</v>
      </c>
      <c r="N1210" t="s">
        <v>72</v>
      </c>
      <c r="O1210" t="s">
        <v>39</v>
      </c>
      <c r="P1210" t="s">
        <v>40</v>
      </c>
      <c r="Q1210">
        <v>3</v>
      </c>
      <c r="R1210" s="2">
        <v>44820</v>
      </c>
      <c r="S1210">
        <v>5</v>
      </c>
      <c r="T1210">
        <v>1</v>
      </c>
      <c r="U1210">
        <v>5</v>
      </c>
      <c r="V1210" s="1">
        <v>44829</v>
      </c>
      <c r="W1210" t="s">
        <v>68</v>
      </c>
      <c r="X1210" t="s">
        <v>51</v>
      </c>
      <c r="Y1210" t="s">
        <v>73</v>
      </c>
      <c r="Z1210">
        <v>5</v>
      </c>
      <c r="AA1210">
        <v>942.63</v>
      </c>
      <c r="AB1210">
        <v>51</v>
      </c>
    </row>
    <row r="1211" spans="1:28" x14ac:dyDescent="0.2">
      <c r="A1211">
        <v>1724</v>
      </c>
      <c r="B1211" s="1">
        <v>44329</v>
      </c>
      <c r="C1211" t="s">
        <v>124</v>
      </c>
      <c r="D1211" t="s">
        <v>64</v>
      </c>
      <c r="E1211" t="s">
        <v>30</v>
      </c>
      <c r="F1211" t="s">
        <v>46</v>
      </c>
      <c r="G1211" t="s">
        <v>32</v>
      </c>
      <c r="H1211" t="s">
        <v>46</v>
      </c>
      <c r="I1211" t="s">
        <v>95</v>
      </c>
      <c r="J1211" t="s">
        <v>105</v>
      </c>
      <c r="K1211" s="2">
        <v>21113</v>
      </c>
      <c r="L1211" t="s">
        <v>36</v>
      </c>
      <c r="M1211" t="s">
        <v>37</v>
      </c>
      <c r="N1211" t="s">
        <v>60</v>
      </c>
      <c r="O1211" t="s">
        <v>77</v>
      </c>
      <c r="P1211" t="s">
        <v>40</v>
      </c>
      <c r="Q1211">
        <v>3</v>
      </c>
      <c r="R1211" s="2">
        <v>44826</v>
      </c>
      <c r="S1211">
        <v>4</v>
      </c>
      <c r="T1211">
        <v>2</v>
      </c>
      <c r="U1211">
        <v>2</v>
      </c>
      <c r="V1211" s="1">
        <v>45027</v>
      </c>
      <c r="W1211" t="s">
        <v>50</v>
      </c>
      <c r="X1211" t="s">
        <v>42</v>
      </c>
      <c r="Y1211" t="s">
        <v>43</v>
      </c>
      <c r="Z1211">
        <v>5</v>
      </c>
      <c r="AA1211">
        <v>733.63</v>
      </c>
      <c r="AB1211">
        <v>64</v>
      </c>
    </row>
    <row r="1212" spans="1:28" x14ac:dyDescent="0.2">
      <c r="A1212">
        <v>1725</v>
      </c>
      <c r="B1212" s="1">
        <v>44346</v>
      </c>
      <c r="C1212" t="s">
        <v>139</v>
      </c>
      <c r="D1212" t="s">
        <v>54</v>
      </c>
      <c r="E1212" t="s">
        <v>30</v>
      </c>
      <c r="F1212" t="s">
        <v>31</v>
      </c>
      <c r="G1212" t="s">
        <v>45</v>
      </c>
      <c r="H1212" t="s">
        <v>46</v>
      </c>
      <c r="I1212" t="s">
        <v>95</v>
      </c>
      <c r="J1212" t="s">
        <v>70</v>
      </c>
      <c r="K1212" s="2">
        <v>17439</v>
      </c>
      <c r="L1212" t="s">
        <v>36</v>
      </c>
      <c r="M1212" t="s">
        <v>48</v>
      </c>
      <c r="N1212" t="s">
        <v>72</v>
      </c>
      <c r="O1212" t="s">
        <v>77</v>
      </c>
      <c r="P1212" t="s">
        <v>40</v>
      </c>
      <c r="Q1212">
        <v>3</v>
      </c>
      <c r="R1212" s="2">
        <v>45025</v>
      </c>
      <c r="S1212">
        <v>2</v>
      </c>
      <c r="T1212">
        <v>4</v>
      </c>
      <c r="U1212">
        <v>5</v>
      </c>
      <c r="V1212" s="1">
        <v>44942</v>
      </c>
      <c r="W1212" t="s">
        <v>50</v>
      </c>
      <c r="X1212" t="s">
        <v>51</v>
      </c>
      <c r="Y1212" t="s">
        <v>63</v>
      </c>
      <c r="Z1212">
        <v>1</v>
      </c>
      <c r="AA1212">
        <v>743.28</v>
      </c>
      <c r="AB1212">
        <v>74</v>
      </c>
    </row>
    <row r="1213" spans="1:28" x14ac:dyDescent="0.2">
      <c r="A1213">
        <v>1726</v>
      </c>
      <c r="B1213" s="1">
        <v>43650</v>
      </c>
      <c r="C1213" t="s">
        <v>139</v>
      </c>
      <c r="D1213" t="s">
        <v>81</v>
      </c>
      <c r="E1213" t="s">
        <v>30</v>
      </c>
      <c r="F1213" t="s">
        <v>31</v>
      </c>
      <c r="G1213" t="s">
        <v>56</v>
      </c>
      <c r="H1213" t="s">
        <v>55</v>
      </c>
      <c r="I1213" t="s">
        <v>95</v>
      </c>
      <c r="J1213" t="s">
        <v>101</v>
      </c>
      <c r="K1213" s="2">
        <v>29607</v>
      </c>
      <c r="L1213" t="s">
        <v>36</v>
      </c>
      <c r="M1213" t="s">
        <v>48</v>
      </c>
      <c r="N1213" t="s">
        <v>84</v>
      </c>
      <c r="O1213" t="s">
        <v>61</v>
      </c>
      <c r="P1213" t="s">
        <v>40</v>
      </c>
      <c r="Q1213">
        <v>3</v>
      </c>
      <c r="R1213" s="2">
        <v>45091</v>
      </c>
      <c r="S1213">
        <v>3</v>
      </c>
      <c r="T1213">
        <v>5</v>
      </c>
      <c r="U1213">
        <v>3</v>
      </c>
      <c r="V1213" s="1">
        <v>44853</v>
      </c>
      <c r="W1213" t="s">
        <v>68</v>
      </c>
      <c r="X1213" t="s">
        <v>42</v>
      </c>
      <c r="Y1213" t="s">
        <v>63</v>
      </c>
      <c r="Z1213">
        <v>4</v>
      </c>
      <c r="AA1213">
        <v>435.18</v>
      </c>
      <c r="AB1213">
        <v>38</v>
      </c>
    </row>
    <row r="1214" spans="1:28" x14ac:dyDescent="0.2">
      <c r="A1214">
        <v>1727</v>
      </c>
      <c r="B1214" s="1">
        <v>43616</v>
      </c>
      <c r="C1214" t="s">
        <v>139</v>
      </c>
      <c r="D1214" t="s">
        <v>87</v>
      </c>
      <c r="E1214" t="s">
        <v>30</v>
      </c>
      <c r="F1214" t="s">
        <v>55</v>
      </c>
      <c r="G1214" t="s">
        <v>56</v>
      </c>
      <c r="H1214" t="s">
        <v>55</v>
      </c>
      <c r="I1214" t="s">
        <v>95</v>
      </c>
      <c r="J1214" t="s">
        <v>65</v>
      </c>
      <c r="K1214" s="2">
        <v>35111</v>
      </c>
      <c r="L1214" t="s">
        <v>36</v>
      </c>
      <c r="M1214" t="s">
        <v>48</v>
      </c>
      <c r="N1214" t="s">
        <v>49</v>
      </c>
      <c r="O1214" t="s">
        <v>39</v>
      </c>
      <c r="P1214" t="s">
        <v>40</v>
      </c>
      <c r="Q1214">
        <v>3</v>
      </c>
      <c r="R1214" s="2">
        <v>44917</v>
      </c>
      <c r="S1214">
        <v>4</v>
      </c>
      <c r="T1214">
        <v>2</v>
      </c>
      <c r="U1214">
        <v>4</v>
      </c>
      <c r="V1214" s="1">
        <v>44973</v>
      </c>
      <c r="W1214" t="s">
        <v>68</v>
      </c>
      <c r="X1214" t="s">
        <v>42</v>
      </c>
      <c r="Y1214" t="s">
        <v>43</v>
      </c>
      <c r="Z1214">
        <v>5</v>
      </c>
      <c r="AA1214">
        <v>252.22</v>
      </c>
      <c r="AB1214">
        <v>23</v>
      </c>
    </row>
    <row r="1215" spans="1:28" x14ac:dyDescent="0.2">
      <c r="A1215">
        <v>1728</v>
      </c>
      <c r="B1215" s="1">
        <v>43903</v>
      </c>
      <c r="C1215" t="s">
        <v>28</v>
      </c>
      <c r="D1215" t="s">
        <v>74</v>
      </c>
      <c r="E1215" t="s">
        <v>30</v>
      </c>
      <c r="F1215" t="s">
        <v>55</v>
      </c>
      <c r="G1215" t="s">
        <v>32</v>
      </c>
      <c r="H1215" t="s">
        <v>33</v>
      </c>
      <c r="I1215" t="s">
        <v>34</v>
      </c>
      <c r="J1215" t="s">
        <v>65</v>
      </c>
      <c r="K1215" s="2">
        <v>26309</v>
      </c>
      <c r="L1215" t="s">
        <v>36</v>
      </c>
      <c r="M1215" t="s">
        <v>48</v>
      </c>
      <c r="N1215" t="s">
        <v>38</v>
      </c>
      <c r="O1215" t="s">
        <v>77</v>
      </c>
      <c r="P1215" t="s">
        <v>40</v>
      </c>
      <c r="Q1215">
        <v>3</v>
      </c>
      <c r="R1215" s="2">
        <v>45139</v>
      </c>
      <c r="S1215">
        <v>1</v>
      </c>
      <c r="T1215">
        <v>4</v>
      </c>
      <c r="U1215">
        <v>2</v>
      </c>
      <c r="V1215" s="1">
        <v>44926</v>
      </c>
      <c r="W1215" t="s">
        <v>50</v>
      </c>
      <c r="X1215" t="s">
        <v>51</v>
      </c>
      <c r="Y1215" t="s">
        <v>63</v>
      </c>
      <c r="Z1215">
        <v>2</v>
      </c>
      <c r="AA1215">
        <v>103.07</v>
      </c>
      <c r="AB1215">
        <v>48</v>
      </c>
    </row>
    <row r="1216" spans="1:28" x14ac:dyDescent="0.2">
      <c r="A1216">
        <v>1729</v>
      </c>
      <c r="B1216" s="1">
        <v>43836</v>
      </c>
      <c r="C1216" t="s">
        <v>28</v>
      </c>
      <c r="D1216" t="s">
        <v>44</v>
      </c>
      <c r="E1216" t="s">
        <v>108</v>
      </c>
      <c r="F1216" t="s">
        <v>31</v>
      </c>
      <c r="G1216" t="s">
        <v>45</v>
      </c>
      <c r="H1216" t="s">
        <v>46</v>
      </c>
      <c r="I1216" t="s">
        <v>34</v>
      </c>
      <c r="J1216" t="s">
        <v>65</v>
      </c>
      <c r="K1216" s="2">
        <v>17166</v>
      </c>
      <c r="L1216" t="s">
        <v>36</v>
      </c>
      <c r="M1216" t="s">
        <v>37</v>
      </c>
      <c r="N1216" t="s">
        <v>60</v>
      </c>
      <c r="O1216" t="s">
        <v>77</v>
      </c>
      <c r="P1216" t="s">
        <v>40</v>
      </c>
      <c r="Q1216">
        <v>3</v>
      </c>
      <c r="R1216" s="2">
        <v>44972</v>
      </c>
      <c r="S1216">
        <v>1</v>
      </c>
      <c r="T1216">
        <v>1</v>
      </c>
      <c r="U1216">
        <v>2</v>
      </c>
      <c r="V1216" s="1">
        <v>45007</v>
      </c>
      <c r="W1216" t="s">
        <v>68</v>
      </c>
      <c r="X1216" t="s">
        <v>42</v>
      </c>
      <c r="Y1216" t="s">
        <v>52</v>
      </c>
      <c r="Z1216">
        <v>2</v>
      </c>
      <c r="AA1216">
        <v>386.87</v>
      </c>
      <c r="AB1216">
        <v>74</v>
      </c>
    </row>
    <row r="1217" spans="1:28" x14ac:dyDescent="0.2">
      <c r="A1217">
        <v>1730</v>
      </c>
      <c r="B1217" s="1">
        <v>45046</v>
      </c>
      <c r="C1217" t="s">
        <v>28</v>
      </c>
      <c r="D1217" t="s">
        <v>44</v>
      </c>
      <c r="E1217" t="s">
        <v>30</v>
      </c>
      <c r="F1217" t="s">
        <v>55</v>
      </c>
      <c r="G1217" t="s">
        <v>56</v>
      </c>
      <c r="H1217" t="s">
        <v>46</v>
      </c>
      <c r="I1217" t="s">
        <v>34</v>
      </c>
      <c r="J1217" t="s">
        <v>75</v>
      </c>
      <c r="K1217" s="2">
        <v>27921</v>
      </c>
      <c r="L1217" t="s">
        <v>36</v>
      </c>
      <c r="M1217" t="s">
        <v>37</v>
      </c>
      <c r="N1217" t="s">
        <v>38</v>
      </c>
      <c r="O1217" t="s">
        <v>77</v>
      </c>
      <c r="P1217" t="s">
        <v>40</v>
      </c>
      <c r="Q1217">
        <v>3</v>
      </c>
      <c r="R1217" s="2">
        <v>45110</v>
      </c>
      <c r="S1217">
        <v>2</v>
      </c>
      <c r="T1217">
        <v>4</v>
      </c>
      <c r="U1217">
        <v>4</v>
      </c>
      <c r="V1217" s="1">
        <v>45005</v>
      </c>
      <c r="W1217" t="s">
        <v>50</v>
      </c>
      <c r="X1217" t="s">
        <v>51</v>
      </c>
      <c r="Y1217" t="s">
        <v>52</v>
      </c>
      <c r="Z1217">
        <v>3</v>
      </c>
      <c r="AA1217">
        <v>718.21</v>
      </c>
      <c r="AB1217">
        <v>47</v>
      </c>
    </row>
    <row r="1218" spans="1:28" x14ac:dyDescent="0.2">
      <c r="A1218">
        <v>1731</v>
      </c>
      <c r="B1218" s="1">
        <v>44388</v>
      </c>
      <c r="C1218" t="s">
        <v>106</v>
      </c>
      <c r="D1218" t="s">
        <v>74</v>
      </c>
      <c r="E1218" t="s">
        <v>30</v>
      </c>
      <c r="F1218" t="s">
        <v>31</v>
      </c>
      <c r="G1218" t="s">
        <v>56</v>
      </c>
      <c r="H1218" t="s">
        <v>33</v>
      </c>
      <c r="I1218" t="s">
        <v>34</v>
      </c>
      <c r="J1218" t="s">
        <v>79</v>
      </c>
      <c r="K1218" s="2">
        <v>17248</v>
      </c>
      <c r="L1218" t="s">
        <v>36</v>
      </c>
      <c r="M1218" t="s">
        <v>48</v>
      </c>
      <c r="N1218" t="s">
        <v>72</v>
      </c>
      <c r="O1218" t="s">
        <v>77</v>
      </c>
      <c r="P1218" t="s">
        <v>40</v>
      </c>
      <c r="Q1218">
        <v>3</v>
      </c>
      <c r="R1218" s="2">
        <v>45100</v>
      </c>
      <c r="S1218">
        <v>1</v>
      </c>
      <c r="T1218">
        <v>4</v>
      </c>
      <c r="U1218">
        <v>1</v>
      </c>
      <c r="V1218" s="1">
        <v>44984</v>
      </c>
      <c r="W1218" t="s">
        <v>50</v>
      </c>
      <c r="X1218" t="s">
        <v>42</v>
      </c>
      <c r="Y1218" t="s">
        <v>43</v>
      </c>
      <c r="Z1218">
        <v>1</v>
      </c>
      <c r="AA1218">
        <v>578.80999999999995</v>
      </c>
      <c r="AB1218">
        <v>74</v>
      </c>
    </row>
    <row r="1219" spans="1:28" x14ac:dyDescent="0.2">
      <c r="A1219">
        <v>1732</v>
      </c>
      <c r="B1219" s="1">
        <v>44379</v>
      </c>
      <c r="C1219" t="s">
        <v>106</v>
      </c>
      <c r="D1219" t="s">
        <v>74</v>
      </c>
      <c r="E1219" t="s">
        <v>108</v>
      </c>
      <c r="F1219" t="s">
        <v>31</v>
      </c>
      <c r="G1219" t="s">
        <v>56</v>
      </c>
      <c r="H1219" t="s">
        <v>33</v>
      </c>
      <c r="I1219" t="s">
        <v>34</v>
      </c>
      <c r="J1219" t="s">
        <v>97</v>
      </c>
      <c r="K1219" s="2">
        <v>22384</v>
      </c>
      <c r="L1219" t="s">
        <v>36</v>
      </c>
      <c r="M1219" t="s">
        <v>37</v>
      </c>
      <c r="N1219" t="s">
        <v>49</v>
      </c>
      <c r="O1219" t="s">
        <v>39</v>
      </c>
      <c r="P1219" t="s">
        <v>40</v>
      </c>
      <c r="Q1219">
        <v>3</v>
      </c>
      <c r="R1219" s="2">
        <v>44858</v>
      </c>
      <c r="S1219">
        <v>1</v>
      </c>
      <c r="T1219">
        <v>5</v>
      </c>
      <c r="U1219">
        <v>4</v>
      </c>
      <c r="V1219" s="1">
        <v>45113</v>
      </c>
      <c r="W1219" t="s">
        <v>62</v>
      </c>
      <c r="X1219" t="s">
        <v>42</v>
      </c>
      <c r="Y1219" t="s">
        <v>63</v>
      </c>
      <c r="Z1219">
        <v>1</v>
      </c>
      <c r="AA1219">
        <v>562.05999999999995</v>
      </c>
      <c r="AB1219">
        <v>60</v>
      </c>
    </row>
    <row r="1220" spans="1:28" x14ac:dyDescent="0.2">
      <c r="A1220">
        <v>1733</v>
      </c>
      <c r="B1220" s="1">
        <v>43761</v>
      </c>
      <c r="C1220" t="s">
        <v>28</v>
      </c>
      <c r="D1220" t="s">
        <v>44</v>
      </c>
      <c r="E1220" t="s">
        <v>30</v>
      </c>
      <c r="F1220" t="s">
        <v>55</v>
      </c>
      <c r="G1220" t="s">
        <v>45</v>
      </c>
      <c r="H1220" t="s">
        <v>33</v>
      </c>
      <c r="I1220" t="s">
        <v>34</v>
      </c>
      <c r="J1220" t="s">
        <v>70</v>
      </c>
      <c r="K1220" s="2">
        <v>18309</v>
      </c>
      <c r="L1220" t="s">
        <v>36</v>
      </c>
      <c r="M1220" t="s">
        <v>37</v>
      </c>
      <c r="N1220" t="s">
        <v>72</v>
      </c>
      <c r="O1220" t="s">
        <v>67</v>
      </c>
      <c r="P1220" t="s">
        <v>40</v>
      </c>
      <c r="Q1220">
        <v>3</v>
      </c>
      <c r="R1220" s="2">
        <v>44860</v>
      </c>
      <c r="S1220">
        <v>4</v>
      </c>
      <c r="T1220">
        <v>5</v>
      </c>
      <c r="U1220">
        <v>3</v>
      </c>
      <c r="V1220" s="1">
        <v>44934</v>
      </c>
      <c r="W1220" t="s">
        <v>41</v>
      </c>
      <c r="X1220" t="s">
        <v>51</v>
      </c>
      <c r="Y1220" t="s">
        <v>52</v>
      </c>
      <c r="Z1220">
        <v>5</v>
      </c>
      <c r="AA1220">
        <v>845.86</v>
      </c>
      <c r="AB1220">
        <v>69</v>
      </c>
    </row>
    <row r="1221" spans="1:28" x14ac:dyDescent="0.2">
      <c r="A1221">
        <v>1734</v>
      </c>
      <c r="B1221" s="1">
        <v>43484</v>
      </c>
      <c r="C1221" t="s">
        <v>28</v>
      </c>
      <c r="D1221" t="s">
        <v>81</v>
      </c>
      <c r="E1221" t="s">
        <v>30</v>
      </c>
      <c r="F1221" t="s">
        <v>31</v>
      </c>
      <c r="G1221" t="s">
        <v>32</v>
      </c>
      <c r="H1221" t="s">
        <v>55</v>
      </c>
      <c r="I1221" t="s">
        <v>34</v>
      </c>
      <c r="J1221" t="s">
        <v>70</v>
      </c>
      <c r="K1221" s="2">
        <v>15514</v>
      </c>
      <c r="L1221" t="s">
        <v>36</v>
      </c>
      <c r="M1221" t="s">
        <v>48</v>
      </c>
      <c r="N1221" t="s">
        <v>38</v>
      </c>
      <c r="O1221" t="s">
        <v>39</v>
      </c>
      <c r="P1221" t="s">
        <v>40</v>
      </c>
      <c r="Q1221">
        <v>3</v>
      </c>
      <c r="R1221" s="2">
        <v>45020</v>
      </c>
      <c r="S1221">
        <v>4</v>
      </c>
      <c r="T1221">
        <v>1</v>
      </c>
      <c r="U1221">
        <v>4</v>
      </c>
      <c r="V1221" s="1">
        <v>44942</v>
      </c>
      <c r="W1221" t="s">
        <v>62</v>
      </c>
      <c r="X1221" t="s">
        <v>51</v>
      </c>
      <c r="Y1221" t="s">
        <v>63</v>
      </c>
      <c r="Z1221">
        <v>2</v>
      </c>
      <c r="AA1221">
        <v>391.39</v>
      </c>
      <c r="AB1221">
        <v>77</v>
      </c>
    </row>
    <row r="1222" spans="1:28" x14ac:dyDescent="0.2">
      <c r="A1222">
        <v>1735</v>
      </c>
      <c r="B1222" s="1">
        <v>44204</v>
      </c>
      <c r="C1222" t="s">
        <v>28</v>
      </c>
      <c r="D1222" t="s">
        <v>81</v>
      </c>
      <c r="E1222" t="s">
        <v>108</v>
      </c>
      <c r="F1222" t="s">
        <v>55</v>
      </c>
      <c r="G1222" t="s">
        <v>45</v>
      </c>
      <c r="H1222" t="s">
        <v>55</v>
      </c>
      <c r="I1222" t="s">
        <v>34</v>
      </c>
      <c r="J1222" t="s">
        <v>100</v>
      </c>
      <c r="K1222" s="2">
        <v>15439</v>
      </c>
      <c r="L1222" t="s">
        <v>36</v>
      </c>
      <c r="M1222" t="s">
        <v>37</v>
      </c>
      <c r="N1222" t="s">
        <v>38</v>
      </c>
      <c r="O1222" t="s">
        <v>77</v>
      </c>
      <c r="P1222" t="s">
        <v>40</v>
      </c>
      <c r="Q1222">
        <v>3</v>
      </c>
      <c r="R1222" s="2">
        <v>45056</v>
      </c>
      <c r="S1222">
        <v>4</v>
      </c>
      <c r="T1222">
        <v>4</v>
      </c>
      <c r="U1222">
        <v>5</v>
      </c>
      <c r="V1222" s="1">
        <v>45129</v>
      </c>
      <c r="W1222" t="s">
        <v>62</v>
      </c>
      <c r="X1222" t="s">
        <v>42</v>
      </c>
      <c r="Y1222" t="s">
        <v>73</v>
      </c>
      <c r="Z1222">
        <v>1</v>
      </c>
      <c r="AA1222">
        <v>203.04</v>
      </c>
      <c r="AB1222">
        <v>79</v>
      </c>
    </row>
    <row r="1223" spans="1:28" x14ac:dyDescent="0.2">
      <c r="A1223">
        <v>1736</v>
      </c>
      <c r="B1223" s="1">
        <v>43494</v>
      </c>
      <c r="C1223" t="s">
        <v>28</v>
      </c>
      <c r="D1223" t="s">
        <v>64</v>
      </c>
      <c r="E1223" t="s">
        <v>30</v>
      </c>
      <c r="F1223" t="s">
        <v>31</v>
      </c>
      <c r="G1223" t="s">
        <v>45</v>
      </c>
      <c r="H1223" t="s">
        <v>46</v>
      </c>
      <c r="I1223" t="s">
        <v>34</v>
      </c>
      <c r="J1223" t="s">
        <v>70</v>
      </c>
      <c r="K1223" s="2">
        <v>20326</v>
      </c>
      <c r="L1223" t="s">
        <v>36</v>
      </c>
      <c r="M1223" t="s">
        <v>48</v>
      </c>
      <c r="N1223" t="s">
        <v>60</v>
      </c>
      <c r="O1223" t="s">
        <v>67</v>
      </c>
      <c r="P1223" t="s">
        <v>40</v>
      </c>
      <c r="Q1223">
        <v>3</v>
      </c>
      <c r="R1223" s="2">
        <v>45037</v>
      </c>
      <c r="S1223">
        <v>3</v>
      </c>
      <c r="T1223">
        <v>1</v>
      </c>
      <c r="U1223">
        <v>3</v>
      </c>
      <c r="V1223" s="1">
        <v>44994</v>
      </c>
      <c r="W1223" t="s">
        <v>41</v>
      </c>
      <c r="X1223" t="s">
        <v>42</v>
      </c>
      <c r="Y1223" t="s">
        <v>52</v>
      </c>
      <c r="Z1223">
        <v>4</v>
      </c>
      <c r="AA1223">
        <v>717.29</v>
      </c>
      <c r="AB1223">
        <v>64</v>
      </c>
    </row>
    <row r="1224" spans="1:28" x14ac:dyDescent="0.2">
      <c r="A1224">
        <v>1737</v>
      </c>
      <c r="B1224" s="1">
        <v>43400</v>
      </c>
      <c r="C1224" t="s">
        <v>28</v>
      </c>
      <c r="D1224" t="s">
        <v>64</v>
      </c>
      <c r="E1224" t="s">
        <v>30</v>
      </c>
      <c r="F1224" t="s">
        <v>31</v>
      </c>
      <c r="G1224" t="s">
        <v>32</v>
      </c>
      <c r="H1224" t="s">
        <v>55</v>
      </c>
      <c r="I1224" t="s">
        <v>34</v>
      </c>
      <c r="J1224" t="s">
        <v>75</v>
      </c>
      <c r="K1224" s="2">
        <v>30373</v>
      </c>
      <c r="L1224" t="s">
        <v>36</v>
      </c>
      <c r="M1224" t="s">
        <v>37</v>
      </c>
      <c r="N1224" t="s">
        <v>49</v>
      </c>
      <c r="O1224" t="s">
        <v>39</v>
      </c>
      <c r="P1224" t="s">
        <v>40</v>
      </c>
      <c r="Q1224">
        <v>3</v>
      </c>
      <c r="R1224" s="2">
        <v>45015</v>
      </c>
      <c r="S1224">
        <v>4</v>
      </c>
      <c r="T1224">
        <v>5</v>
      </c>
      <c r="U1224">
        <v>2</v>
      </c>
      <c r="V1224" s="1">
        <v>44851</v>
      </c>
      <c r="W1224" t="s">
        <v>41</v>
      </c>
      <c r="X1224" t="s">
        <v>51</v>
      </c>
      <c r="Y1224" t="s">
        <v>52</v>
      </c>
      <c r="Z1224">
        <v>5</v>
      </c>
      <c r="AA1224">
        <v>719</v>
      </c>
      <c r="AB1224">
        <v>35</v>
      </c>
    </row>
    <row r="1225" spans="1:28" x14ac:dyDescent="0.2">
      <c r="A1225">
        <v>1738</v>
      </c>
      <c r="B1225" s="1">
        <v>45076</v>
      </c>
      <c r="C1225" t="s">
        <v>106</v>
      </c>
      <c r="D1225" t="s">
        <v>29</v>
      </c>
      <c r="E1225" t="s">
        <v>108</v>
      </c>
      <c r="F1225" t="s">
        <v>31</v>
      </c>
      <c r="G1225" t="s">
        <v>45</v>
      </c>
      <c r="H1225" t="s">
        <v>46</v>
      </c>
      <c r="I1225" t="s">
        <v>34</v>
      </c>
      <c r="J1225" t="s">
        <v>75</v>
      </c>
      <c r="K1225" s="2">
        <v>30637</v>
      </c>
      <c r="L1225" t="s">
        <v>36</v>
      </c>
      <c r="M1225" t="s">
        <v>48</v>
      </c>
      <c r="N1225" t="s">
        <v>38</v>
      </c>
      <c r="O1225" t="s">
        <v>61</v>
      </c>
      <c r="P1225" t="s">
        <v>40</v>
      </c>
      <c r="Q1225">
        <v>3</v>
      </c>
      <c r="R1225" s="2">
        <v>44878</v>
      </c>
      <c r="S1225">
        <v>4</v>
      </c>
      <c r="T1225">
        <v>1</v>
      </c>
      <c r="U1225">
        <v>2</v>
      </c>
      <c r="V1225" s="1">
        <v>44935</v>
      </c>
      <c r="W1225" t="s">
        <v>50</v>
      </c>
      <c r="X1225" t="s">
        <v>51</v>
      </c>
      <c r="Y1225" t="s">
        <v>52</v>
      </c>
      <c r="Z1225">
        <v>5</v>
      </c>
      <c r="AA1225">
        <v>802.66</v>
      </c>
      <c r="AB1225">
        <v>40</v>
      </c>
    </row>
    <row r="1226" spans="1:28" x14ac:dyDescent="0.2">
      <c r="A1226">
        <v>1739</v>
      </c>
      <c r="B1226" s="1">
        <v>43661</v>
      </c>
      <c r="C1226" t="s">
        <v>106</v>
      </c>
      <c r="D1226" t="s">
        <v>29</v>
      </c>
      <c r="E1226" t="s">
        <v>30</v>
      </c>
      <c r="F1226" t="s">
        <v>31</v>
      </c>
      <c r="G1226" t="s">
        <v>56</v>
      </c>
      <c r="H1226" t="s">
        <v>55</v>
      </c>
      <c r="I1226" t="s">
        <v>34</v>
      </c>
      <c r="J1226" t="s">
        <v>47</v>
      </c>
      <c r="K1226" s="2">
        <v>29962</v>
      </c>
      <c r="L1226" t="s">
        <v>36</v>
      </c>
      <c r="M1226" t="s">
        <v>37</v>
      </c>
      <c r="N1226" t="s">
        <v>49</v>
      </c>
      <c r="O1226" t="s">
        <v>67</v>
      </c>
      <c r="P1226" t="s">
        <v>40</v>
      </c>
      <c r="Q1226">
        <v>3</v>
      </c>
      <c r="R1226" s="2">
        <v>44844</v>
      </c>
      <c r="S1226">
        <v>2</v>
      </c>
      <c r="T1226">
        <v>5</v>
      </c>
      <c r="U1226">
        <v>1</v>
      </c>
      <c r="V1226" s="1">
        <v>45111</v>
      </c>
      <c r="W1226" t="s">
        <v>92</v>
      </c>
      <c r="X1226" t="s">
        <v>42</v>
      </c>
      <c r="Y1226" t="s">
        <v>52</v>
      </c>
      <c r="Z1226">
        <v>1</v>
      </c>
      <c r="AA1226">
        <v>388.07</v>
      </c>
      <c r="AB1226">
        <v>37</v>
      </c>
    </row>
    <row r="1227" spans="1:28" x14ac:dyDescent="0.2">
      <c r="A1227">
        <v>1740</v>
      </c>
      <c r="B1227" s="1">
        <v>43907</v>
      </c>
      <c r="C1227" t="s">
        <v>28</v>
      </c>
      <c r="D1227" t="s">
        <v>81</v>
      </c>
      <c r="E1227" t="s">
        <v>30</v>
      </c>
      <c r="F1227" t="s">
        <v>31</v>
      </c>
      <c r="G1227" t="s">
        <v>56</v>
      </c>
      <c r="H1227" t="s">
        <v>46</v>
      </c>
      <c r="I1227" t="s">
        <v>34</v>
      </c>
      <c r="J1227" t="s">
        <v>65</v>
      </c>
      <c r="K1227" s="2">
        <v>23104</v>
      </c>
      <c r="L1227" t="s">
        <v>36</v>
      </c>
      <c r="M1227" t="s">
        <v>37</v>
      </c>
      <c r="N1227" t="s">
        <v>60</v>
      </c>
      <c r="O1227" t="s">
        <v>67</v>
      </c>
      <c r="P1227" t="s">
        <v>40</v>
      </c>
      <c r="Q1227">
        <v>3</v>
      </c>
      <c r="R1227" s="2">
        <v>44824</v>
      </c>
      <c r="S1227">
        <v>5</v>
      </c>
      <c r="T1227">
        <v>4</v>
      </c>
      <c r="U1227">
        <v>4</v>
      </c>
      <c r="V1227" s="1">
        <v>44975</v>
      </c>
      <c r="W1227" t="s">
        <v>62</v>
      </c>
      <c r="X1227" t="s">
        <v>42</v>
      </c>
      <c r="Y1227" t="s">
        <v>63</v>
      </c>
      <c r="Z1227">
        <v>2</v>
      </c>
      <c r="AA1227">
        <v>350.26</v>
      </c>
      <c r="AB1227">
        <v>57</v>
      </c>
    </row>
    <row r="1228" spans="1:28" x14ac:dyDescent="0.2">
      <c r="A1228">
        <v>1741</v>
      </c>
      <c r="B1228" s="1">
        <v>44820</v>
      </c>
      <c r="C1228" t="s">
        <v>28</v>
      </c>
      <c r="D1228" t="s">
        <v>87</v>
      </c>
      <c r="E1228" t="s">
        <v>30</v>
      </c>
      <c r="F1228" t="s">
        <v>31</v>
      </c>
      <c r="G1228" t="s">
        <v>45</v>
      </c>
      <c r="H1228" t="s">
        <v>33</v>
      </c>
      <c r="I1228" t="s">
        <v>34</v>
      </c>
      <c r="J1228" t="s">
        <v>75</v>
      </c>
      <c r="K1228" s="2">
        <v>29597</v>
      </c>
      <c r="L1228" t="s">
        <v>36</v>
      </c>
      <c r="M1228" t="s">
        <v>37</v>
      </c>
      <c r="N1228" t="s">
        <v>84</v>
      </c>
      <c r="O1228" t="s">
        <v>61</v>
      </c>
      <c r="P1228" t="s">
        <v>40</v>
      </c>
      <c r="Q1228">
        <v>3</v>
      </c>
      <c r="R1228" s="2">
        <v>44795</v>
      </c>
      <c r="S1228">
        <v>3</v>
      </c>
      <c r="T1228">
        <v>4</v>
      </c>
      <c r="U1228">
        <v>2</v>
      </c>
      <c r="V1228" s="1">
        <v>44873</v>
      </c>
      <c r="W1228" t="s">
        <v>41</v>
      </c>
      <c r="X1228" t="s">
        <v>51</v>
      </c>
      <c r="Y1228" t="s">
        <v>63</v>
      </c>
      <c r="Z1228">
        <v>5</v>
      </c>
      <c r="AA1228">
        <v>625.76</v>
      </c>
      <c r="AB1228">
        <v>41</v>
      </c>
    </row>
    <row r="1229" spans="1:28" x14ac:dyDescent="0.2">
      <c r="A1229">
        <v>1742</v>
      </c>
      <c r="B1229" s="1">
        <v>44200</v>
      </c>
      <c r="C1229" t="s">
        <v>28</v>
      </c>
      <c r="D1229" t="s">
        <v>64</v>
      </c>
      <c r="E1229" t="s">
        <v>30</v>
      </c>
      <c r="F1229" t="s">
        <v>46</v>
      </c>
      <c r="G1229" t="s">
        <v>56</v>
      </c>
      <c r="H1229" t="s">
        <v>46</v>
      </c>
      <c r="I1229" t="s">
        <v>34</v>
      </c>
      <c r="J1229" t="s">
        <v>101</v>
      </c>
      <c r="K1229" s="2">
        <v>25994</v>
      </c>
      <c r="L1229" t="s">
        <v>36</v>
      </c>
      <c r="M1229" t="s">
        <v>37</v>
      </c>
      <c r="N1229" t="s">
        <v>84</v>
      </c>
      <c r="O1229" t="s">
        <v>77</v>
      </c>
      <c r="P1229" t="s">
        <v>40</v>
      </c>
      <c r="Q1229">
        <v>3</v>
      </c>
      <c r="R1229" s="2">
        <v>45066</v>
      </c>
      <c r="S1229">
        <v>5</v>
      </c>
      <c r="T1229">
        <v>5</v>
      </c>
      <c r="U1229">
        <v>3</v>
      </c>
      <c r="V1229" s="1">
        <v>45035</v>
      </c>
      <c r="W1229" t="s">
        <v>92</v>
      </c>
      <c r="X1229" t="s">
        <v>51</v>
      </c>
      <c r="Y1229" t="s">
        <v>52</v>
      </c>
      <c r="Z1229">
        <v>1</v>
      </c>
      <c r="AA1229">
        <v>206.72</v>
      </c>
      <c r="AB1229">
        <v>50</v>
      </c>
    </row>
    <row r="1230" spans="1:28" x14ac:dyDescent="0.2">
      <c r="A1230">
        <v>1743</v>
      </c>
      <c r="B1230" s="1">
        <v>43434</v>
      </c>
      <c r="C1230" t="s">
        <v>28</v>
      </c>
      <c r="D1230" t="s">
        <v>85</v>
      </c>
      <c r="E1230" t="s">
        <v>30</v>
      </c>
      <c r="F1230" t="s">
        <v>55</v>
      </c>
      <c r="G1230" t="s">
        <v>32</v>
      </c>
      <c r="H1230" t="s">
        <v>33</v>
      </c>
      <c r="I1230" t="s">
        <v>34</v>
      </c>
      <c r="J1230" t="s">
        <v>89</v>
      </c>
      <c r="K1230" s="2">
        <v>37045</v>
      </c>
      <c r="L1230" t="s">
        <v>36</v>
      </c>
      <c r="M1230" t="s">
        <v>48</v>
      </c>
      <c r="N1230" t="s">
        <v>72</v>
      </c>
      <c r="O1230" t="s">
        <v>61</v>
      </c>
      <c r="P1230" t="s">
        <v>40</v>
      </c>
      <c r="Q1230">
        <v>3</v>
      </c>
      <c r="R1230" s="2">
        <v>45036</v>
      </c>
      <c r="S1230">
        <v>4</v>
      </c>
      <c r="T1230">
        <v>1</v>
      </c>
      <c r="U1230">
        <v>5</v>
      </c>
      <c r="V1230" s="1">
        <v>45120</v>
      </c>
      <c r="W1230" t="s">
        <v>62</v>
      </c>
      <c r="X1230" t="s">
        <v>51</v>
      </c>
      <c r="Y1230" t="s">
        <v>73</v>
      </c>
      <c r="Z1230">
        <v>4</v>
      </c>
      <c r="AA1230">
        <v>954.37</v>
      </c>
      <c r="AB1230">
        <v>17</v>
      </c>
    </row>
    <row r="1231" spans="1:28" x14ac:dyDescent="0.2">
      <c r="A1231">
        <v>1744</v>
      </c>
      <c r="B1231" s="1">
        <v>44766</v>
      </c>
      <c r="C1231" t="s">
        <v>28</v>
      </c>
      <c r="D1231" t="s">
        <v>54</v>
      </c>
      <c r="E1231" t="s">
        <v>30</v>
      </c>
      <c r="F1231" t="s">
        <v>55</v>
      </c>
      <c r="G1231" t="s">
        <v>32</v>
      </c>
      <c r="H1231" t="s">
        <v>55</v>
      </c>
      <c r="I1231" t="s">
        <v>34</v>
      </c>
      <c r="J1231" t="s">
        <v>70</v>
      </c>
      <c r="K1231" s="2">
        <v>17292</v>
      </c>
      <c r="L1231" t="s">
        <v>36</v>
      </c>
      <c r="M1231" t="s">
        <v>37</v>
      </c>
      <c r="N1231" t="s">
        <v>49</v>
      </c>
      <c r="O1231" t="s">
        <v>67</v>
      </c>
      <c r="P1231" t="s">
        <v>40</v>
      </c>
      <c r="Q1231">
        <v>3</v>
      </c>
      <c r="R1231" s="2">
        <v>45048</v>
      </c>
      <c r="S1231">
        <v>2</v>
      </c>
      <c r="T1231">
        <v>1</v>
      </c>
      <c r="U1231">
        <v>4</v>
      </c>
      <c r="V1231" s="1">
        <v>44919</v>
      </c>
      <c r="W1231" t="s">
        <v>92</v>
      </c>
      <c r="X1231" t="s">
        <v>42</v>
      </c>
      <c r="Y1231" t="s">
        <v>43</v>
      </c>
      <c r="Z1231">
        <v>4</v>
      </c>
      <c r="AA1231">
        <v>728.77</v>
      </c>
      <c r="AB1231">
        <v>75</v>
      </c>
    </row>
    <row r="1232" spans="1:28" x14ac:dyDescent="0.2">
      <c r="A1232">
        <v>1745</v>
      </c>
      <c r="B1232" s="1">
        <v>44597</v>
      </c>
      <c r="C1232" t="s">
        <v>106</v>
      </c>
      <c r="D1232" t="s">
        <v>44</v>
      </c>
      <c r="E1232" t="s">
        <v>30</v>
      </c>
      <c r="F1232" t="s">
        <v>31</v>
      </c>
      <c r="G1232" t="s">
        <v>32</v>
      </c>
      <c r="H1232" t="s">
        <v>46</v>
      </c>
      <c r="I1232" t="s">
        <v>34</v>
      </c>
      <c r="J1232" t="s">
        <v>47</v>
      </c>
      <c r="K1232" s="2">
        <v>32777</v>
      </c>
      <c r="L1232" t="s">
        <v>36</v>
      </c>
      <c r="M1232" t="s">
        <v>37</v>
      </c>
      <c r="N1232" t="s">
        <v>60</v>
      </c>
      <c r="O1232" t="s">
        <v>39</v>
      </c>
      <c r="P1232" t="s">
        <v>40</v>
      </c>
      <c r="Q1232">
        <v>3</v>
      </c>
      <c r="R1232" s="2">
        <v>44879</v>
      </c>
      <c r="S1232">
        <v>4</v>
      </c>
      <c r="T1232">
        <v>4</v>
      </c>
      <c r="U1232">
        <v>3</v>
      </c>
      <c r="V1232" s="1">
        <v>44809</v>
      </c>
      <c r="W1232" t="s">
        <v>41</v>
      </c>
      <c r="X1232" t="s">
        <v>51</v>
      </c>
      <c r="Y1232" t="s">
        <v>63</v>
      </c>
      <c r="Z1232">
        <v>1</v>
      </c>
      <c r="AA1232">
        <v>996.01</v>
      </c>
      <c r="AB1232">
        <v>33</v>
      </c>
    </row>
    <row r="1233" spans="1:28" x14ac:dyDescent="0.2">
      <c r="A1233">
        <v>1746</v>
      </c>
      <c r="B1233" s="1">
        <v>43944</v>
      </c>
      <c r="C1233" t="s">
        <v>28</v>
      </c>
      <c r="D1233" t="s">
        <v>74</v>
      </c>
      <c r="E1233" t="s">
        <v>30</v>
      </c>
      <c r="F1233" t="s">
        <v>55</v>
      </c>
      <c r="G1233" t="s">
        <v>45</v>
      </c>
      <c r="H1233" t="s">
        <v>55</v>
      </c>
      <c r="I1233" t="s">
        <v>34</v>
      </c>
      <c r="J1233" t="s">
        <v>58</v>
      </c>
      <c r="K1233" s="2">
        <v>22742</v>
      </c>
      <c r="L1233" t="s">
        <v>36</v>
      </c>
      <c r="M1233" t="s">
        <v>48</v>
      </c>
      <c r="N1233" t="s">
        <v>49</v>
      </c>
      <c r="O1233" t="s">
        <v>39</v>
      </c>
      <c r="P1233" t="s">
        <v>40</v>
      </c>
      <c r="Q1233">
        <v>3</v>
      </c>
      <c r="R1233" s="2">
        <v>45097</v>
      </c>
      <c r="S1233">
        <v>4</v>
      </c>
      <c r="T1233">
        <v>3</v>
      </c>
      <c r="U1233">
        <v>4</v>
      </c>
      <c r="V1233" s="1">
        <v>44883</v>
      </c>
      <c r="W1233" t="s">
        <v>92</v>
      </c>
      <c r="X1233" t="s">
        <v>42</v>
      </c>
      <c r="Y1233" t="s">
        <v>52</v>
      </c>
      <c r="Z1233">
        <v>2</v>
      </c>
      <c r="AA1233">
        <v>787.19</v>
      </c>
      <c r="AB1233">
        <v>58</v>
      </c>
    </row>
    <row r="1234" spans="1:28" x14ac:dyDescent="0.2">
      <c r="A1234">
        <v>1748</v>
      </c>
      <c r="B1234" s="1">
        <v>44574</v>
      </c>
      <c r="C1234" t="s">
        <v>28</v>
      </c>
      <c r="D1234" t="s">
        <v>94</v>
      </c>
      <c r="E1234" t="s">
        <v>30</v>
      </c>
      <c r="F1234" t="s">
        <v>46</v>
      </c>
      <c r="G1234" t="s">
        <v>45</v>
      </c>
      <c r="H1234" t="s">
        <v>33</v>
      </c>
      <c r="I1234" t="s">
        <v>34</v>
      </c>
      <c r="J1234" t="s">
        <v>111</v>
      </c>
      <c r="K1234" s="2">
        <v>26673</v>
      </c>
      <c r="L1234" t="s">
        <v>36</v>
      </c>
      <c r="M1234" t="s">
        <v>37</v>
      </c>
      <c r="N1234" t="s">
        <v>38</v>
      </c>
      <c r="O1234" t="s">
        <v>39</v>
      </c>
      <c r="P1234" t="s">
        <v>40</v>
      </c>
      <c r="Q1234">
        <v>3</v>
      </c>
      <c r="R1234" s="2">
        <v>44969</v>
      </c>
      <c r="S1234">
        <v>3</v>
      </c>
      <c r="T1234">
        <v>2</v>
      </c>
      <c r="U1234">
        <v>4</v>
      </c>
      <c r="V1234" s="1">
        <v>45011</v>
      </c>
      <c r="W1234" t="s">
        <v>41</v>
      </c>
      <c r="X1234" t="s">
        <v>51</v>
      </c>
      <c r="Y1234" t="s">
        <v>43</v>
      </c>
      <c r="Z1234">
        <v>5</v>
      </c>
      <c r="AA1234">
        <v>433.03</v>
      </c>
      <c r="AB1234">
        <v>49</v>
      </c>
    </row>
    <row r="1235" spans="1:28" x14ac:dyDescent="0.2">
      <c r="A1235">
        <v>1749</v>
      </c>
      <c r="B1235" s="1">
        <v>44161</v>
      </c>
      <c r="C1235" t="s">
        <v>28</v>
      </c>
      <c r="D1235" t="s">
        <v>94</v>
      </c>
      <c r="E1235" t="s">
        <v>30</v>
      </c>
      <c r="F1235" t="s">
        <v>31</v>
      </c>
      <c r="G1235" t="s">
        <v>56</v>
      </c>
      <c r="H1235" t="s">
        <v>33</v>
      </c>
      <c r="I1235" t="s">
        <v>34</v>
      </c>
      <c r="J1235" t="s">
        <v>70</v>
      </c>
      <c r="K1235" s="2">
        <v>23410</v>
      </c>
      <c r="L1235" t="s">
        <v>36</v>
      </c>
      <c r="M1235" t="s">
        <v>37</v>
      </c>
      <c r="N1235" t="s">
        <v>49</v>
      </c>
      <c r="O1235" t="s">
        <v>77</v>
      </c>
      <c r="P1235" t="s">
        <v>40</v>
      </c>
      <c r="Q1235">
        <v>3</v>
      </c>
      <c r="R1235" s="2">
        <v>44778</v>
      </c>
      <c r="S1235">
        <v>1</v>
      </c>
      <c r="T1235">
        <v>4</v>
      </c>
      <c r="U1235">
        <v>5</v>
      </c>
      <c r="V1235" s="1">
        <v>45128</v>
      </c>
      <c r="W1235" t="s">
        <v>41</v>
      </c>
      <c r="X1235" t="s">
        <v>42</v>
      </c>
      <c r="Y1235" t="s">
        <v>52</v>
      </c>
      <c r="Z1235">
        <v>3</v>
      </c>
      <c r="AA1235">
        <v>148.69</v>
      </c>
      <c r="AB1235">
        <v>56</v>
      </c>
    </row>
    <row r="1236" spans="1:28" x14ac:dyDescent="0.2">
      <c r="A1236">
        <v>1750</v>
      </c>
      <c r="B1236" s="1">
        <v>43441</v>
      </c>
      <c r="C1236" t="s">
        <v>28</v>
      </c>
      <c r="D1236" t="s">
        <v>74</v>
      </c>
      <c r="E1236" t="s">
        <v>30</v>
      </c>
      <c r="F1236" t="s">
        <v>55</v>
      </c>
      <c r="G1236" t="s">
        <v>32</v>
      </c>
      <c r="H1236" t="s">
        <v>55</v>
      </c>
      <c r="I1236" t="s">
        <v>34</v>
      </c>
      <c r="J1236" t="s">
        <v>70</v>
      </c>
      <c r="K1236" s="2">
        <v>28226</v>
      </c>
      <c r="L1236" t="s">
        <v>36</v>
      </c>
      <c r="M1236" t="s">
        <v>37</v>
      </c>
      <c r="N1236" t="s">
        <v>60</v>
      </c>
      <c r="O1236" t="s">
        <v>39</v>
      </c>
      <c r="P1236" t="s">
        <v>40</v>
      </c>
      <c r="Q1236">
        <v>3</v>
      </c>
      <c r="R1236" s="2">
        <v>44878</v>
      </c>
      <c r="S1236">
        <v>1</v>
      </c>
      <c r="T1236">
        <v>2</v>
      </c>
      <c r="U1236">
        <v>5</v>
      </c>
      <c r="V1236" s="1">
        <v>44793</v>
      </c>
      <c r="W1236" t="s">
        <v>62</v>
      </c>
      <c r="X1236" t="s">
        <v>42</v>
      </c>
      <c r="Y1236" t="s">
        <v>52</v>
      </c>
      <c r="Z1236">
        <v>1</v>
      </c>
      <c r="AA1236">
        <v>523.44000000000005</v>
      </c>
      <c r="AB1236">
        <v>41</v>
      </c>
    </row>
    <row r="1237" spans="1:28" x14ac:dyDescent="0.2">
      <c r="A1237">
        <v>1751</v>
      </c>
      <c r="B1237" s="1">
        <v>45035</v>
      </c>
      <c r="C1237" t="s">
        <v>28</v>
      </c>
      <c r="D1237" t="s">
        <v>81</v>
      </c>
      <c r="E1237" t="s">
        <v>30</v>
      </c>
      <c r="F1237" t="s">
        <v>31</v>
      </c>
      <c r="G1237" t="s">
        <v>32</v>
      </c>
      <c r="H1237" t="s">
        <v>33</v>
      </c>
      <c r="I1237" t="s">
        <v>34</v>
      </c>
      <c r="J1237" t="s">
        <v>65</v>
      </c>
      <c r="K1237" s="2">
        <v>37040</v>
      </c>
      <c r="L1237" t="s">
        <v>36</v>
      </c>
      <c r="M1237" t="s">
        <v>37</v>
      </c>
      <c r="N1237" t="s">
        <v>49</v>
      </c>
      <c r="O1237" t="s">
        <v>39</v>
      </c>
      <c r="P1237" t="s">
        <v>40</v>
      </c>
      <c r="Q1237">
        <v>3</v>
      </c>
      <c r="R1237" s="2">
        <v>44797</v>
      </c>
      <c r="S1237">
        <v>4</v>
      </c>
      <c r="T1237">
        <v>4</v>
      </c>
      <c r="U1237">
        <v>1</v>
      </c>
      <c r="V1237" s="1">
        <v>44905</v>
      </c>
      <c r="W1237" t="s">
        <v>62</v>
      </c>
      <c r="X1237" t="s">
        <v>51</v>
      </c>
      <c r="Y1237" t="s">
        <v>52</v>
      </c>
      <c r="Z1237">
        <v>5</v>
      </c>
      <c r="AA1237">
        <v>719.54</v>
      </c>
      <c r="AB1237">
        <v>22</v>
      </c>
    </row>
    <row r="1238" spans="1:28" x14ac:dyDescent="0.2">
      <c r="A1238">
        <v>1752</v>
      </c>
      <c r="B1238" s="1">
        <v>44625</v>
      </c>
      <c r="C1238" t="s">
        <v>28</v>
      </c>
      <c r="D1238" t="s">
        <v>54</v>
      </c>
      <c r="E1238" t="s">
        <v>30</v>
      </c>
      <c r="F1238" t="s">
        <v>46</v>
      </c>
      <c r="G1238" t="s">
        <v>56</v>
      </c>
      <c r="H1238" t="s">
        <v>33</v>
      </c>
      <c r="I1238" t="s">
        <v>34</v>
      </c>
      <c r="J1238" t="s">
        <v>65</v>
      </c>
      <c r="K1238" s="2">
        <v>30259</v>
      </c>
      <c r="L1238" t="s">
        <v>36</v>
      </c>
      <c r="M1238" t="s">
        <v>48</v>
      </c>
      <c r="N1238" t="s">
        <v>38</v>
      </c>
      <c r="O1238" t="s">
        <v>61</v>
      </c>
      <c r="P1238" t="s">
        <v>40</v>
      </c>
      <c r="Q1238">
        <v>3</v>
      </c>
      <c r="R1238" s="2">
        <v>44906</v>
      </c>
      <c r="S1238">
        <v>2</v>
      </c>
      <c r="T1238">
        <v>1</v>
      </c>
      <c r="U1238">
        <v>2</v>
      </c>
      <c r="V1238" s="1">
        <v>44843</v>
      </c>
      <c r="W1238" t="s">
        <v>41</v>
      </c>
      <c r="X1238" t="s">
        <v>51</v>
      </c>
      <c r="Y1238" t="s">
        <v>52</v>
      </c>
      <c r="Z1238">
        <v>3</v>
      </c>
      <c r="AA1238">
        <v>560.54999999999995</v>
      </c>
      <c r="AB1238">
        <v>40</v>
      </c>
    </row>
    <row r="1239" spans="1:28" x14ac:dyDescent="0.2">
      <c r="A1239">
        <v>1753</v>
      </c>
      <c r="B1239" s="1">
        <v>43636</v>
      </c>
      <c r="C1239" t="s">
        <v>28</v>
      </c>
      <c r="D1239" t="s">
        <v>69</v>
      </c>
      <c r="E1239" t="s">
        <v>30</v>
      </c>
      <c r="F1239" t="s">
        <v>31</v>
      </c>
      <c r="G1239" t="s">
        <v>32</v>
      </c>
      <c r="H1239" t="s">
        <v>55</v>
      </c>
      <c r="I1239" t="s">
        <v>34</v>
      </c>
      <c r="J1239" t="s">
        <v>70</v>
      </c>
      <c r="K1239" s="2">
        <v>15772</v>
      </c>
      <c r="L1239" t="s">
        <v>36</v>
      </c>
      <c r="M1239" t="s">
        <v>48</v>
      </c>
      <c r="N1239" t="s">
        <v>72</v>
      </c>
      <c r="O1239" t="s">
        <v>77</v>
      </c>
      <c r="P1239" t="s">
        <v>40</v>
      </c>
      <c r="Q1239">
        <v>3</v>
      </c>
      <c r="R1239" s="2">
        <v>45076</v>
      </c>
      <c r="S1239">
        <v>5</v>
      </c>
      <c r="T1239">
        <v>3</v>
      </c>
      <c r="U1239">
        <v>3</v>
      </c>
      <c r="V1239" s="1">
        <v>45003</v>
      </c>
      <c r="W1239" t="s">
        <v>50</v>
      </c>
      <c r="X1239" t="s">
        <v>42</v>
      </c>
      <c r="Y1239" t="s">
        <v>63</v>
      </c>
      <c r="Z1239">
        <v>1</v>
      </c>
      <c r="AA1239">
        <v>711.71</v>
      </c>
      <c r="AB1239">
        <v>76</v>
      </c>
    </row>
    <row r="1240" spans="1:28" x14ac:dyDescent="0.2">
      <c r="A1240">
        <v>1754</v>
      </c>
      <c r="B1240" s="1">
        <v>44817</v>
      </c>
      <c r="C1240" t="s">
        <v>28</v>
      </c>
      <c r="D1240" t="s">
        <v>29</v>
      </c>
      <c r="E1240" t="s">
        <v>30</v>
      </c>
      <c r="F1240" t="s">
        <v>46</v>
      </c>
      <c r="G1240" t="s">
        <v>32</v>
      </c>
      <c r="H1240" t="s">
        <v>33</v>
      </c>
      <c r="I1240" t="s">
        <v>34</v>
      </c>
      <c r="J1240" t="s">
        <v>96</v>
      </c>
      <c r="K1240" s="2">
        <v>33560</v>
      </c>
      <c r="L1240" t="s">
        <v>36</v>
      </c>
      <c r="M1240" t="s">
        <v>48</v>
      </c>
      <c r="N1240" t="s">
        <v>84</v>
      </c>
      <c r="O1240" t="s">
        <v>61</v>
      </c>
      <c r="P1240" t="s">
        <v>40</v>
      </c>
      <c r="Q1240">
        <v>3</v>
      </c>
      <c r="R1240" s="2">
        <v>44924</v>
      </c>
      <c r="S1240">
        <v>5</v>
      </c>
      <c r="T1240">
        <v>5</v>
      </c>
      <c r="U1240">
        <v>1</v>
      </c>
      <c r="V1240" s="1">
        <v>44956</v>
      </c>
      <c r="W1240" t="s">
        <v>62</v>
      </c>
      <c r="X1240" t="s">
        <v>51</v>
      </c>
      <c r="Y1240" t="s">
        <v>43</v>
      </c>
      <c r="Z1240">
        <v>1</v>
      </c>
      <c r="AA1240">
        <v>980.65</v>
      </c>
      <c r="AB1240">
        <v>31</v>
      </c>
    </row>
    <row r="1241" spans="1:28" x14ac:dyDescent="0.2">
      <c r="A1241">
        <v>1755</v>
      </c>
      <c r="B1241" s="1">
        <v>43467</v>
      </c>
      <c r="C1241" t="s">
        <v>28</v>
      </c>
      <c r="D1241" t="s">
        <v>85</v>
      </c>
      <c r="E1241" t="s">
        <v>30</v>
      </c>
      <c r="F1241" t="s">
        <v>46</v>
      </c>
      <c r="G1241" t="s">
        <v>56</v>
      </c>
      <c r="H1241" t="s">
        <v>55</v>
      </c>
      <c r="I1241" t="s">
        <v>34</v>
      </c>
      <c r="J1241" t="s">
        <v>65</v>
      </c>
      <c r="K1241" s="2">
        <v>34612</v>
      </c>
      <c r="L1241" t="s">
        <v>36</v>
      </c>
      <c r="M1241" t="s">
        <v>48</v>
      </c>
      <c r="N1241" t="s">
        <v>60</v>
      </c>
      <c r="O1241" t="s">
        <v>39</v>
      </c>
      <c r="P1241" t="s">
        <v>40</v>
      </c>
      <c r="Q1241">
        <v>3</v>
      </c>
      <c r="R1241" s="2">
        <v>44851</v>
      </c>
      <c r="S1241">
        <v>4</v>
      </c>
      <c r="T1241">
        <v>1</v>
      </c>
      <c r="U1241">
        <v>1</v>
      </c>
      <c r="V1241" s="1">
        <v>44887</v>
      </c>
      <c r="W1241" t="s">
        <v>92</v>
      </c>
      <c r="X1241" t="s">
        <v>51</v>
      </c>
      <c r="Y1241" t="s">
        <v>52</v>
      </c>
      <c r="Z1241">
        <v>2</v>
      </c>
      <c r="AA1241">
        <v>367.76</v>
      </c>
      <c r="AB1241">
        <v>25</v>
      </c>
    </row>
    <row r="1242" spans="1:28" x14ac:dyDescent="0.2">
      <c r="A1242">
        <v>1756</v>
      </c>
      <c r="B1242" s="1">
        <v>44718</v>
      </c>
      <c r="C1242" t="s">
        <v>28</v>
      </c>
      <c r="D1242" t="s">
        <v>44</v>
      </c>
      <c r="E1242" t="s">
        <v>30</v>
      </c>
      <c r="F1242" t="s">
        <v>46</v>
      </c>
      <c r="G1242" t="s">
        <v>45</v>
      </c>
      <c r="H1242" t="s">
        <v>46</v>
      </c>
      <c r="I1242" t="s">
        <v>34</v>
      </c>
      <c r="J1242" t="s">
        <v>89</v>
      </c>
      <c r="K1242" s="2">
        <v>22365</v>
      </c>
      <c r="L1242" t="s">
        <v>36</v>
      </c>
      <c r="M1242" t="s">
        <v>48</v>
      </c>
      <c r="N1242" t="s">
        <v>72</v>
      </c>
      <c r="O1242" t="s">
        <v>39</v>
      </c>
      <c r="P1242" t="s">
        <v>40</v>
      </c>
      <c r="Q1242">
        <v>3</v>
      </c>
      <c r="R1242" s="2">
        <v>45104</v>
      </c>
      <c r="S1242">
        <v>2</v>
      </c>
      <c r="T1242">
        <v>4</v>
      </c>
      <c r="U1242">
        <v>4</v>
      </c>
      <c r="V1242" s="1">
        <v>45038</v>
      </c>
      <c r="W1242" t="s">
        <v>92</v>
      </c>
      <c r="X1242" t="s">
        <v>42</v>
      </c>
      <c r="Y1242" t="s">
        <v>43</v>
      </c>
      <c r="Z1242">
        <v>1</v>
      </c>
      <c r="AA1242">
        <v>849.36</v>
      </c>
      <c r="AB1242">
        <v>61</v>
      </c>
    </row>
    <row r="1243" spans="1:28" x14ac:dyDescent="0.2">
      <c r="A1243">
        <v>1757</v>
      </c>
      <c r="B1243" s="1">
        <v>43839</v>
      </c>
      <c r="C1243" t="s">
        <v>28</v>
      </c>
      <c r="D1243" t="s">
        <v>87</v>
      </c>
      <c r="E1243" t="s">
        <v>30</v>
      </c>
      <c r="F1243" t="s">
        <v>55</v>
      </c>
      <c r="G1243" t="s">
        <v>45</v>
      </c>
      <c r="H1243" t="s">
        <v>33</v>
      </c>
      <c r="I1243" t="s">
        <v>34</v>
      </c>
      <c r="J1243" t="s">
        <v>35</v>
      </c>
      <c r="K1243" s="2">
        <v>31079</v>
      </c>
      <c r="L1243" t="s">
        <v>36</v>
      </c>
      <c r="M1243" t="s">
        <v>37</v>
      </c>
      <c r="N1243" t="s">
        <v>38</v>
      </c>
      <c r="O1243" t="s">
        <v>39</v>
      </c>
      <c r="P1243" t="s">
        <v>40</v>
      </c>
      <c r="Q1243">
        <v>3</v>
      </c>
      <c r="R1243" s="2">
        <v>44791</v>
      </c>
      <c r="S1243">
        <v>5</v>
      </c>
      <c r="T1243">
        <v>4</v>
      </c>
      <c r="U1243">
        <v>5</v>
      </c>
      <c r="V1243" s="1">
        <v>44926</v>
      </c>
      <c r="W1243" t="s">
        <v>68</v>
      </c>
      <c r="X1243" t="s">
        <v>42</v>
      </c>
      <c r="Y1243" t="s">
        <v>52</v>
      </c>
      <c r="Z1243">
        <v>5</v>
      </c>
      <c r="AA1243">
        <v>305.05</v>
      </c>
      <c r="AB1243">
        <v>35</v>
      </c>
    </row>
    <row r="1244" spans="1:28" x14ac:dyDescent="0.2">
      <c r="A1244">
        <v>1758</v>
      </c>
      <c r="B1244" s="1">
        <v>43468</v>
      </c>
      <c r="C1244" t="s">
        <v>28</v>
      </c>
      <c r="D1244" t="s">
        <v>64</v>
      </c>
      <c r="E1244" t="s">
        <v>30</v>
      </c>
      <c r="F1244" t="s">
        <v>46</v>
      </c>
      <c r="G1244" t="s">
        <v>56</v>
      </c>
      <c r="H1244" t="s">
        <v>46</v>
      </c>
      <c r="I1244" t="s">
        <v>34</v>
      </c>
      <c r="J1244" t="s">
        <v>89</v>
      </c>
      <c r="K1244" s="2">
        <v>21327</v>
      </c>
      <c r="L1244" t="s">
        <v>36</v>
      </c>
      <c r="M1244" t="s">
        <v>48</v>
      </c>
      <c r="N1244" t="s">
        <v>38</v>
      </c>
      <c r="O1244" t="s">
        <v>61</v>
      </c>
      <c r="P1244" t="s">
        <v>40</v>
      </c>
      <c r="Q1244">
        <v>3</v>
      </c>
      <c r="R1244" s="2">
        <v>44791</v>
      </c>
      <c r="S1244">
        <v>5</v>
      </c>
      <c r="T1244">
        <v>3</v>
      </c>
      <c r="U1244">
        <v>5</v>
      </c>
      <c r="V1244" s="1">
        <v>45060</v>
      </c>
      <c r="W1244" t="s">
        <v>50</v>
      </c>
      <c r="X1244" t="s">
        <v>42</v>
      </c>
      <c r="Y1244" t="s">
        <v>63</v>
      </c>
      <c r="Z1244">
        <v>5</v>
      </c>
      <c r="AA1244">
        <v>296.24</v>
      </c>
      <c r="AB1244">
        <v>61</v>
      </c>
    </row>
    <row r="1245" spans="1:28" x14ac:dyDescent="0.2">
      <c r="A1245">
        <v>1759</v>
      </c>
      <c r="B1245" s="1">
        <v>44219</v>
      </c>
      <c r="C1245" t="s">
        <v>28</v>
      </c>
      <c r="D1245" t="s">
        <v>94</v>
      </c>
      <c r="E1245" t="s">
        <v>30</v>
      </c>
      <c r="F1245" t="s">
        <v>31</v>
      </c>
      <c r="G1245" t="s">
        <v>56</v>
      </c>
      <c r="H1245" t="s">
        <v>46</v>
      </c>
      <c r="I1245" t="s">
        <v>34</v>
      </c>
      <c r="J1245" t="s">
        <v>65</v>
      </c>
      <c r="K1245" s="2">
        <v>17512</v>
      </c>
      <c r="L1245" t="s">
        <v>36</v>
      </c>
      <c r="M1245" t="s">
        <v>48</v>
      </c>
      <c r="N1245" t="s">
        <v>38</v>
      </c>
      <c r="O1245" t="s">
        <v>67</v>
      </c>
      <c r="P1245" t="s">
        <v>40</v>
      </c>
      <c r="Q1245">
        <v>3</v>
      </c>
      <c r="R1245" s="2">
        <v>44820</v>
      </c>
      <c r="S1245">
        <v>5</v>
      </c>
      <c r="T1245">
        <v>2</v>
      </c>
      <c r="U1245">
        <v>4</v>
      </c>
      <c r="V1245" s="1">
        <v>44855</v>
      </c>
      <c r="W1245" t="s">
        <v>62</v>
      </c>
      <c r="X1245" t="s">
        <v>42</v>
      </c>
      <c r="Y1245" t="s">
        <v>63</v>
      </c>
      <c r="Z1245">
        <v>4</v>
      </c>
      <c r="AA1245">
        <v>220.06</v>
      </c>
      <c r="AB1245">
        <v>74</v>
      </c>
    </row>
    <row r="1246" spans="1:28" x14ac:dyDescent="0.2">
      <c r="A1246">
        <v>1760</v>
      </c>
      <c r="B1246" s="1">
        <v>43869</v>
      </c>
      <c r="C1246" t="s">
        <v>28</v>
      </c>
      <c r="D1246" t="s">
        <v>74</v>
      </c>
      <c r="E1246" t="s">
        <v>30</v>
      </c>
      <c r="F1246" t="s">
        <v>46</v>
      </c>
      <c r="G1246" t="s">
        <v>32</v>
      </c>
      <c r="H1246" t="s">
        <v>46</v>
      </c>
      <c r="I1246" t="s">
        <v>34</v>
      </c>
      <c r="J1246" t="s">
        <v>65</v>
      </c>
      <c r="K1246" s="2">
        <v>34201</v>
      </c>
      <c r="L1246" t="s">
        <v>36</v>
      </c>
      <c r="M1246" t="s">
        <v>48</v>
      </c>
      <c r="N1246" t="s">
        <v>49</v>
      </c>
      <c r="O1246" t="s">
        <v>61</v>
      </c>
      <c r="P1246" t="s">
        <v>40</v>
      </c>
      <c r="Q1246">
        <v>3</v>
      </c>
      <c r="R1246" s="2">
        <v>45001</v>
      </c>
      <c r="S1246">
        <v>5</v>
      </c>
      <c r="T1246">
        <v>3</v>
      </c>
      <c r="U1246">
        <v>2</v>
      </c>
      <c r="V1246" s="1">
        <v>44946</v>
      </c>
      <c r="W1246" t="s">
        <v>68</v>
      </c>
      <c r="X1246" t="s">
        <v>51</v>
      </c>
      <c r="Y1246" t="s">
        <v>73</v>
      </c>
      <c r="Z1246">
        <v>3</v>
      </c>
      <c r="AA1246">
        <v>378.51</v>
      </c>
      <c r="AB1246">
        <v>27</v>
      </c>
    </row>
    <row r="1247" spans="1:28" x14ac:dyDescent="0.2">
      <c r="A1247">
        <v>1761</v>
      </c>
      <c r="B1247" s="1">
        <v>44498</v>
      </c>
      <c r="C1247" t="s">
        <v>28</v>
      </c>
      <c r="D1247" t="s">
        <v>81</v>
      </c>
      <c r="E1247" t="s">
        <v>108</v>
      </c>
      <c r="F1247" t="s">
        <v>31</v>
      </c>
      <c r="G1247" t="s">
        <v>32</v>
      </c>
      <c r="H1247" t="s">
        <v>33</v>
      </c>
      <c r="I1247" t="s">
        <v>34</v>
      </c>
      <c r="J1247" t="s">
        <v>70</v>
      </c>
      <c r="K1247" s="2">
        <v>22417</v>
      </c>
      <c r="L1247" t="s">
        <v>36</v>
      </c>
      <c r="M1247" t="s">
        <v>37</v>
      </c>
      <c r="N1247" t="s">
        <v>60</v>
      </c>
      <c r="O1247" t="s">
        <v>67</v>
      </c>
      <c r="P1247" t="s">
        <v>40</v>
      </c>
      <c r="Q1247">
        <v>3</v>
      </c>
      <c r="R1247" s="2">
        <v>44977</v>
      </c>
      <c r="S1247">
        <v>3</v>
      </c>
      <c r="T1247">
        <v>2</v>
      </c>
      <c r="U1247">
        <v>1</v>
      </c>
      <c r="V1247" s="1">
        <v>44872</v>
      </c>
      <c r="W1247" t="s">
        <v>68</v>
      </c>
      <c r="X1247" t="s">
        <v>51</v>
      </c>
      <c r="Y1247" t="s">
        <v>63</v>
      </c>
      <c r="Z1247">
        <v>4</v>
      </c>
      <c r="AA1247">
        <v>905.6</v>
      </c>
      <c r="AB1247">
        <v>60</v>
      </c>
    </row>
    <row r="1248" spans="1:28" x14ac:dyDescent="0.2">
      <c r="A1248">
        <v>1762</v>
      </c>
      <c r="B1248" s="1">
        <v>45111</v>
      </c>
      <c r="C1248" t="s">
        <v>28</v>
      </c>
      <c r="D1248" t="s">
        <v>54</v>
      </c>
      <c r="E1248" t="s">
        <v>108</v>
      </c>
      <c r="F1248" t="s">
        <v>31</v>
      </c>
      <c r="G1248" t="s">
        <v>56</v>
      </c>
      <c r="H1248" t="s">
        <v>46</v>
      </c>
      <c r="I1248" t="s">
        <v>34</v>
      </c>
      <c r="J1248" t="s">
        <v>103</v>
      </c>
      <c r="K1248" s="2">
        <v>36941</v>
      </c>
      <c r="L1248" t="s">
        <v>36</v>
      </c>
      <c r="M1248" t="s">
        <v>37</v>
      </c>
      <c r="N1248" t="s">
        <v>38</v>
      </c>
      <c r="O1248" t="s">
        <v>77</v>
      </c>
      <c r="P1248" t="s">
        <v>40</v>
      </c>
      <c r="Q1248">
        <v>3</v>
      </c>
      <c r="R1248" s="2">
        <v>45004</v>
      </c>
      <c r="S1248">
        <v>3</v>
      </c>
      <c r="T1248">
        <v>3</v>
      </c>
      <c r="U1248">
        <v>5</v>
      </c>
      <c r="V1248" s="1">
        <v>44806</v>
      </c>
      <c r="W1248" t="s">
        <v>50</v>
      </c>
      <c r="X1248" t="s">
        <v>51</v>
      </c>
      <c r="Y1248" t="s">
        <v>52</v>
      </c>
      <c r="Z1248">
        <v>3</v>
      </c>
      <c r="AA1248">
        <v>669.57</v>
      </c>
      <c r="AB1248">
        <v>22</v>
      </c>
    </row>
    <row r="1249" spans="1:28" x14ac:dyDescent="0.2">
      <c r="A1249">
        <v>1763</v>
      </c>
      <c r="B1249" s="1">
        <v>45022</v>
      </c>
      <c r="C1249" t="s">
        <v>28</v>
      </c>
      <c r="D1249" t="s">
        <v>69</v>
      </c>
      <c r="E1249" t="s">
        <v>30</v>
      </c>
      <c r="F1249" t="s">
        <v>46</v>
      </c>
      <c r="G1249" t="s">
        <v>56</v>
      </c>
      <c r="H1249" t="s">
        <v>55</v>
      </c>
      <c r="I1249" t="s">
        <v>34</v>
      </c>
      <c r="J1249" t="s">
        <v>79</v>
      </c>
      <c r="K1249" s="2">
        <v>18276</v>
      </c>
      <c r="L1249" t="s">
        <v>36</v>
      </c>
      <c r="M1249" t="s">
        <v>37</v>
      </c>
      <c r="N1249" t="s">
        <v>84</v>
      </c>
      <c r="O1249" t="s">
        <v>39</v>
      </c>
      <c r="P1249" t="s">
        <v>40</v>
      </c>
      <c r="Q1249">
        <v>3</v>
      </c>
      <c r="R1249" s="2">
        <v>44791</v>
      </c>
      <c r="S1249">
        <v>4</v>
      </c>
      <c r="T1249">
        <v>2</v>
      </c>
      <c r="U1249">
        <v>4</v>
      </c>
      <c r="V1249" s="1">
        <v>44987</v>
      </c>
      <c r="W1249" t="s">
        <v>41</v>
      </c>
      <c r="X1249" t="s">
        <v>51</v>
      </c>
      <c r="Y1249" t="s">
        <v>63</v>
      </c>
      <c r="Z1249">
        <v>2</v>
      </c>
      <c r="AA1249">
        <v>723.9</v>
      </c>
      <c r="AB1249">
        <v>73</v>
      </c>
    </row>
    <row r="1250" spans="1:28" x14ac:dyDescent="0.2">
      <c r="A1250">
        <v>1764</v>
      </c>
      <c r="B1250" s="1">
        <v>44943</v>
      </c>
      <c r="C1250" t="s">
        <v>28</v>
      </c>
      <c r="D1250" t="s">
        <v>29</v>
      </c>
      <c r="E1250" t="s">
        <v>30</v>
      </c>
      <c r="F1250" t="s">
        <v>55</v>
      </c>
      <c r="G1250" t="s">
        <v>45</v>
      </c>
      <c r="H1250" t="s">
        <v>33</v>
      </c>
      <c r="I1250" t="s">
        <v>34</v>
      </c>
      <c r="J1250" t="s">
        <v>79</v>
      </c>
      <c r="K1250" s="2">
        <v>17900</v>
      </c>
      <c r="L1250" t="s">
        <v>36</v>
      </c>
      <c r="M1250" t="s">
        <v>37</v>
      </c>
      <c r="N1250" t="s">
        <v>72</v>
      </c>
      <c r="O1250" t="s">
        <v>67</v>
      </c>
      <c r="P1250" t="s">
        <v>40</v>
      </c>
      <c r="Q1250">
        <v>3</v>
      </c>
      <c r="R1250" s="2">
        <v>44998</v>
      </c>
      <c r="S1250">
        <v>2</v>
      </c>
      <c r="T1250">
        <v>3</v>
      </c>
      <c r="U1250">
        <v>5</v>
      </c>
      <c r="V1250" s="1">
        <v>45053</v>
      </c>
      <c r="W1250" t="s">
        <v>92</v>
      </c>
      <c r="X1250" t="s">
        <v>42</v>
      </c>
      <c r="Y1250" t="s">
        <v>73</v>
      </c>
      <c r="Z1250">
        <v>1</v>
      </c>
      <c r="AA1250">
        <v>834.44</v>
      </c>
      <c r="AB1250">
        <v>74</v>
      </c>
    </row>
    <row r="1251" spans="1:28" x14ac:dyDescent="0.2">
      <c r="A1251">
        <v>1765</v>
      </c>
      <c r="B1251" s="1">
        <v>43755</v>
      </c>
      <c r="C1251" t="s">
        <v>106</v>
      </c>
      <c r="D1251" t="s">
        <v>69</v>
      </c>
      <c r="E1251" t="s">
        <v>30</v>
      </c>
      <c r="F1251" t="s">
        <v>31</v>
      </c>
      <c r="G1251" t="s">
        <v>32</v>
      </c>
      <c r="H1251" t="s">
        <v>46</v>
      </c>
      <c r="I1251" t="s">
        <v>34</v>
      </c>
      <c r="J1251" t="s">
        <v>96</v>
      </c>
      <c r="K1251" s="2">
        <v>33488</v>
      </c>
      <c r="L1251" t="s">
        <v>36</v>
      </c>
      <c r="M1251" t="s">
        <v>37</v>
      </c>
      <c r="N1251" t="s">
        <v>84</v>
      </c>
      <c r="O1251" t="s">
        <v>77</v>
      </c>
      <c r="P1251" t="s">
        <v>40</v>
      </c>
      <c r="Q1251">
        <v>3</v>
      </c>
      <c r="R1251" s="2">
        <v>44919</v>
      </c>
      <c r="S1251">
        <v>5</v>
      </c>
      <c r="T1251">
        <v>5</v>
      </c>
      <c r="U1251">
        <v>2</v>
      </c>
      <c r="V1251" s="1">
        <v>45142</v>
      </c>
      <c r="W1251" t="s">
        <v>41</v>
      </c>
      <c r="X1251" t="s">
        <v>51</v>
      </c>
      <c r="Y1251" t="s">
        <v>52</v>
      </c>
      <c r="Z1251">
        <v>1</v>
      </c>
      <c r="AA1251">
        <v>393.88</v>
      </c>
      <c r="AB1251">
        <v>28</v>
      </c>
    </row>
    <row r="1252" spans="1:28" x14ac:dyDescent="0.2">
      <c r="A1252">
        <v>1766</v>
      </c>
      <c r="B1252" s="1">
        <v>43638</v>
      </c>
      <c r="C1252" t="s">
        <v>28</v>
      </c>
      <c r="D1252" t="s">
        <v>94</v>
      </c>
      <c r="E1252" t="s">
        <v>30</v>
      </c>
      <c r="F1252" t="s">
        <v>31</v>
      </c>
      <c r="G1252" t="s">
        <v>56</v>
      </c>
      <c r="H1252" t="s">
        <v>33</v>
      </c>
      <c r="I1252" t="s">
        <v>34</v>
      </c>
      <c r="J1252" t="s">
        <v>70</v>
      </c>
      <c r="K1252" s="2">
        <v>21016</v>
      </c>
      <c r="L1252" t="s">
        <v>36</v>
      </c>
      <c r="M1252" t="s">
        <v>37</v>
      </c>
      <c r="N1252" t="s">
        <v>84</v>
      </c>
      <c r="O1252" t="s">
        <v>67</v>
      </c>
      <c r="P1252" t="s">
        <v>40</v>
      </c>
      <c r="Q1252">
        <v>3</v>
      </c>
      <c r="R1252" s="2">
        <v>45069</v>
      </c>
      <c r="S1252">
        <v>1</v>
      </c>
      <c r="T1252">
        <v>5</v>
      </c>
      <c r="U1252">
        <v>2</v>
      </c>
      <c r="V1252" s="1">
        <v>45114</v>
      </c>
      <c r="W1252" t="s">
        <v>50</v>
      </c>
      <c r="X1252" t="s">
        <v>51</v>
      </c>
      <c r="Y1252" t="s">
        <v>52</v>
      </c>
      <c r="Z1252">
        <v>3</v>
      </c>
      <c r="AA1252">
        <v>637.61</v>
      </c>
      <c r="AB1252">
        <v>62</v>
      </c>
    </row>
    <row r="1253" spans="1:28" x14ac:dyDescent="0.2">
      <c r="A1253">
        <v>1767</v>
      </c>
      <c r="B1253" s="1">
        <v>44967</v>
      </c>
      <c r="C1253" t="s">
        <v>28</v>
      </c>
      <c r="D1253" t="s">
        <v>74</v>
      </c>
      <c r="E1253" t="s">
        <v>30</v>
      </c>
      <c r="F1253" t="s">
        <v>31</v>
      </c>
      <c r="G1253" t="s">
        <v>45</v>
      </c>
      <c r="H1253" t="s">
        <v>55</v>
      </c>
      <c r="I1253" t="s">
        <v>34</v>
      </c>
      <c r="J1253" t="s">
        <v>65</v>
      </c>
      <c r="K1253" s="2">
        <v>35064</v>
      </c>
      <c r="L1253" t="s">
        <v>36</v>
      </c>
      <c r="M1253" t="s">
        <v>37</v>
      </c>
      <c r="N1253" t="s">
        <v>38</v>
      </c>
      <c r="O1253" t="s">
        <v>77</v>
      </c>
      <c r="P1253" t="s">
        <v>40</v>
      </c>
      <c r="Q1253">
        <v>3</v>
      </c>
      <c r="R1253" s="2">
        <v>44782</v>
      </c>
      <c r="S1253">
        <v>4</v>
      </c>
      <c r="T1253">
        <v>1</v>
      </c>
      <c r="U1253">
        <v>1</v>
      </c>
      <c r="V1253" s="1">
        <v>44859</v>
      </c>
      <c r="W1253" t="s">
        <v>62</v>
      </c>
      <c r="X1253" t="s">
        <v>51</v>
      </c>
      <c r="Y1253" t="s">
        <v>73</v>
      </c>
      <c r="Z1253">
        <v>3</v>
      </c>
      <c r="AA1253">
        <v>902.11</v>
      </c>
      <c r="AB1253">
        <v>28</v>
      </c>
    </row>
    <row r="1254" spans="1:28" x14ac:dyDescent="0.2">
      <c r="A1254">
        <v>1768</v>
      </c>
      <c r="B1254" s="1">
        <v>44847</v>
      </c>
      <c r="C1254" t="s">
        <v>28</v>
      </c>
      <c r="D1254" t="s">
        <v>81</v>
      </c>
      <c r="E1254" t="s">
        <v>30</v>
      </c>
      <c r="F1254" t="s">
        <v>31</v>
      </c>
      <c r="G1254" t="s">
        <v>32</v>
      </c>
      <c r="H1254" t="s">
        <v>33</v>
      </c>
      <c r="I1254" t="s">
        <v>34</v>
      </c>
      <c r="J1254" t="s">
        <v>47</v>
      </c>
      <c r="K1254" s="2">
        <v>28182</v>
      </c>
      <c r="L1254" t="s">
        <v>36</v>
      </c>
      <c r="M1254" t="s">
        <v>37</v>
      </c>
      <c r="N1254" t="s">
        <v>72</v>
      </c>
      <c r="O1254" t="s">
        <v>67</v>
      </c>
      <c r="P1254" t="s">
        <v>40</v>
      </c>
      <c r="Q1254">
        <v>3</v>
      </c>
      <c r="R1254" s="2">
        <v>44968</v>
      </c>
      <c r="S1254">
        <v>3</v>
      </c>
      <c r="T1254">
        <v>3</v>
      </c>
      <c r="U1254">
        <v>3</v>
      </c>
      <c r="V1254" s="1">
        <v>44834</v>
      </c>
      <c r="W1254" t="s">
        <v>41</v>
      </c>
      <c r="X1254" t="s">
        <v>51</v>
      </c>
      <c r="Y1254" t="s">
        <v>73</v>
      </c>
      <c r="Z1254">
        <v>1</v>
      </c>
      <c r="AA1254">
        <v>999.79</v>
      </c>
      <c r="AB1254">
        <v>45</v>
      </c>
    </row>
    <row r="1255" spans="1:28" x14ac:dyDescent="0.2">
      <c r="A1255">
        <v>1769</v>
      </c>
      <c r="B1255" s="1">
        <v>44992</v>
      </c>
      <c r="C1255" t="s">
        <v>28</v>
      </c>
      <c r="D1255" t="s">
        <v>54</v>
      </c>
      <c r="E1255" t="s">
        <v>30</v>
      </c>
      <c r="F1255" t="s">
        <v>31</v>
      </c>
      <c r="G1255" t="s">
        <v>56</v>
      </c>
      <c r="H1255" t="s">
        <v>33</v>
      </c>
      <c r="I1255" t="s">
        <v>34</v>
      </c>
      <c r="J1255" t="s">
        <v>79</v>
      </c>
      <c r="K1255" s="2">
        <v>27148</v>
      </c>
      <c r="L1255" t="s">
        <v>36</v>
      </c>
      <c r="M1255" t="s">
        <v>48</v>
      </c>
      <c r="N1255" t="s">
        <v>49</v>
      </c>
      <c r="O1255" t="s">
        <v>39</v>
      </c>
      <c r="P1255" t="s">
        <v>40</v>
      </c>
      <c r="Q1255">
        <v>3</v>
      </c>
      <c r="R1255" s="2">
        <v>44967</v>
      </c>
      <c r="S1255">
        <v>4</v>
      </c>
      <c r="T1255">
        <v>3</v>
      </c>
      <c r="U1255">
        <v>5</v>
      </c>
      <c r="V1255" s="1">
        <v>45012</v>
      </c>
      <c r="W1255" t="s">
        <v>41</v>
      </c>
      <c r="X1255" t="s">
        <v>42</v>
      </c>
      <c r="Y1255" t="s">
        <v>73</v>
      </c>
      <c r="Z1255">
        <v>1</v>
      </c>
      <c r="AA1255">
        <v>976.58</v>
      </c>
      <c r="AB1255">
        <v>49</v>
      </c>
    </row>
    <row r="1256" spans="1:28" x14ac:dyDescent="0.2">
      <c r="A1256">
        <v>1770</v>
      </c>
      <c r="B1256" s="1">
        <v>43355</v>
      </c>
      <c r="C1256" t="s">
        <v>28</v>
      </c>
      <c r="D1256" t="s">
        <v>69</v>
      </c>
      <c r="E1256" t="s">
        <v>30</v>
      </c>
      <c r="F1256" t="s">
        <v>46</v>
      </c>
      <c r="G1256" t="s">
        <v>45</v>
      </c>
      <c r="H1256" t="s">
        <v>55</v>
      </c>
      <c r="I1256" t="s">
        <v>34</v>
      </c>
      <c r="J1256" t="s">
        <v>58</v>
      </c>
      <c r="K1256" s="2">
        <v>25997</v>
      </c>
      <c r="L1256" t="s">
        <v>36</v>
      </c>
      <c r="M1256" t="s">
        <v>48</v>
      </c>
      <c r="N1256" t="s">
        <v>49</v>
      </c>
      <c r="O1256" t="s">
        <v>61</v>
      </c>
      <c r="P1256" t="s">
        <v>40</v>
      </c>
      <c r="Q1256">
        <v>3</v>
      </c>
      <c r="R1256" s="2">
        <v>44981</v>
      </c>
      <c r="S1256">
        <v>1</v>
      </c>
      <c r="T1256">
        <v>3</v>
      </c>
      <c r="U1256">
        <v>5</v>
      </c>
      <c r="V1256" s="1">
        <v>44808</v>
      </c>
      <c r="W1256" t="s">
        <v>50</v>
      </c>
      <c r="X1256" t="s">
        <v>51</v>
      </c>
      <c r="Y1256" t="s">
        <v>52</v>
      </c>
      <c r="Z1256">
        <v>2</v>
      </c>
      <c r="AA1256">
        <v>257.2</v>
      </c>
      <c r="AB1256">
        <v>47</v>
      </c>
    </row>
    <row r="1257" spans="1:28" x14ac:dyDescent="0.2">
      <c r="A1257">
        <v>1771</v>
      </c>
      <c r="B1257" s="1">
        <v>44009</v>
      </c>
      <c r="C1257" t="s">
        <v>28</v>
      </c>
      <c r="D1257" t="s">
        <v>29</v>
      </c>
      <c r="E1257" t="s">
        <v>30</v>
      </c>
      <c r="F1257" t="s">
        <v>46</v>
      </c>
      <c r="G1257" t="s">
        <v>32</v>
      </c>
      <c r="H1257" t="s">
        <v>46</v>
      </c>
      <c r="I1257" t="s">
        <v>34</v>
      </c>
      <c r="J1257" t="s">
        <v>100</v>
      </c>
      <c r="K1257" s="2">
        <v>18502</v>
      </c>
      <c r="L1257" t="s">
        <v>36</v>
      </c>
      <c r="M1257" t="s">
        <v>48</v>
      </c>
      <c r="N1257" t="s">
        <v>49</v>
      </c>
      <c r="O1257" t="s">
        <v>39</v>
      </c>
      <c r="P1257" t="s">
        <v>40</v>
      </c>
      <c r="Q1257">
        <v>3</v>
      </c>
      <c r="R1257" s="2">
        <v>45080</v>
      </c>
      <c r="S1257">
        <v>3</v>
      </c>
      <c r="T1257">
        <v>2</v>
      </c>
      <c r="U1257">
        <v>1</v>
      </c>
      <c r="V1257" s="1">
        <v>44984</v>
      </c>
      <c r="W1257" t="s">
        <v>68</v>
      </c>
      <c r="X1257" t="s">
        <v>51</v>
      </c>
      <c r="Y1257" t="s">
        <v>52</v>
      </c>
      <c r="Z1257">
        <v>2</v>
      </c>
      <c r="AA1257">
        <v>991.1</v>
      </c>
      <c r="AB1257">
        <v>70</v>
      </c>
    </row>
    <row r="1258" spans="1:28" x14ac:dyDescent="0.2">
      <c r="A1258">
        <v>1772</v>
      </c>
      <c r="B1258" s="1">
        <v>43462</v>
      </c>
      <c r="C1258" t="s">
        <v>28</v>
      </c>
      <c r="D1258" t="s">
        <v>85</v>
      </c>
      <c r="E1258" t="s">
        <v>30</v>
      </c>
      <c r="F1258" t="s">
        <v>31</v>
      </c>
      <c r="G1258" t="s">
        <v>45</v>
      </c>
      <c r="H1258" t="s">
        <v>46</v>
      </c>
      <c r="I1258" t="s">
        <v>34</v>
      </c>
      <c r="J1258" t="s">
        <v>65</v>
      </c>
      <c r="K1258" s="2">
        <v>19903</v>
      </c>
      <c r="L1258" t="s">
        <v>36</v>
      </c>
      <c r="M1258" t="s">
        <v>48</v>
      </c>
      <c r="N1258" t="s">
        <v>84</v>
      </c>
      <c r="O1258" t="s">
        <v>39</v>
      </c>
      <c r="P1258" t="s">
        <v>40</v>
      </c>
      <c r="Q1258">
        <v>3</v>
      </c>
      <c r="R1258" s="2">
        <v>44927</v>
      </c>
      <c r="S1258">
        <v>3</v>
      </c>
      <c r="T1258">
        <v>4</v>
      </c>
      <c r="U1258">
        <v>5</v>
      </c>
      <c r="V1258" s="1">
        <v>44793</v>
      </c>
      <c r="W1258" t="s">
        <v>68</v>
      </c>
      <c r="X1258" t="s">
        <v>51</v>
      </c>
      <c r="Y1258" t="s">
        <v>73</v>
      </c>
      <c r="Z1258">
        <v>2</v>
      </c>
      <c r="AA1258">
        <v>205.64</v>
      </c>
      <c r="AB1258">
        <v>64</v>
      </c>
    </row>
    <row r="1259" spans="1:28" x14ac:dyDescent="0.2">
      <c r="A1259">
        <v>1773</v>
      </c>
      <c r="B1259" s="1">
        <v>44216</v>
      </c>
      <c r="C1259" t="s">
        <v>28</v>
      </c>
      <c r="D1259" t="s">
        <v>44</v>
      </c>
      <c r="E1259" t="s">
        <v>30</v>
      </c>
      <c r="F1259" t="s">
        <v>46</v>
      </c>
      <c r="G1259" t="s">
        <v>56</v>
      </c>
      <c r="H1259" t="s">
        <v>33</v>
      </c>
      <c r="I1259" t="s">
        <v>34</v>
      </c>
      <c r="J1259" t="s">
        <v>75</v>
      </c>
      <c r="K1259" s="2">
        <v>15422</v>
      </c>
      <c r="L1259" t="s">
        <v>36</v>
      </c>
      <c r="M1259" t="s">
        <v>48</v>
      </c>
      <c r="N1259" t="s">
        <v>72</v>
      </c>
      <c r="O1259" t="s">
        <v>67</v>
      </c>
      <c r="P1259" t="s">
        <v>40</v>
      </c>
      <c r="Q1259">
        <v>3</v>
      </c>
      <c r="R1259" s="2">
        <v>44885</v>
      </c>
      <c r="S1259">
        <v>5</v>
      </c>
      <c r="T1259">
        <v>5</v>
      </c>
      <c r="U1259">
        <v>2</v>
      </c>
      <c r="V1259" s="1">
        <v>44925</v>
      </c>
      <c r="W1259" t="s">
        <v>41</v>
      </c>
      <c r="X1259" t="s">
        <v>42</v>
      </c>
      <c r="Y1259" t="s">
        <v>73</v>
      </c>
      <c r="Z1259">
        <v>2</v>
      </c>
      <c r="AA1259">
        <v>817.45</v>
      </c>
      <c r="AB1259">
        <v>79</v>
      </c>
    </row>
    <row r="1260" spans="1:28" x14ac:dyDescent="0.2">
      <c r="A1260">
        <v>1774</v>
      </c>
      <c r="B1260" s="1">
        <v>43722</v>
      </c>
      <c r="C1260" t="s">
        <v>28</v>
      </c>
      <c r="D1260" t="s">
        <v>87</v>
      </c>
      <c r="E1260" t="s">
        <v>30</v>
      </c>
      <c r="F1260" t="s">
        <v>55</v>
      </c>
      <c r="G1260" t="s">
        <v>56</v>
      </c>
      <c r="H1260" t="s">
        <v>46</v>
      </c>
      <c r="I1260" t="s">
        <v>34</v>
      </c>
      <c r="J1260" t="s">
        <v>70</v>
      </c>
      <c r="K1260" s="2">
        <v>32775</v>
      </c>
      <c r="L1260" t="s">
        <v>36</v>
      </c>
      <c r="M1260" t="s">
        <v>37</v>
      </c>
      <c r="N1260" t="s">
        <v>84</v>
      </c>
      <c r="O1260" t="s">
        <v>39</v>
      </c>
      <c r="P1260" t="s">
        <v>40</v>
      </c>
      <c r="Q1260">
        <v>3</v>
      </c>
      <c r="R1260" s="2">
        <v>44904</v>
      </c>
      <c r="S1260">
        <v>1</v>
      </c>
      <c r="T1260">
        <v>1</v>
      </c>
      <c r="U1260">
        <v>2</v>
      </c>
      <c r="V1260" s="1">
        <v>45085</v>
      </c>
      <c r="W1260" t="s">
        <v>50</v>
      </c>
      <c r="X1260" t="s">
        <v>51</v>
      </c>
      <c r="Y1260" t="s">
        <v>43</v>
      </c>
      <c r="Z1260">
        <v>5</v>
      </c>
      <c r="AA1260">
        <v>643.22</v>
      </c>
      <c r="AB1260">
        <v>30</v>
      </c>
    </row>
    <row r="1261" spans="1:28" x14ac:dyDescent="0.2">
      <c r="A1261">
        <v>1775</v>
      </c>
      <c r="B1261" s="1">
        <v>43379</v>
      </c>
      <c r="C1261" t="s">
        <v>28</v>
      </c>
      <c r="D1261" t="s">
        <v>64</v>
      </c>
      <c r="E1261" t="s">
        <v>30</v>
      </c>
      <c r="F1261" t="s">
        <v>31</v>
      </c>
      <c r="G1261" t="s">
        <v>45</v>
      </c>
      <c r="H1261" t="s">
        <v>55</v>
      </c>
      <c r="I1261" t="s">
        <v>34</v>
      </c>
      <c r="J1261" t="s">
        <v>79</v>
      </c>
      <c r="K1261" s="2">
        <v>35561</v>
      </c>
      <c r="L1261" t="s">
        <v>36</v>
      </c>
      <c r="M1261" t="s">
        <v>48</v>
      </c>
      <c r="N1261" t="s">
        <v>72</v>
      </c>
      <c r="O1261" t="s">
        <v>61</v>
      </c>
      <c r="P1261" t="s">
        <v>40</v>
      </c>
      <c r="Q1261">
        <v>3</v>
      </c>
      <c r="R1261" s="2">
        <v>45056</v>
      </c>
      <c r="S1261">
        <v>4</v>
      </c>
      <c r="T1261">
        <v>2</v>
      </c>
      <c r="U1261">
        <v>3</v>
      </c>
      <c r="V1261" s="1">
        <v>45054</v>
      </c>
      <c r="W1261" t="s">
        <v>62</v>
      </c>
      <c r="X1261" t="s">
        <v>42</v>
      </c>
      <c r="Y1261" t="s">
        <v>43</v>
      </c>
      <c r="Z1261">
        <v>4</v>
      </c>
      <c r="AA1261">
        <v>795.28</v>
      </c>
      <c r="AB1261">
        <v>21</v>
      </c>
    </row>
    <row r="1262" spans="1:28" x14ac:dyDescent="0.2">
      <c r="A1262">
        <v>1776</v>
      </c>
      <c r="B1262" s="1">
        <v>44411</v>
      </c>
      <c r="C1262" t="s">
        <v>28</v>
      </c>
      <c r="D1262" t="s">
        <v>94</v>
      </c>
      <c r="E1262" t="s">
        <v>30</v>
      </c>
      <c r="F1262" t="s">
        <v>55</v>
      </c>
      <c r="G1262" t="s">
        <v>32</v>
      </c>
      <c r="H1262" t="s">
        <v>33</v>
      </c>
      <c r="I1262" t="s">
        <v>34</v>
      </c>
      <c r="J1262" t="s">
        <v>96</v>
      </c>
      <c r="K1262" s="2">
        <v>20159</v>
      </c>
      <c r="L1262" t="s">
        <v>36</v>
      </c>
      <c r="M1262" t="s">
        <v>48</v>
      </c>
      <c r="N1262" t="s">
        <v>84</v>
      </c>
      <c r="O1262" t="s">
        <v>77</v>
      </c>
      <c r="P1262" t="s">
        <v>40</v>
      </c>
      <c r="Q1262">
        <v>3</v>
      </c>
      <c r="R1262" s="2">
        <v>44942</v>
      </c>
      <c r="S1262">
        <v>3</v>
      </c>
      <c r="T1262">
        <v>2</v>
      </c>
      <c r="U1262">
        <v>3</v>
      </c>
      <c r="V1262" s="1">
        <v>44811</v>
      </c>
      <c r="W1262" t="s">
        <v>62</v>
      </c>
      <c r="X1262" t="s">
        <v>42</v>
      </c>
      <c r="Y1262" t="s">
        <v>43</v>
      </c>
      <c r="Z1262">
        <v>2</v>
      </c>
      <c r="AA1262">
        <v>521.69000000000005</v>
      </c>
      <c r="AB1262">
        <v>66</v>
      </c>
    </row>
    <row r="1263" spans="1:28" x14ac:dyDescent="0.2">
      <c r="A1263">
        <v>1777</v>
      </c>
      <c r="B1263" s="1">
        <v>43651</v>
      </c>
      <c r="C1263" t="s">
        <v>28</v>
      </c>
      <c r="D1263" t="s">
        <v>74</v>
      </c>
      <c r="E1263" t="s">
        <v>30</v>
      </c>
      <c r="F1263" t="s">
        <v>55</v>
      </c>
      <c r="G1263" t="s">
        <v>56</v>
      </c>
      <c r="H1263" t="s">
        <v>33</v>
      </c>
      <c r="I1263" t="s">
        <v>34</v>
      </c>
      <c r="J1263" t="s">
        <v>89</v>
      </c>
      <c r="K1263" s="2">
        <v>22761</v>
      </c>
      <c r="L1263" t="s">
        <v>36</v>
      </c>
      <c r="M1263" t="s">
        <v>37</v>
      </c>
      <c r="N1263" t="s">
        <v>49</v>
      </c>
      <c r="O1263" t="s">
        <v>61</v>
      </c>
      <c r="P1263" t="s">
        <v>40</v>
      </c>
      <c r="Q1263">
        <v>3</v>
      </c>
      <c r="R1263" s="2">
        <v>44959</v>
      </c>
      <c r="S1263">
        <v>1</v>
      </c>
      <c r="T1263">
        <v>3</v>
      </c>
      <c r="U1263">
        <v>1</v>
      </c>
      <c r="V1263" s="1">
        <v>45040</v>
      </c>
      <c r="W1263" t="s">
        <v>50</v>
      </c>
      <c r="X1263" t="s">
        <v>51</v>
      </c>
      <c r="Y1263" t="s">
        <v>52</v>
      </c>
      <c r="Z1263">
        <v>3</v>
      </c>
      <c r="AA1263">
        <v>157.78</v>
      </c>
      <c r="AB1263">
        <v>57</v>
      </c>
    </row>
    <row r="1264" spans="1:28" x14ac:dyDescent="0.2">
      <c r="A1264">
        <v>1778</v>
      </c>
      <c r="B1264" s="1">
        <v>43580</v>
      </c>
      <c r="C1264" t="s">
        <v>28</v>
      </c>
      <c r="D1264" t="s">
        <v>81</v>
      </c>
      <c r="E1264" t="s">
        <v>30</v>
      </c>
      <c r="F1264" t="s">
        <v>55</v>
      </c>
      <c r="G1264" t="s">
        <v>56</v>
      </c>
      <c r="H1264" t="s">
        <v>55</v>
      </c>
      <c r="I1264" t="s">
        <v>34</v>
      </c>
      <c r="J1264" t="s">
        <v>65</v>
      </c>
      <c r="K1264" s="2">
        <v>18036</v>
      </c>
      <c r="L1264" t="s">
        <v>36</v>
      </c>
      <c r="M1264" t="s">
        <v>37</v>
      </c>
      <c r="N1264" t="s">
        <v>60</v>
      </c>
      <c r="O1264" t="s">
        <v>39</v>
      </c>
      <c r="P1264" t="s">
        <v>40</v>
      </c>
      <c r="Q1264">
        <v>3</v>
      </c>
      <c r="R1264" s="2">
        <v>44884</v>
      </c>
      <c r="S1264">
        <v>3</v>
      </c>
      <c r="T1264">
        <v>5</v>
      </c>
      <c r="U1264">
        <v>4</v>
      </c>
      <c r="V1264" s="1">
        <v>44805</v>
      </c>
      <c r="W1264" t="s">
        <v>62</v>
      </c>
      <c r="X1264" t="s">
        <v>51</v>
      </c>
      <c r="Y1264" t="s">
        <v>73</v>
      </c>
      <c r="Z1264">
        <v>3</v>
      </c>
      <c r="AA1264">
        <v>803.94</v>
      </c>
      <c r="AB1264">
        <v>70</v>
      </c>
    </row>
    <row r="1265" spans="1:28" x14ac:dyDescent="0.2">
      <c r="A1265">
        <v>1779</v>
      </c>
      <c r="B1265" s="1">
        <v>45122</v>
      </c>
      <c r="C1265" t="s">
        <v>28</v>
      </c>
      <c r="D1265" t="s">
        <v>54</v>
      </c>
      <c r="E1265" t="s">
        <v>30</v>
      </c>
      <c r="F1265" t="s">
        <v>55</v>
      </c>
      <c r="G1265" t="s">
        <v>45</v>
      </c>
      <c r="H1265" t="s">
        <v>33</v>
      </c>
      <c r="I1265" t="s">
        <v>34</v>
      </c>
      <c r="J1265" t="s">
        <v>96</v>
      </c>
      <c r="K1265" s="2">
        <v>22405</v>
      </c>
      <c r="L1265" t="s">
        <v>36</v>
      </c>
      <c r="M1265" t="s">
        <v>37</v>
      </c>
      <c r="N1265" t="s">
        <v>60</v>
      </c>
      <c r="O1265" t="s">
        <v>67</v>
      </c>
      <c r="P1265" t="s">
        <v>40</v>
      </c>
      <c r="Q1265">
        <v>3</v>
      </c>
      <c r="R1265" s="2">
        <v>44795</v>
      </c>
      <c r="S1265">
        <v>5</v>
      </c>
      <c r="T1265">
        <v>3</v>
      </c>
      <c r="U1265">
        <v>4</v>
      </c>
      <c r="V1265" s="1">
        <v>44892</v>
      </c>
      <c r="W1265" t="s">
        <v>62</v>
      </c>
      <c r="X1265" t="s">
        <v>42</v>
      </c>
      <c r="Y1265" t="s">
        <v>73</v>
      </c>
      <c r="Z1265">
        <v>3</v>
      </c>
      <c r="AA1265">
        <v>188.56</v>
      </c>
      <c r="AB1265">
        <v>62</v>
      </c>
    </row>
    <row r="1266" spans="1:28" x14ac:dyDescent="0.2">
      <c r="A1266">
        <v>1780</v>
      </c>
      <c r="B1266" s="1">
        <v>44905</v>
      </c>
      <c r="C1266" t="s">
        <v>28</v>
      </c>
      <c r="D1266" t="s">
        <v>69</v>
      </c>
      <c r="E1266" t="s">
        <v>30</v>
      </c>
      <c r="F1266" t="s">
        <v>31</v>
      </c>
      <c r="G1266" t="s">
        <v>32</v>
      </c>
      <c r="H1266" t="s">
        <v>33</v>
      </c>
      <c r="I1266" t="s">
        <v>34</v>
      </c>
      <c r="J1266" t="s">
        <v>70</v>
      </c>
      <c r="K1266" s="2">
        <v>34161</v>
      </c>
      <c r="L1266" t="s">
        <v>36</v>
      </c>
      <c r="M1266" t="s">
        <v>37</v>
      </c>
      <c r="N1266" t="s">
        <v>49</v>
      </c>
      <c r="O1266" t="s">
        <v>39</v>
      </c>
      <c r="P1266" t="s">
        <v>40</v>
      </c>
      <c r="Q1266">
        <v>3</v>
      </c>
      <c r="R1266" s="2">
        <v>45080</v>
      </c>
      <c r="S1266">
        <v>2</v>
      </c>
      <c r="T1266">
        <v>3</v>
      </c>
      <c r="U1266">
        <v>2</v>
      </c>
      <c r="V1266" s="1">
        <v>45010</v>
      </c>
      <c r="W1266" t="s">
        <v>68</v>
      </c>
      <c r="X1266" t="s">
        <v>51</v>
      </c>
      <c r="Y1266" t="s">
        <v>73</v>
      </c>
      <c r="Z1266">
        <v>2</v>
      </c>
      <c r="AA1266">
        <v>663.72</v>
      </c>
      <c r="AB1266">
        <v>29</v>
      </c>
    </row>
    <row r="1267" spans="1:28" x14ac:dyDescent="0.2">
      <c r="A1267">
        <v>1781</v>
      </c>
      <c r="B1267" s="1">
        <v>43587</v>
      </c>
      <c r="C1267" t="s">
        <v>28</v>
      </c>
      <c r="D1267" t="s">
        <v>29</v>
      </c>
      <c r="E1267" t="s">
        <v>30</v>
      </c>
      <c r="F1267" t="s">
        <v>31</v>
      </c>
      <c r="G1267" t="s">
        <v>45</v>
      </c>
      <c r="H1267" t="s">
        <v>46</v>
      </c>
      <c r="I1267" t="s">
        <v>34</v>
      </c>
      <c r="J1267" t="s">
        <v>58</v>
      </c>
      <c r="K1267" s="2">
        <v>30661</v>
      </c>
      <c r="L1267" t="s">
        <v>36</v>
      </c>
      <c r="M1267" t="s">
        <v>37</v>
      </c>
      <c r="N1267" t="s">
        <v>38</v>
      </c>
      <c r="O1267" t="s">
        <v>77</v>
      </c>
      <c r="P1267" t="s">
        <v>40</v>
      </c>
      <c r="Q1267">
        <v>3</v>
      </c>
      <c r="R1267" s="2">
        <v>44831</v>
      </c>
      <c r="S1267">
        <v>2</v>
      </c>
      <c r="T1267">
        <v>2</v>
      </c>
      <c r="U1267">
        <v>4</v>
      </c>
      <c r="V1267" s="1">
        <v>45111</v>
      </c>
      <c r="W1267" t="s">
        <v>68</v>
      </c>
      <c r="X1267" t="s">
        <v>51</v>
      </c>
      <c r="Y1267" t="s">
        <v>43</v>
      </c>
      <c r="Z1267">
        <v>4</v>
      </c>
      <c r="AA1267">
        <v>892.3</v>
      </c>
      <c r="AB1267">
        <v>36</v>
      </c>
    </row>
    <row r="1268" spans="1:28" x14ac:dyDescent="0.2">
      <c r="A1268">
        <v>1782</v>
      </c>
      <c r="B1268" s="1">
        <v>43478</v>
      </c>
      <c r="C1268" t="s">
        <v>106</v>
      </c>
      <c r="D1268" t="s">
        <v>81</v>
      </c>
      <c r="E1268" t="s">
        <v>108</v>
      </c>
      <c r="F1268" t="s">
        <v>31</v>
      </c>
      <c r="G1268" t="s">
        <v>45</v>
      </c>
      <c r="H1268" t="s">
        <v>33</v>
      </c>
      <c r="I1268" t="s">
        <v>34</v>
      </c>
      <c r="J1268" t="s">
        <v>70</v>
      </c>
      <c r="K1268" s="2">
        <v>18544</v>
      </c>
      <c r="L1268" t="s">
        <v>36</v>
      </c>
      <c r="M1268" t="s">
        <v>37</v>
      </c>
      <c r="N1268" t="s">
        <v>60</v>
      </c>
      <c r="O1268" t="s">
        <v>67</v>
      </c>
      <c r="P1268" t="s">
        <v>40</v>
      </c>
      <c r="Q1268">
        <v>3</v>
      </c>
      <c r="R1268" s="2">
        <v>45114</v>
      </c>
      <c r="S1268">
        <v>3</v>
      </c>
      <c r="T1268">
        <v>4</v>
      </c>
      <c r="U1268">
        <v>1</v>
      </c>
      <c r="V1268" s="1">
        <v>44916</v>
      </c>
      <c r="W1268" t="s">
        <v>92</v>
      </c>
      <c r="X1268" t="s">
        <v>42</v>
      </c>
      <c r="Y1268" t="s">
        <v>73</v>
      </c>
      <c r="Z1268">
        <v>3</v>
      </c>
      <c r="AA1268">
        <v>560.35</v>
      </c>
      <c r="AB1268">
        <v>69</v>
      </c>
    </row>
    <row r="1269" spans="1:28" x14ac:dyDescent="0.2">
      <c r="A1269">
        <v>1783</v>
      </c>
      <c r="B1269" s="1">
        <v>44356</v>
      </c>
      <c r="C1269" t="s">
        <v>28</v>
      </c>
      <c r="D1269" t="s">
        <v>94</v>
      </c>
      <c r="E1269" t="s">
        <v>30</v>
      </c>
      <c r="F1269" t="s">
        <v>46</v>
      </c>
      <c r="G1269" t="s">
        <v>32</v>
      </c>
      <c r="H1269" t="s">
        <v>46</v>
      </c>
      <c r="I1269" t="s">
        <v>34</v>
      </c>
      <c r="J1269" t="s">
        <v>65</v>
      </c>
      <c r="K1269" s="2">
        <v>29927</v>
      </c>
      <c r="L1269" t="s">
        <v>36</v>
      </c>
      <c r="M1269" t="s">
        <v>37</v>
      </c>
      <c r="N1269" t="s">
        <v>38</v>
      </c>
      <c r="O1269" t="s">
        <v>39</v>
      </c>
      <c r="P1269" t="s">
        <v>40</v>
      </c>
      <c r="Q1269">
        <v>3</v>
      </c>
      <c r="R1269" s="2">
        <v>45037</v>
      </c>
      <c r="S1269">
        <v>5</v>
      </c>
      <c r="T1269">
        <v>2</v>
      </c>
      <c r="U1269">
        <v>4</v>
      </c>
      <c r="V1269" s="1">
        <v>44919</v>
      </c>
      <c r="W1269" t="s">
        <v>68</v>
      </c>
      <c r="X1269" t="s">
        <v>51</v>
      </c>
      <c r="Y1269" t="s">
        <v>73</v>
      </c>
      <c r="Z1269">
        <v>2</v>
      </c>
      <c r="AA1269">
        <v>595.5</v>
      </c>
      <c r="AB1269">
        <v>40</v>
      </c>
    </row>
    <row r="1270" spans="1:28" x14ac:dyDescent="0.2">
      <c r="A1270">
        <v>1784</v>
      </c>
      <c r="B1270" s="1">
        <v>45140</v>
      </c>
      <c r="C1270" t="s">
        <v>28</v>
      </c>
      <c r="D1270" t="s">
        <v>74</v>
      </c>
      <c r="E1270" t="s">
        <v>30</v>
      </c>
      <c r="F1270" t="s">
        <v>46</v>
      </c>
      <c r="G1270" t="s">
        <v>45</v>
      </c>
      <c r="H1270" t="s">
        <v>33</v>
      </c>
      <c r="I1270" t="s">
        <v>34</v>
      </c>
      <c r="J1270" t="s">
        <v>65</v>
      </c>
      <c r="K1270" s="2">
        <v>26022</v>
      </c>
      <c r="L1270" t="s">
        <v>36</v>
      </c>
      <c r="M1270" t="s">
        <v>37</v>
      </c>
      <c r="N1270" t="s">
        <v>60</v>
      </c>
      <c r="O1270" t="s">
        <v>77</v>
      </c>
      <c r="P1270" t="s">
        <v>40</v>
      </c>
      <c r="Q1270">
        <v>3</v>
      </c>
      <c r="R1270" s="2">
        <v>44980</v>
      </c>
      <c r="S1270">
        <v>2</v>
      </c>
      <c r="T1270">
        <v>3</v>
      </c>
      <c r="U1270">
        <v>1</v>
      </c>
      <c r="V1270" s="1">
        <v>44882</v>
      </c>
      <c r="W1270" t="s">
        <v>92</v>
      </c>
      <c r="X1270" t="s">
        <v>51</v>
      </c>
      <c r="Y1270" t="s">
        <v>73</v>
      </c>
      <c r="Z1270">
        <v>2</v>
      </c>
      <c r="AA1270">
        <v>242.18</v>
      </c>
      <c r="AB1270">
        <v>52</v>
      </c>
    </row>
    <row r="1271" spans="1:28" x14ac:dyDescent="0.2">
      <c r="A1271">
        <v>1785</v>
      </c>
      <c r="B1271" s="1">
        <v>45094</v>
      </c>
      <c r="C1271" t="s">
        <v>28</v>
      </c>
      <c r="D1271" t="s">
        <v>81</v>
      </c>
      <c r="E1271" t="s">
        <v>30</v>
      </c>
      <c r="F1271" t="s">
        <v>55</v>
      </c>
      <c r="G1271" t="s">
        <v>32</v>
      </c>
      <c r="H1271" t="s">
        <v>55</v>
      </c>
      <c r="I1271" t="s">
        <v>34</v>
      </c>
      <c r="J1271" t="s">
        <v>110</v>
      </c>
      <c r="K1271" s="2">
        <v>18280</v>
      </c>
      <c r="L1271" t="s">
        <v>36</v>
      </c>
      <c r="M1271" t="s">
        <v>37</v>
      </c>
      <c r="N1271" t="s">
        <v>38</v>
      </c>
      <c r="O1271" t="s">
        <v>39</v>
      </c>
      <c r="P1271" t="s">
        <v>40</v>
      </c>
      <c r="Q1271">
        <v>3</v>
      </c>
      <c r="R1271" s="2">
        <v>44781</v>
      </c>
      <c r="S1271">
        <v>4</v>
      </c>
      <c r="T1271">
        <v>4</v>
      </c>
      <c r="U1271">
        <v>5</v>
      </c>
      <c r="V1271" s="1">
        <v>44933</v>
      </c>
      <c r="W1271" t="s">
        <v>62</v>
      </c>
      <c r="X1271" t="s">
        <v>42</v>
      </c>
      <c r="Y1271" t="s">
        <v>43</v>
      </c>
      <c r="Z1271">
        <v>5</v>
      </c>
      <c r="AA1271">
        <v>104.95</v>
      </c>
      <c r="AB1271">
        <v>73</v>
      </c>
    </row>
    <row r="1272" spans="1:28" x14ac:dyDescent="0.2">
      <c r="A1272">
        <v>1786</v>
      </c>
      <c r="B1272" s="1">
        <v>44651</v>
      </c>
      <c r="C1272" t="s">
        <v>28</v>
      </c>
      <c r="D1272" t="s">
        <v>54</v>
      </c>
      <c r="E1272" t="s">
        <v>30</v>
      </c>
      <c r="F1272" t="s">
        <v>55</v>
      </c>
      <c r="G1272" t="s">
        <v>45</v>
      </c>
      <c r="H1272" t="s">
        <v>33</v>
      </c>
      <c r="I1272" t="s">
        <v>34</v>
      </c>
      <c r="J1272" t="s">
        <v>70</v>
      </c>
      <c r="K1272" s="2">
        <v>29169</v>
      </c>
      <c r="L1272" t="s">
        <v>36</v>
      </c>
      <c r="M1272" t="s">
        <v>48</v>
      </c>
      <c r="N1272" t="s">
        <v>49</v>
      </c>
      <c r="O1272" t="s">
        <v>39</v>
      </c>
      <c r="P1272" t="s">
        <v>40</v>
      </c>
      <c r="Q1272">
        <v>3</v>
      </c>
      <c r="R1272" s="2">
        <v>45080</v>
      </c>
      <c r="S1272">
        <v>4</v>
      </c>
      <c r="T1272">
        <v>2</v>
      </c>
      <c r="U1272">
        <v>1</v>
      </c>
      <c r="V1272" s="1">
        <v>45039</v>
      </c>
      <c r="W1272" t="s">
        <v>92</v>
      </c>
      <c r="X1272" t="s">
        <v>51</v>
      </c>
      <c r="Y1272" t="s">
        <v>63</v>
      </c>
      <c r="Z1272">
        <v>2</v>
      </c>
      <c r="AA1272">
        <v>942.28</v>
      </c>
      <c r="AB1272">
        <v>43</v>
      </c>
    </row>
    <row r="1273" spans="1:28" x14ac:dyDescent="0.2">
      <c r="A1273">
        <v>1787</v>
      </c>
      <c r="B1273" s="1">
        <v>43561</v>
      </c>
      <c r="C1273" t="s">
        <v>28</v>
      </c>
      <c r="D1273" t="s">
        <v>69</v>
      </c>
      <c r="E1273" t="s">
        <v>30</v>
      </c>
      <c r="F1273" t="s">
        <v>31</v>
      </c>
      <c r="G1273" t="s">
        <v>56</v>
      </c>
      <c r="H1273" t="s">
        <v>33</v>
      </c>
      <c r="I1273" t="s">
        <v>34</v>
      </c>
      <c r="J1273" t="s">
        <v>79</v>
      </c>
      <c r="K1273" s="2">
        <v>20646</v>
      </c>
      <c r="L1273" t="s">
        <v>36</v>
      </c>
      <c r="M1273" t="s">
        <v>48</v>
      </c>
      <c r="N1273" t="s">
        <v>49</v>
      </c>
      <c r="O1273" t="s">
        <v>77</v>
      </c>
      <c r="P1273" t="s">
        <v>40</v>
      </c>
      <c r="Q1273">
        <v>3</v>
      </c>
      <c r="R1273" s="2">
        <v>44980</v>
      </c>
      <c r="S1273">
        <v>2</v>
      </c>
      <c r="T1273">
        <v>5</v>
      </c>
      <c r="U1273">
        <v>3</v>
      </c>
      <c r="V1273" s="1">
        <v>44804</v>
      </c>
      <c r="W1273" t="s">
        <v>62</v>
      </c>
      <c r="X1273" t="s">
        <v>42</v>
      </c>
      <c r="Y1273" t="s">
        <v>73</v>
      </c>
      <c r="Z1273">
        <v>2</v>
      </c>
      <c r="AA1273">
        <v>756.7</v>
      </c>
      <c r="AB1273">
        <v>63</v>
      </c>
    </row>
    <row r="1274" spans="1:28" x14ac:dyDescent="0.2">
      <c r="A1274">
        <v>1788</v>
      </c>
      <c r="B1274" s="1">
        <v>44023</v>
      </c>
      <c r="C1274" t="s">
        <v>28</v>
      </c>
      <c r="D1274" t="s">
        <v>29</v>
      </c>
      <c r="E1274" t="s">
        <v>30</v>
      </c>
      <c r="F1274" t="s">
        <v>31</v>
      </c>
      <c r="G1274" t="s">
        <v>32</v>
      </c>
      <c r="H1274" t="s">
        <v>55</v>
      </c>
      <c r="I1274" t="s">
        <v>34</v>
      </c>
      <c r="J1274" t="s">
        <v>70</v>
      </c>
      <c r="K1274" s="2">
        <v>27798</v>
      </c>
      <c r="L1274" t="s">
        <v>36</v>
      </c>
      <c r="M1274" t="s">
        <v>48</v>
      </c>
      <c r="N1274" t="s">
        <v>60</v>
      </c>
      <c r="O1274" t="s">
        <v>77</v>
      </c>
      <c r="P1274" t="s">
        <v>40</v>
      </c>
      <c r="Q1274">
        <v>3</v>
      </c>
      <c r="R1274" s="2">
        <v>45142</v>
      </c>
      <c r="S1274">
        <v>2</v>
      </c>
      <c r="T1274">
        <v>5</v>
      </c>
      <c r="U1274">
        <v>1</v>
      </c>
      <c r="V1274" s="1">
        <v>44918</v>
      </c>
      <c r="W1274" t="s">
        <v>41</v>
      </c>
      <c r="X1274" t="s">
        <v>42</v>
      </c>
      <c r="Y1274" t="s">
        <v>63</v>
      </c>
      <c r="Z1274">
        <v>4</v>
      </c>
      <c r="AA1274">
        <v>290.99</v>
      </c>
      <c r="AB1274">
        <v>44</v>
      </c>
    </row>
    <row r="1275" spans="1:28" x14ac:dyDescent="0.2">
      <c r="A1275">
        <v>1789</v>
      </c>
      <c r="B1275" s="1">
        <v>45038</v>
      </c>
      <c r="C1275" t="s">
        <v>28</v>
      </c>
      <c r="D1275" t="s">
        <v>85</v>
      </c>
      <c r="E1275" t="s">
        <v>30</v>
      </c>
      <c r="F1275" t="s">
        <v>31</v>
      </c>
      <c r="G1275" t="s">
        <v>32</v>
      </c>
      <c r="H1275" t="s">
        <v>46</v>
      </c>
      <c r="I1275" t="s">
        <v>34</v>
      </c>
      <c r="J1275" t="s">
        <v>79</v>
      </c>
      <c r="K1275" s="2">
        <v>23059</v>
      </c>
      <c r="L1275" t="s">
        <v>36</v>
      </c>
      <c r="M1275" t="s">
        <v>48</v>
      </c>
      <c r="N1275" t="s">
        <v>60</v>
      </c>
      <c r="O1275" t="s">
        <v>39</v>
      </c>
      <c r="P1275" t="s">
        <v>40</v>
      </c>
      <c r="Q1275">
        <v>3</v>
      </c>
      <c r="R1275" s="2">
        <v>44841</v>
      </c>
      <c r="S1275">
        <v>4</v>
      </c>
      <c r="T1275">
        <v>3</v>
      </c>
      <c r="U1275">
        <v>1</v>
      </c>
      <c r="V1275" s="1">
        <v>44934</v>
      </c>
      <c r="W1275" t="s">
        <v>41</v>
      </c>
      <c r="X1275" t="s">
        <v>51</v>
      </c>
      <c r="Y1275" t="s">
        <v>52</v>
      </c>
      <c r="Z1275">
        <v>2</v>
      </c>
      <c r="AA1275">
        <v>700.97</v>
      </c>
      <c r="AB1275">
        <v>60</v>
      </c>
    </row>
    <row r="1276" spans="1:28" x14ac:dyDescent="0.2">
      <c r="A1276">
        <v>1790</v>
      </c>
      <c r="B1276" s="1">
        <v>44897</v>
      </c>
      <c r="C1276" t="s">
        <v>28</v>
      </c>
      <c r="D1276" t="s">
        <v>44</v>
      </c>
      <c r="E1276" t="s">
        <v>30</v>
      </c>
      <c r="F1276" t="s">
        <v>46</v>
      </c>
      <c r="G1276" t="s">
        <v>56</v>
      </c>
      <c r="H1276" t="s">
        <v>46</v>
      </c>
      <c r="I1276" t="s">
        <v>34</v>
      </c>
      <c r="J1276" t="s">
        <v>47</v>
      </c>
      <c r="K1276" s="2">
        <v>20523</v>
      </c>
      <c r="L1276" t="s">
        <v>36</v>
      </c>
      <c r="M1276" t="s">
        <v>37</v>
      </c>
      <c r="N1276" t="s">
        <v>84</v>
      </c>
      <c r="O1276" t="s">
        <v>77</v>
      </c>
      <c r="P1276" t="s">
        <v>40</v>
      </c>
      <c r="Q1276">
        <v>3</v>
      </c>
      <c r="R1276" s="2">
        <v>44845</v>
      </c>
      <c r="S1276">
        <v>4</v>
      </c>
      <c r="T1276">
        <v>5</v>
      </c>
      <c r="U1276">
        <v>4</v>
      </c>
      <c r="V1276" s="1">
        <v>44792</v>
      </c>
      <c r="W1276" t="s">
        <v>92</v>
      </c>
      <c r="X1276" t="s">
        <v>42</v>
      </c>
      <c r="Y1276" t="s">
        <v>52</v>
      </c>
      <c r="Z1276">
        <v>4</v>
      </c>
      <c r="AA1276">
        <v>631.98</v>
      </c>
      <c r="AB1276">
        <v>66</v>
      </c>
    </row>
    <row r="1277" spans="1:28" x14ac:dyDescent="0.2">
      <c r="A1277">
        <v>1791</v>
      </c>
      <c r="B1277" s="1">
        <v>44261</v>
      </c>
      <c r="C1277" t="s">
        <v>28</v>
      </c>
      <c r="D1277" t="s">
        <v>87</v>
      </c>
      <c r="E1277" t="s">
        <v>30</v>
      </c>
      <c r="F1277" t="s">
        <v>31</v>
      </c>
      <c r="G1277" t="s">
        <v>45</v>
      </c>
      <c r="H1277" t="s">
        <v>33</v>
      </c>
      <c r="I1277" t="s">
        <v>34</v>
      </c>
      <c r="J1277" t="s">
        <v>101</v>
      </c>
      <c r="K1277" s="2">
        <v>29800</v>
      </c>
      <c r="L1277" t="s">
        <v>36</v>
      </c>
      <c r="M1277" t="s">
        <v>37</v>
      </c>
      <c r="N1277" t="s">
        <v>49</v>
      </c>
      <c r="O1277" t="s">
        <v>77</v>
      </c>
      <c r="P1277" t="s">
        <v>40</v>
      </c>
      <c r="Q1277">
        <v>3</v>
      </c>
      <c r="R1277" s="2">
        <v>44822</v>
      </c>
      <c r="S1277">
        <v>4</v>
      </c>
      <c r="T1277">
        <v>5</v>
      </c>
      <c r="U1277">
        <v>3</v>
      </c>
      <c r="V1277" s="1">
        <v>44891</v>
      </c>
      <c r="W1277" t="s">
        <v>62</v>
      </c>
      <c r="X1277" t="s">
        <v>42</v>
      </c>
      <c r="Y1277" t="s">
        <v>43</v>
      </c>
      <c r="Z1277">
        <v>5</v>
      </c>
      <c r="AA1277">
        <v>282.85000000000002</v>
      </c>
      <c r="AB1277">
        <v>40</v>
      </c>
    </row>
    <row r="1278" spans="1:28" x14ac:dyDescent="0.2">
      <c r="A1278">
        <v>1792</v>
      </c>
      <c r="B1278" s="1">
        <v>43606</v>
      </c>
      <c r="C1278" t="s">
        <v>28</v>
      </c>
      <c r="D1278" t="s">
        <v>64</v>
      </c>
      <c r="E1278" t="s">
        <v>30</v>
      </c>
      <c r="F1278" t="s">
        <v>55</v>
      </c>
      <c r="G1278" t="s">
        <v>32</v>
      </c>
      <c r="H1278" t="s">
        <v>33</v>
      </c>
      <c r="I1278" t="s">
        <v>34</v>
      </c>
      <c r="J1278" t="s">
        <v>99</v>
      </c>
      <c r="K1278" s="2">
        <v>18355</v>
      </c>
      <c r="L1278" t="s">
        <v>36</v>
      </c>
      <c r="M1278" t="s">
        <v>48</v>
      </c>
      <c r="N1278" t="s">
        <v>72</v>
      </c>
      <c r="O1278" t="s">
        <v>77</v>
      </c>
      <c r="P1278" t="s">
        <v>40</v>
      </c>
      <c r="Q1278">
        <v>3</v>
      </c>
      <c r="R1278" s="2">
        <v>44816</v>
      </c>
      <c r="S1278">
        <v>2</v>
      </c>
      <c r="T1278">
        <v>3</v>
      </c>
      <c r="U1278">
        <v>5</v>
      </c>
      <c r="V1278" s="1">
        <v>44894</v>
      </c>
      <c r="W1278" t="s">
        <v>68</v>
      </c>
      <c r="X1278" t="s">
        <v>42</v>
      </c>
      <c r="Y1278" t="s">
        <v>63</v>
      </c>
      <c r="Z1278">
        <v>1</v>
      </c>
      <c r="AA1278">
        <v>412.58</v>
      </c>
      <c r="AB1278">
        <v>69</v>
      </c>
    </row>
    <row r="1279" spans="1:28" x14ac:dyDescent="0.2">
      <c r="A1279">
        <v>1793</v>
      </c>
      <c r="B1279" s="1">
        <v>43396</v>
      </c>
      <c r="C1279" t="s">
        <v>28</v>
      </c>
      <c r="D1279" t="s">
        <v>69</v>
      </c>
      <c r="E1279" t="s">
        <v>30</v>
      </c>
      <c r="F1279" t="s">
        <v>55</v>
      </c>
      <c r="G1279" t="s">
        <v>56</v>
      </c>
      <c r="H1279" t="s">
        <v>33</v>
      </c>
      <c r="I1279" t="s">
        <v>34</v>
      </c>
      <c r="J1279" t="s">
        <v>82</v>
      </c>
      <c r="K1279" s="2">
        <v>16579</v>
      </c>
      <c r="L1279" t="s">
        <v>36</v>
      </c>
      <c r="M1279" t="s">
        <v>37</v>
      </c>
      <c r="N1279" t="s">
        <v>49</v>
      </c>
      <c r="O1279" t="s">
        <v>61</v>
      </c>
      <c r="P1279" t="s">
        <v>40</v>
      </c>
      <c r="Q1279">
        <v>3</v>
      </c>
      <c r="R1279" s="2">
        <v>44808</v>
      </c>
      <c r="S1279">
        <v>1</v>
      </c>
      <c r="T1279">
        <v>1</v>
      </c>
      <c r="U1279">
        <v>2</v>
      </c>
      <c r="V1279" s="1">
        <v>44985</v>
      </c>
      <c r="W1279" t="s">
        <v>92</v>
      </c>
      <c r="X1279" t="s">
        <v>51</v>
      </c>
      <c r="Y1279" t="s">
        <v>73</v>
      </c>
      <c r="Z1279">
        <v>1</v>
      </c>
      <c r="AA1279">
        <v>943.91</v>
      </c>
      <c r="AB1279">
        <v>73</v>
      </c>
    </row>
    <row r="1280" spans="1:28" x14ac:dyDescent="0.2">
      <c r="A1280">
        <v>1794</v>
      </c>
      <c r="B1280" s="1">
        <v>44342</v>
      </c>
      <c r="C1280" t="s">
        <v>28</v>
      </c>
      <c r="D1280" t="s">
        <v>29</v>
      </c>
      <c r="E1280" t="s">
        <v>30</v>
      </c>
      <c r="F1280" t="s">
        <v>31</v>
      </c>
      <c r="G1280" t="s">
        <v>45</v>
      </c>
      <c r="H1280" t="s">
        <v>33</v>
      </c>
      <c r="I1280" t="s">
        <v>34</v>
      </c>
      <c r="J1280" t="s">
        <v>58</v>
      </c>
      <c r="K1280" s="2">
        <v>23236</v>
      </c>
      <c r="L1280" t="s">
        <v>36</v>
      </c>
      <c r="M1280" t="s">
        <v>37</v>
      </c>
      <c r="N1280" t="s">
        <v>38</v>
      </c>
      <c r="O1280" t="s">
        <v>39</v>
      </c>
      <c r="P1280" t="s">
        <v>40</v>
      </c>
      <c r="Q1280">
        <v>3</v>
      </c>
      <c r="R1280" s="2">
        <v>45063</v>
      </c>
      <c r="S1280">
        <v>4</v>
      </c>
      <c r="T1280">
        <v>4</v>
      </c>
      <c r="U1280">
        <v>2</v>
      </c>
      <c r="V1280" s="1">
        <v>44865</v>
      </c>
      <c r="W1280" t="s">
        <v>41</v>
      </c>
      <c r="X1280" t="s">
        <v>42</v>
      </c>
      <c r="Y1280" t="s">
        <v>63</v>
      </c>
      <c r="Z1280">
        <v>3</v>
      </c>
      <c r="AA1280">
        <v>208.13</v>
      </c>
      <c r="AB1280">
        <v>58</v>
      </c>
    </row>
    <row r="1281" spans="1:28" x14ac:dyDescent="0.2">
      <c r="A1281">
        <v>1795</v>
      </c>
      <c r="B1281" s="1">
        <v>43800</v>
      </c>
      <c r="C1281" t="s">
        <v>28</v>
      </c>
      <c r="D1281" t="s">
        <v>44</v>
      </c>
      <c r="E1281" t="s">
        <v>108</v>
      </c>
      <c r="F1281" t="s">
        <v>55</v>
      </c>
      <c r="G1281" t="s">
        <v>56</v>
      </c>
      <c r="H1281" t="s">
        <v>46</v>
      </c>
      <c r="I1281" t="s">
        <v>34</v>
      </c>
      <c r="J1281" t="s">
        <v>105</v>
      </c>
      <c r="K1281" s="2">
        <v>22010</v>
      </c>
      <c r="L1281" t="s">
        <v>36</v>
      </c>
      <c r="M1281" t="s">
        <v>37</v>
      </c>
      <c r="N1281" t="s">
        <v>84</v>
      </c>
      <c r="O1281" t="s">
        <v>39</v>
      </c>
      <c r="P1281" t="s">
        <v>40</v>
      </c>
      <c r="Q1281">
        <v>3</v>
      </c>
      <c r="R1281" s="2">
        <v>45087</v>
      </c>
      <c r="S1281">
        <v>5</v>
      </c>
      <c r="T1281">
        <v>1</v>
      </c>
      <c r="U1281">
        <v>4</v>
      </c>
      <c r="V1281" s="1">
        <v>44981</v>
      </c>
      <c r="W1281" t="s">
        <v>41</v>
      </c>
      <c r="X1281" t="s">
        <v>51</v>
      </c>
      <c r="Y1281" t="s">
        <v>73</v>
      </c>
      <c r="Z1281">
        <v>2</v>
      </c>
      <c r="AA1281">
        <v>145.47</v>
      </c>
      <c r="AB1281">
        <v>59</v>
      </c>
    </row>
    <row r="1282" spans="1:28" x14ac:dyDescent="0.2">
      <c r="A1282">
        <v>1796</v>
      </c>
      <c r="B1282" s="1">
        <v>44354</v>
      </c>
      <c r="C1282" t="s">
        <v>28</v>
      </c>
      <c r="D1282" t="s">
        <v>87</v>
      </c>
      <c r="E1282" t="s">
        <v>108</v>
      </c>
      <c r="F1282" t="s">
        <v>31</v>
      </c>
      <c r="G1282" t="s">
        <v>45</v>
      </c>
      <c r="H1282" t="s">
        <v>55</v>
      </c>
      <c r="I1282" t="s">
        <v>34</v>
      </c>
      <c r="J1282" t="s">
        <v>103</v>
      </c>
      <c r="K1282" s="2">
        <v>27937</v>
      </c>
      <c r="L1282" t="s">
        <v>36</v>
      </c>
      <c r="M1282" t="s">
        <v>37</v>
      </c>
      <c r="N1282" t="s">
        <v>49</v>
      </c>
      <c r="O1282" t="s">
        <v>77</v>
      </c>
      <c r="P1282" t="s">
        <v>40</v>
      </c>
      <c r="Q1282">
        <v>3</v>
      </c>
      <c r="R1282" s="2">
        <v>44888</v>
      </c>
      <c r="S1282">
        <v>3</v>
      </c>
      <c r="T1282">
        <v>5</v>
      </c>
      <c r="U1282">
        <v>2</v>
      </c>
      <c r="V1282" s="1">
        <v>44861</v>
      </c>
      <c r="W1282" t="s">
        <v>50</v>
      </c>
      <c r="X1282" t="s">
        <v>51</v>
      </c>
      <c r="Y1282" t="s">
        <v>43</v>
      </c>
      <c r="Z1282">
        <v>1</v>
      </c>
      <c r="AA1282">
        <v>727.51</v>
      </c>
      <c r="AB1282">
        <v>45</v>
      </c>
    </row>
    <row r="1283" spans="1:28" x14ac:dyDescent="0.2">
      <c r="A1283">
        <v>1797</v>
      </c>
      <c r="B1283" s="1">
        <v>44117</v>
      </c>
      <c r="C1283" t="s">
        <v>28</v>
      </c>
      <c r="D1283" t="s">
        <v>81</v>
      </c>
      <c r="E1283" t="s">
        <v>30</v>
      </c>
      <c r="F1283" t="s">
        <v>55</v>
      </c>
      <c r="G1283" t="s">
        <v>45</v>
      </c>
      <c r="H1283" t="s">
        <v>55</v>
      </c>
      <c r="I1283" t="s">
        <v>34</v>
      </c>
      <c r="J1283" t="s">
        <v>65</v>
      </c>
      <c r="K1283" s="2">
        <v>32038</v>
      </c>
      <c r="L1283" t="s">
        <v>36</v>
      </c>
      <c r="M1283" t="s">
        <v>37</v>
      </c>
      <c r="N1283" t="s">
        <v>49</v>
      </c>
      <c r="O1283" t="s">
        <v>39</v>
      </c>
      <c r="P1283" t="s">
        <v>40</v>
      </c>
      <c r="Q1283">
        <v>3</v>
      </c>
      <c r="R1283" s="2">
        <v>45049</v>
      </c>
      <c r="S1283">
        <v>3</v>
      </c>
      <c r="T1283">
        <v>3</v>
      </c>
      <c r="U1283">
        <v>5</v>
      </c>
      <c r="V1283" s="1">
        <v>44919</v>
      </c>
      <c r="W1283" t="s">
        <v>62</v>
      </c>
      <c r="X1283" t="s">
        <v>51</v>
      </c>
      <c r="Y1283" t="s">
        <v>43</v>
      </c>
      <c r="Z1283">
        <v>5</v>
      </c>
      <c r="AA1283">
        <v>581.42999999999995</v>
      </c>
      <c r="AB1283">
        <v>33</v>
      </c>
    </row>
    <row r="1284" spans="1:28" x14ac:dyDescent="0.2">
      <c r="A1284">
        <v>1798</v>
      </c>
      <c r="B1284" s="1">
        <v>44864</v>
      </c>
      <c r="C1284" t="s">
        <v>106</v>
      </c>
      <c r="D1284" t="s">
        <v>54</v>
      </c>
      <c r="E1284" t="s">
        <v>30</v>
      </c>
      <c r="F1284" t="s">
        <v>46</v>
      </c>
      <c r="G1284" t="s">
        <v>45</v>
      </c>
      <c r="H1284" t="s">
        <v>55</v>
      </c>
      <c r="I1284" t="s">
        <v>34</v>
      </c>
      <c r="J1284" t="s">
        <v>89</v>
      </c>
      <c r="K1284" s="2">
        <v>31388</v>
      </c>
      <c r="L1284" t="s">
        <v>36</v>
      </c>
      <c r="M1284" t="s">
        <v>37</v>
      </c>
      <c r="N1284" t="s">
        <v>72</v>
      </c>
      <c r="O1284" t="s">
        <v>39</v>
      </c>
      <c r="P1284" t="s">
        <v>40</v>
      </c>
      <c r="Q1284">
        <v>3</v>
      </c>
      <c r="R1284" s="2">
        <v>44953</v>
      </c>
      <c r="S1284">
        <v>3</v>
      </c>
      <c r="T1284">
        <v>2</v>
      </c>
      <c r="U1284">
        <v>4</v>
      </c>
      <c r="V1284" s="1">
        <v>44906</v>
      </c>
      <c r="W1284" t="s">
        <v>92</v>
      </c>
      <c r="X1284" t="s">
        <v>42</v>
      </c>
      <c r="Y1284" t="s">
        <v>52</v>
      </c>
      <c r="Z1284">
        <v>1</v>
      </c>
      <c r="AA1284">
        <v>725.94</v>
      </c>
      <c r="AB1284">
        <v>37</v>
      </c>
    </row>
    <row r="1285" spans="1:28" x14ac:dyDescent="0.2">
      <c r="A1285">
        <v>1799</v>
      </c>
      <c r="B1285" s="1">
        <v>44808</v>
      </c>
      <c r="C1285" t="s">
        <v>106</v>
      </c>
      <c r="D1285" t="s">
        <v>69</v>
      </c>
      <c r="E1285" t="s">
        <v>108</v>
      </c>
      <c r="F1285" t="s">
        <v>46</v>
      </c>
      <c r="G1285" t="s">
        <v>32</v>
      </c>
      <c r="H1285" t="s">
        <v>33</v>
      </c>
      <c r="I1285" t="s">
        <v>34</v>
      </c>
      <c r="J1285" t="s">
        <v>70</v>
      </c>
      <c r="K1285" s="2">
        <v>32558</v>
      </c>
      <c r="L1285" t="s">
        <v>36</v>
      </c>
      <c r="M1285" t="s">
        <v>48</v>
      </c>
      <c r="N1285" t="s">
        <v>72</v>
      </c>
      <c r="O1285" t="s">
        <v>67</v>
      </c>
      <c r="P1285" t="s">
        <v>40</v>
      </c>
      <c r="Q1285">
        <v>3</v>
      </c>
      <c r="R1285" s="2">
        <v>45044</v>
      </c>
      <c r="S1285">
        <v>2</v>
      </c>
      <c r="T1285">
        <v>5</v>
      </c>
      <c r="U1285">
        <v>3</v>
      </c>
      <c r="V1285" s="1">
        <v>44861</v>
      </c>
      <c r="W1285" t="s">
        <v>68</v>
      </c>
      <c r="X1285" t="s">
        <v>42</v>
      </c>
      <c r="Y1285" t="s">
        <v>73</v>
      </c>
      <c r="Z1285">
        <v>1</v>
      </c>
      <c r="AA1285">
        <v>338.36</v>
      </c>
      <c r="AB1285">
        <v>33</v>
      </c>
    </row>
    <row r="1286" spans="1:28" x14ac:dyDescent="0.2">
      <c r="A1286">
        <v>1800</v>
      </c>
      <c r="B1286" s="1">
        <v>43756</v>
      </c>
      <c r="C1286" t="s">
        <v>28</v>
      </c>
      <c r="D1286" t="s">
        <v>64</v>
      </c>
      <c r="E1286" t="s">
        <v>30</v>
      </c>
      <c r="F1286" t="s">
        <v>46</v>
      </c>
      <c r="G1286" t="s">
        <v>32</v>
      </c>
      <c r="H1286" t="s">
        <v>55</v>
      </c>
      <c r="I1286" t="s">
        <v>34</v>
      </c>
      <c r="J1286" t="s">
        <v>101</v>
      </c>
      <c r="K1286" s="2">
        <v>27855</v>
      </c>
      <c r="L1286" t="s">
        <v>36</v>
      </c>
      <c r="M1286" t="s">
        <v>37</v>
      </c>
      <c r="N1286" t="s">
        <v>72</v>
      </c>
      <c r="O1286" t="s">
        <v>77</v>
      </c>
      <c r="P1286" t="s">
        <v>40</v>
      </c>
      <c r="Q1286">
        <v>3</v>
      </c>
      <c r="R1286" s="2">
        <v>44960</v>
      </c>
      <c r="S1286">
        <v>4</v>
      </c>
      <c r="T1286">
        <v>3</v>
      </c>
      <c r="U1286">
        <v>5</v>
      </c>
      <c r="V1286" s="1">
        <v>45033</v>
      </c>
      <c r="W1286" t="s">
        <v>68</v>
      </c>
      <c r="X1286" t="s">
        <v>51</v>
      </c>
      <c r="Y1286" t="s">
        <v>43</v>
      </c>
      <c r="Z1286">
        <v>1</v>
      </c>
      <c r="AA1286">
        <v>732.84</v>
      </c>
      <c r="AB1286">
        <v>43</v>
      </c>
    </row>
    <row r="1287" spans="1:28" x14ac:dyDescent="0.2">
      <c r="A1287">
        <v>1801</v>
      </c>
      <c r="B1287" s="1">
        <v>44402</v>
      </c>
      <c r="C1287" t="s">
        <v>28</v>
      </c>
      <c r="D1287" t="s">
        <v>94</v>
      </c>
      <c r="E1287" t="s">
        <v>30</v>
      </c>
      <c r="F1287" t="s">
        <v>55</v>
      </c>
      <c r="G1287" t="s">
        <v>32</v>
      </c>
      <c r="H1287" t="s">
        <v>33</v>
      </c>
      <c r="I1287" t="s">
        <v>34</v>
      </c>
      <c r="J1287" t="s">
        <v>65</v>
      </c>
      <c r="K1287" s="2">
        <v>32726</v>
      </c>
      <c r="L1287" t="s">
        <v>36</v>
      </c>
      <c r="M1287" t="s">
        <v>37</v>
      </c>
      <c r="N1287" t="s">
        <v>49</v>
      </c>
      <c r="O1287" t="s">
        <v>67</v>
      </c>
      <c r="P1287" t="s">
        <v>40</v>
      </c>
      <c r="Q1287">
        <v>3</v>
      </c>
      <c r="R1287" s="2">
        <v>45079</v>
      </c>
      <c r="S1287">
        <v>3</v>
      </c>
      <c r="T1287">
        <v>4</v>
      </c>
      <c r="U1287">
        <v>3</v>
      </c>
      <c r="V1287" s="1">
        <v>45099</v>
      </c>
      <c r="W1287" t="s">
        <v>68</v>
      </c>
      <c r="X1287" t="s">
        <v>51</v>
      </c>
      <c r="Y1287" t="s">
        <v>52</v>
      </c>
      <c r="Z1287">
        <v>1</v>
      </c>
      <c r="AA1287">
        <v>753.69</v>
      </c>
      <c r="AB1287">
        <v>32</v>
      </c>
    </row>
    <row r="1288" spans="1:28" x14ac:dyDescent="0.2">
      <c r="A1288">
        <v>1802</v>
      </c>
      <c r="B1288" s="1">
        <v>43921</v>
      </c>
      <c r="C1288" t="s">
        <v>28</v>
      </c>
      <c r="D1288" t="s">
        <v>74</v>
      </c>
      <c r="E1288" t="s">
        <v>30</v>
      </c>
      <c r="F1288" t="s">
        <v>46</v>
      </c>
      <c r="G1288" t="s">
        <v>56</v>
      </c>
      <c r="H1288" t="s">
        <v>33</v>
      </c>
      <c r="I1288" t="s">
        <v>34</v>
      </c>
      <c r="J1288" t="s">
        <v>70</v>
      </c>
      <c r="K1288" s="2">
        <v>30176</v>
      </c>
      <c r="L1288" t="s">
        <v>36</v>
      </c>
      <c r="M1288" t="s">
        <v>37</v>
      </c>
      <c r="N1288" t="s">
        <v>60</v>
      </c>
      <c r="O1288" t="s">
        <v>77</v>
      </c>
      <c r="P1288" t="s">
        <v>40</v>
      </c>
      <c r="Q1288">
        <v>3</v>
      </c>
      <c r="R1288" s="2">
        <v>45067</v>
      </c>
      <c r="S1288">
        <v>4</v>
      </c>
      <c r="T1288">
        <v>2</v>
      </c>
      <c r="U1288">
        <v>5</v>
      </c>
      <c r="V1288" s="1">
        <v>45123</v>
      </c>
      <c r="W1288" t="s">
        <v>50</v>
      </c>
      <c r="X1288" t="s">
        <v>42</v>
      </c>
      <c r="Y1288" t="s">
        <v>43</v>
      </c>
      <c r="Z1288">
        <v>5</v>
      </c>
      <c r="AA1288">
        <v>131.91999999999999</v>
      </c>
      <c r="AB1288">
        <v>38</v>
      </c>
    </row>
    <row r="1289" spans="1:28" x14ac:dyDescent="0.2">
      <c r="A1289">
        <v>1803</v>
      </c>
      <c r="B1289" s="1">
        <v>43780</v>
      </c>
      <c r="C1289" t="s">
        <v>28</v>
      </c>
      <c r="D1289" t="s">
        <v>81</v>
      </c>
      <c r="E1289" t="s">
        <v>30</v>
      </c>
      <c r="F1289" t="s">
        <v>55</v>
      </c>
      <c r="G1289" t="s">
        <v>32</v>
      </c>
      <c r="H1289" t="s">
        <v>55</v>
      </c>
      <c r="I1289" t="s">
        <v>34</v>
      </c>
      <c r="J1289" t="s">
        <v>75</v>
      </c>
      <c r="K1289" s="2">
        <v>30082</v>
      </c>
      <c r="L1289" t="s">
        <v>36</v>
      </c>
      <c r="M1289" t="s">
        <v>37</v>
      </c>
      <c r="N1289" t="s">
        <v>60</v>
      </c>
      <c r="O1289" t="s">
        <v>77</v>
      </c>
      <c r="P1289" t="s">
        <v>40</v>
      </c>
      <c r="Q1289">
        <v>3</v>
      </c>
      <c r="R1289" s="2">
        <v>44945</v>
      </c>
      <c r="S1289">
        <v>1</v>
      </c>
      <c r="T1289">
        <v>3</v>
      </c>
      <c r="U1289">
        <v>1</v>
      </c>
      <c r="V1289" s="1">
        <v>44824</v>
      </c>
      <c r="W1289" t="s">
        <v>41</v>
      </c>
      <c r="X1289" t="s">
        <v>51</v>
      </c>
      <c r="Y1289" t="s">
        <v>73</v>
      </c>
      <c r="Z1289">
        <v>4</v>
      </c>
      <c r="AA1289">
        <v>550.54999999999995</v>
      </c>
      <c r="AB1289">
        <v>37</v>
      </c>
    </row>
    <row r="1290" spans="1:28" x14ac:dyDescent="0.2">
      <c r="A1290">
        <v>1804</v>
      </c>
      <c r="B1290" s="1">
        <v>44535</v>
      </c>
      <c r="C1290" t="s">
        <v>28</v>
      </c>
      <c r="D1290" t="s">
        <v>54</v>
      </c>
      <c r="E1290" t="s">
        <v>30</v>
      </c>
      <c r="F1290" t="s">
        <v>46</v>
      </c>
      <c r="G1290" t="s">
        <v>45</v>
      </c>
      <c r="H1290" t="s">
        <v>33</v>
      </c>
      <c r="I1290" t="s">
        <v>34</v>
      </c>
      <c r="J1290" t="s">
        <v>70</v>
      </c>
      <c r="K1290" s="2">
        <v>21021</v>
      </c>
      <c r="L1290" t="s">
        <v>36</v>
      </c>
      <c r="M1290" t="s">
        <v>48</v>
      </c>
      <c r="N1290" t="s">
        <v>49</v>
      </c>
      <c r="O1290" t="s">
        <v>39</v>
      </c>
      <c r="P1290" t="s">
        <v>40</v>
      </c>
      <c r="Q1290">
        <v>3</v>
      </c>
      <c r="R1290" s="2">
        <v>45030</v>
      </c>
      <c r="S1290">
        <v>3</v>
      </c>
      <c r="T1290">
        <v>3</v>
      </c>
      <c r="U1290">
        <v>5</v>
      </c>
      <c r="V1290" s="1">
        <v>44795</v>
      </c>
      <c r="W1290" t="s">
        <v>50</v>
      </c>
      <c r="X1290" t="s">
        <v>42</v>
      </c>
      <c r="Y1290" t="s">
        <v>43</v>
      </c>
      <c r="Z1290">
        <v>1</v>
      </c>
      <c r="AA1290">
        <v>767.49</v>
      </c>
      <c r="AB1290">
        <v>64</v>
      </c>
    </row>
    <row r="1291" spans="1:28" x14ac:dyDescent="0.2">
      <c r="A1291">
        <v>1805</v>
      </c>
      <c r="B1291" s="1">
        <v>43451</v>
      </c>
      <c r="C1291" t="s">
        <v>28</v>
      </c>
      <c r="D1291" t="s">
        <v>69</v>
      </c>
      <c r="E1291" t="s">
        <v>30</v>
      </c>
      <c r="F1291" t="s">
        <v>31</v>
      </c>
      <c r="G1291" t="s">
        <v>45</v>
      </c>
      <c r="H1291" t="s">
        <v>33</v>
      </c>
      <c r="I1291" t="s">
        <v>34</v>
      </c>
      <c r="J1291" t="s">
        <v>47</v>
      </c>
      <c r="K1291" s="2">
        <v>25237</v>
      </c>
      <c r="L1291" t="s">
        <v>36</v>
      </c>
      <c r="M1291" t="s">
        <v>48</v>
      </c>
      <c r="N1291" t="s">
        <v>72</v>
      </c>
      <c r="O1291" t="s">
        <v>77</v>
      </c>
      <c r="P1291" t="s">
        <v>40</v>
      </c>
      <c r="Q1291">
        <v>3</v>
      </c>
      <c r="R1291" s="2">
        <v>45116</v>
      </c>
      <c r="S1291">
        <v>3</v>
      </c>
      <c r="T1291">
        <v>3</v>
      </c>
      <c r="U1291">
        <v>1</v>
      </c>
      <c r="V1291" s="1">
        <v>44968</v>
      </c>
      <c r="W1291" t="s">
        <v>92</v>
      </c>
      <c r="X1291" t="s">
        <v>42</v>
      </c>
      <c r="Y1291" t="s">
        <v>52</v>
      </c>
      <c r="Z1291">
        <v>5</v>
      </c>
      <c r="AA1291">
        <v>222.88</v>
      </c>
      <c r="AB1291">
        <v>49</v>
      </c>
    </row>
    <row r="1292" spans="1:28" x14ac:dyDescent="0.2">
      <c r="A1292">
        <v>1806</v>
      </c>
      <c r="B1292" s="1">
        <v>44626</v>
      </c>
      <c r="C1292" t="s">
        <v>28</v>
      </c>
      <c r="D1292" t="s">
        <v>29</v>
      </c>
      <c r="E1292" t="s">
        <v>30</v>
      </c>
      <c r="F1292" t="s">
        <v>46</v>
      </c>
      <c r="G1292" t="s">
        <v>45</v>
      </c>
      <c r="H1292" t="s">
        <v>55</v>
      </c>
      <c r="I1292" t="s">
        <v>34</v>
      </c>
      <c r="J1292" t="s">
        <v>65</v>
      </c>
      <c r="K1292" s="2">
        <v>18804</v>
      </c>
      <c r="L1292" t="s">
        <v>36</v>
      </c>
      <c r="M1292" t="s">
        <v>48</v>
      </c>
      <c r="N1292" t="s">
        <v>84</v>
      </c>
      <c r="O1292" t="s">
        <v>61</v>
      </c>
      <c r="P1292" t="s">
        <v>40</v>
      </c>
      <c r="Q1292">
        <v>3</v>
      </c>
      <c r="R1292" s="2">
        <v>44778</v>
      </c>
      <c r="S1292">
        <v>1</v>
      </c>
      <c r="T1292">
        <v>2</v>
      </c>
      <c r="U1292">
        <v>5</v>
      </c>
      <c r="V1292" s="1">
        <v>45134</v>
      </c>
      <c r="W1292" t="s">
        <v>92</v>
      </c>
      <c r="X1292" t="s">
        <v>42</v>
      </c>
      <c r="Y1292" t="s">
        <v>73</v>
      </c>
      <c r="Z1292">
        <v>3</v>
      </c>
      <c r="AA1292">
        <v>176.2</v>
      </c>
      <c r="AB1292">
        <v>71</v>
      </c>
    </row>
    <row r="1293" spans="1:28" x14ac:dyDescent="0.2">
      <c r="A1293">
        <v>1807</v>
      </c>
      <c r="B1293" s="1">
        <v>43712</v>
      </c>
      <c r="C1293" t="s">
        <v>28</v>
      </c>
      <c r="D1293" t="s">
        <v>85</v>
      </c>
      <c r="E1293" t="s">
        <v>30</v>
      </c>
      <c r="F1293" t="s">
        <v>31</v>
      </c>
      <c r="G1293" t="s">
        <v>32</v>
      </c>
      <c r="H1293" t="s">
        <v>55</v>
      </c>
      <c r="I1293" t="s">
        <v>34</v>
      </c>
      <c r="J1293" t="s">
        <v>105</v>
      </c>
      <c r="K1293" s="2">
        <v>29172</v>
      </c>
      <c r="L1293" t="s">
        <v>36</v>
      </c>
      <c r="M1293" t="s">
        <v>37</v>
      </c>
      <c r="N1293" t="s">
        <v>38</v>
      </c>
      <c r="O1293" t="s">
        <v>39</v>
      </c>
      <c r="P1293" t="s">
        <v>40</v>
      </c>
      <c r="Q1293">
        <v>3</v>
      </c>
      <c r="R1293" s="2">
        <v>44960</v>
      </c>
      <c r="S1293">
        <v>1</v>
      </c>
      <c r="T1293">
        <v>4</v>
      </c>
      <c r="U1293">
        <v>4</v>
      </c>
      <c r="V1293" s="1">
        <v>44992</v>
      </c>
      <c r="W1293" t="s">
        <v>68</v>
      </c>
      <c r="X1293" t="s">
        <v>51</v>
      </c>
      <c r="Y1293" t="s">
        <v>52</v>
      </c>
      <c r="Z1293">
        <v>5</v>
      </c>
      <c r="AA1293">
        <v>794.61</v>
      </c>
      <c r="AB1293">
        <v>40</v>
      </c>
    </row>
    <row r="1294" spans="1:28" x14ac:dyDescent="0.2">
      <c r="A1294">
        <v>1808</v>
      </c>
      <c r="B1294" s="1">
        <v>45133</v>
      </c>
      <c r="C1294" t="s">
        <v>28</v>
      </c>
      <c r="D1294" t="s">
        <v>44</v>
      </c>
      <c r="E1294" t="s">
        <v>30</v>
      </c>
      <c r="F1294" t="s">
        <v>46</v>
      </c>
      <c r="G1294" t="s">
        <v>45</v>
      </c>
      <c r="H1294" t="s">
        <v>46</v>
      </c>
      <c r="I1294" t="s">
        <v>34</v>
      </c>
      <c r="J1294" t="s">
        <v>89</v>
      </c>
      <c r="K1294" s="2">
        <v>30584</v>
      </c>
      <c r="L1294" t="s">
        <v>36</v>
      </c>
      <c r="M1294" t="s">
        <v>37</v>
      </c>
      <c r="N1294" t="s">
        <v>72</v>
      </c>
      <c r="O1294" t="s">
        <v>67</v>
      </c>
      <c r="P1294" t="s">
        <v>40</v>
      </c>
      <c r="Q1294">
        <v>3</v>
      </c>
      <c r="R1294" s="2">
        <v>45041</v>
      </c>
      <c r="S1294">
        <v>5</v>
      </c>
      <c r="T1294">
        <v>2</v>
      </c>
      <c r="U1294">
        <v>4</v>
      </c>
      <c r="V1294" s="1">
        <v>44846</v>
      </c>
      <c r="W1294" t="s">
        <v>50</v>
      </c>
      <c r="X1294" t="s">
        <v>51</v>
      </c>
      <c r="Y1294" t="s">
        <v>73</v>
      </c>
      <c r="Z1294">
        <v>1</v>
      </c>
      <c r="AA1294">
        <v>147.08000000000001</v>
      </c>
      <c r="AB1294">
        <v>40</v>
      </c>
    </row>
    <row r="1295" spans="1:28" x14ac:dyDescent="0.2">
      <c r="A1295">
        <v>1809</v>
      </c>
      <c r="B1295" s="1">
        <v>44914</v>
      </c>
      <c r="C1295" t="s">
        <v>28</v>
      </c>
      <c r="D1295" t="s">
        <v>87</v>
      </c>
      <c r="E1295" t="s">
        <v>30</v>
      </c>
      <c r="F1295" t="s">
        <v>31</v>
      </c>
      <c r="G1295" t="s">
        <v>32</v>
      </c>
      <c r="H1295" t="s">
        <v>46</v>
      </c>
      <c r="I1295" t="s">
        <v>34</v>
      </c>
      <c r="J1295" t="s">
        <v>105</v>
      </c>
      <c r="K1295" s="2">
        <v>24435</v>
      </c>
      <c r="L1295" t="s">
        <v>36</v>
      </c>
      <c r="M1295" t="s">
        <v>37</v>
      </c>
      <c r="N1295" t="s">
        <v>60</v>
      </c>
      <c r="O1295" t="s">
        <v>77</v>
      </c>
      <c r="P1295" t="s">
        <v>40</v>
      </c>
      <c r="Q1295">
        <v>3</v>
      </c>
      <c r="R1295" s="2">
        <v>45023</v>
      </c>
      <c r="S1295">
        <v>5</v>
      </c>
      <c r="T1295">
        <v>2</v>
      </c>
      <c r="U1295">
        <v>1</v>
      </c>
      <c r="V1295" s="1">
        <v>44788</v>
      </c>
      <c r="W1295" t="s">
        <v>92</v>
      </c>
      <c r="X1295" t="s">
        <v>42</v>
      </c>
      <c r="Y1295" t="s">
        <v>52</v>
      </c>
      <c r="Z1295">
        <v>5</v>
      </c>
      <c r="AA1295">
        <v>488.94</v>
      </c>
      <c r="AB1295">
        <v>56</v>
      </c>
    </row>
    <row r="1296" spans="1:28" x14ac:dyDescent="0.2">
      <c r="A1296">
        <v>1810</v>
      </c>
      <c r="B1296" s="1">
        <v>44425</v>
      </c>
      <c r="C1296" t="s">
        <v>28</v>
      </c>
      <c r="D1296" t="s">
        <v>64</v>
      </c>
      <c r="E1296" t="s">
        <v>30</v>
      </c>
      <c r="F1296" t="s">
        <v>55</v>
      </c>
      <c r="G1296" t="s">
        <v>45</v>
      </c>
      <c r="H1296" t="s">
        <v>46</v>
      </c>
      <c r="I1296" t="s">
        <v>34</v>
      </c>
      <c r="J1296" t="s">
        <v>65</v>
      </c>
      <c r="K1296" s="2">
        <v>34668</v>
      </c>
      <c r="L1296" t="s">
        <v>36</v>
      </c>
      <c r="M1296" t="s">
        <v>48</v>
      </c>
      <c r="N1296" t="s">
        <v>72</v>
      </c>
      <c r="O1296" t="s">
        <v>77</v>
      </c>
      <c r="P1296" t="s">
        <v>40</v>
      </c>
      <c r="Q1296">
        <v>3</v>
      </c>
      <c r="R1296" s="2">
        <v>45113</v>
      </c>
      <c r="S1296">
        <v>5</v>
      </c>
      <c r="T1296">
        <v>1</v>
      </c>
      <c r="U1296">
        <v>4</v>
      </c>
      <c r="V1296" s="1">
        <v>44979</v>
      </c>
      <c r="W1296" t="s">
        <v>62</v>
      </c>
      <c r="X1296" t="s">
        <v>51</v>
      </c>
      <c r="Y1296" t="s">
        <v>43</v>
      </c>
      <c r="Z1296">
        <v>1</v>
      </c>
      <c r="AA1296">
        <v>603.57000000000005</v>
      </c>
      <c r="AB1296">
        <v>27</v>
      </c>
    </row>
    <row r="1297" spans="1:28" x14ac:dyDescent="0.2">
      <c r="A1297">
        <v>1811</v>
      </c>
      <c r="B1297" s="1">
        <v>44723</v>
      </c>
      <c r="C1297" t="s">
        <v>28</v>
      </c>
      <c r="D1297" t="s">
        <v>94</v>
      </c>
      <c r="E1297" t="s">
        <v>30</v>
      </c>
      <c r="F1297" t="s">
        <v>31</v>
      </c>
      <c r="G1297" t="s">
        <v>45</v>
      </c>
      <c r="H1297" t="s">
        <v>55</v>
      </c>
      <c r="I1297" t="s">
        <v>34</v>
      </c>
      <c r="J1297" t="s">
        <v>110</v>
      </c>
      <c r="K1297" s="2">
        <v>28470</v>
      </c>
      <c r="L1297" t="s">
        <v>36</v>
      </c>
      <c r="M1297" t="s">
        <v>37</v>
      </c>
      <c r="N1297" t="s">
        <v>72</v>
      </c>
      <c r="O1297" t="s">
        <v>77</v>
      </c>
      <c r="P1297" t="s">
        <v>40</v>
      </c>
      <c r="Q1297">
        <v>3</v>
      </c>
      <c r="R1297" s="2">
        <v>44815</v>
      </c>
      <c r="S1297">
        <v>2</v>
      </c>
      <c r="T1297">
        <v>5</v>
      </c>
      <c r="U1297">
        <v>1</v>
      </c>
      <c r="V1297" s="1">
        <v>45132</v>
      </c>
      <c r="W1297" t="s">
        <v>50</v>
      </c>
      <c r="X1297" t="s">
        <v>51</v>
      </c>
      <c r="Y1297" t="s">
        <v>52</v>
      </c>
      <c r="Z1297">
        <v>3</v>
      </c>
      <c r="AA1297">
        <v>819.87</v>
      </c>
      <c r="AB1297">
        <v>45</v>
      </c>
    </row>
    <row r="1298" spans="1:28" x14ac:dyDescent="0.2">
      <c r="A1298">
        <v>1812</v>
      </c>
      <c r="B1298" s="1">
        <v>44470</v>
      </c>
      <c r="C1298" t="s">
        <v>28</v>
      </c>
      <c r="D1298" t="s">
        <v>74</v>
      </c>
      <c r="E1298" t="s">
        <v>108</v>
      </c>
      <c r="F1298" t="s">
        <v>31</v>
      </c>
      <c r="G1298" t="s">
        <v>45</v>
      </c>
      <c r="H1298" t="s">
        <v>55</v>
      </c>
      <c r="I1298" t="s">
        <v>34</v>
      </c>
      <c r="J1298" t="s">
        <v>65</v>
      </c>
      <c r="K1298" s="2">
        <v>28609</v>
      </c>
      <c r="L1298" t="s">
        <v>36</v>
      </c>
      <c r="M1298" t="s">
        <v>37</v>
      </c>
      <c r="N1298" t="s">
        <v>72</v>
      </c>
      <c r="O1298" t="s">
        <v>39</v>
      </c>
      <c r="P1298" t="s">
        <v>40</v>
      </c>
      <c r="Q1298">
        <v>3</v>
      </c>
      <c r="R1298" s="2">
        <v>44900</v>
      </c>
      <c r="S1298">
        <v>4</v>
      </c>
      <c r="T1298">
        <v>2</v>
      </c>
      <c r="U1298">
        <v>5</v>
      </c>
      <c r="V1298" s="1">
        <v>44989</v>
      </c>
      <c r="W1298" t="s">
        <v>41</v>
      </c>
      <c r="X1298" t="s">
        <v>42</v>
      </c>
      <c r="Y1298" t="s">
        <v>52</v>
      </c>
      <c r="Z1298">
        <v>2</v>
      </c>
      <c r="AA1298">
        <v>836.19</v>
      </c>
      <c r="AB1298">
        <v>43</v>
      </c>
    </row>
    <row r="1299" spans="1:28" x14ac:dyDescent="0.2">
      <c r="A1299">
        <v>1813</v>
      </c>
      <c r="B1299" s="1">
        <v>44047</v>
      </c>
      <c r="C1299" t="s">
        <v>28</v>
      </c>
      <c r="D1299" t="s">
        <v>81</v>
      </c>
      <c r="E1299" t="s">
        <v>30</v>
      </c>
      <c r="F1299" t="s">
        <v>31</v>
      </c>
      <c r="G1299" t="s">
        <v>32</v>
      </c>
      <c r="H1299" t="s">
        <v>33</v>
      </c>
      <c r="I1299" t="s">
        <v>34</v>
      </c>
      <c r="J1299" t="s">
        <v>47</v>
      </c>
      <c r="K1299" s="2">
        <v>29232</v>
      </c>
      <c r="L1299" t="s">
        <v>36</v>
      </c>
      <c r="M1299" t="s">
        <v>37</v>
      </c>
      <c r="N1299" t="s">
        <v>60</v>
      </c>
      <c r="O1299" t="s">
        <v>77</v>
      </c>
      <c r="P1299" t="s">
        <v>40</v>
      </c>
      <c r="Q1299">
        <v>3</v>
      </c>
      <c r="R1299" s="2">
        <v>45080</v>
      </c>
      <c r="S1299">
        <v>3</v>
      </c>
      <c r="T1299">
        <v>5</v>
      </c>
      <c r="U1299">
        <v>3</v>
      </c>
      <c r="V1299" s="1">
        <v>44870</v>
      </c>
      <c r="W1299" t="s">
        <v>62</v>
      </c>
      <c r="X1299" t="s">
        <v>51</v>
      </c>
      <c r="Y1299" t="s">
        <v>73</v>
      </c>
      <c r="Z1299">
        <v>5</v>
      </c>
      <c r="AA1299">
        <v>879.94</v>
      </c>
      <c r="AB1299">
        <v>40</v>
      </c>
    </row>
    <row r="1300" spans="1:28" x14ac:dyDescent="0.2">
      <c r="A1300">
        <v>1814</v>
      </c>
      <c r="B1300" s="1">
        <v>44603</v>
      </c>
      <c r="C1300" t="s">
        <v>28</v>
      </c>
      <c r="D1300" t="s">
        <v>54</v>
      </c>
      <c r="E1300" t="s">
        <v>30</v>
      </c>
      <c r="F1300" t="s">
        <v>55</v>
      </c>
      <c r="G1300" t="s">
        <v>45</v>
      </c>
      <c r="H1300" t="s">
        <v>46</v>
      </c>
      <c r="I1300" t="s">
        <v>34</v>
      </c>
      <c r="J1300" t="s">
        <v>101</v>
      </c>
      <c r="K1300" s="2">
        <v>29288</v>
      </c>
      <c r="L1300" t="s">
        <v>36</v>
      </c>
      <c r="M1300" t="s">
        <v>37</v>
      </c>
      <c r="N1300" t="s">
        <v>72</v>
      </c>
      <c r="O1300" t="s">
        <v>39</v>
      </c>
      <c r="P1300" t="s">
        <v>40</v>
      </c>
      <c r="Q1300">
        <v>3</v>
      </c>
      <c r="R1300" s="2">
        <v>45031</v>
      </c>
      <c r="S1300">
        <v>3</v>
      </c>
      <c r="T1300">
        <v>3</v>
      </c>
      <c r="U1300">
        <v>1</v>
      </c>
      <c r="V1300" s="1">
        <v>45081</v>
      </c>
      <c r="W1300" t="s">
        <v>50</v>
      </c>
      <c r="X1300" t="s">
        <v>42</v>
      </c>
      <c r="Y1300" t="s">
        <v>43</v>
      </c>
      <c r="Z1300">
        <v>3</v>
      </c>
      <c r="AA1300">
        <v>532.29999999999995</v>
      </c>
      <c r="AB1300">
        <v>42</v>
      </c>
    </row>
    <row r="1301" spans="1:28" x14ac:dyDescent="0.2">
      <c r="A1301">
        <v>1815</v>
      </c>
      <c r="B1301" s="1">
        <v>44004</v>
      </c>
      <c r="C1301" t="s">
        <v>28</v>
      </c>
      <c r="D1301" t="s">
        <v>69</v>
      </c>
      <c r="E1301" t="s">
        <v>30</v>
      </c>
      <c r="F1301" t="s">
        <v>31</v>
      </c>
      <c r="G1301" t="s">
        <v>45</v>
      </c>
      <c r="H1301" t="s">
        <v>46</v>
      </c>
      <c r="I1301" t="s">
        <v>34</v>
      </c>
      <c r="J1301" t="s">
        <v>96</v>
      </c>
      <c r="K1301" s="2">
        <v>22414</v>
      </c>
      <c r="L1301" t="s">
        <v>36</v>
      </c>
      <c r="M1301" t="s">
        <v>37</v>
      </c>
      <c r="N1301" t="s">
        <v>84</v>
      </c>
      <c r="O1301" t="s">
        <v>67</v>
      </c>
      <c r="P1301" t="s">
        <v>40</v>
      </c>
      <c r="Q1301">
        <v>3</v>
      </c>
      <c r="R1301" s="2">
        <v>44857</v>
      </c>
      <c r="S1301">
        <v>1</v>
      </c>
      <c r="T1301">
        <v>4</v>
      </c>
      <c r="U1301">
        <v>5</v>
      </c>
      <c r="V1301" s="1">
        <v>44837</v>
      </c>
      <c r="W1301" t="s">
        <v>41</v>
      </c>
      <c r="X1301" t="s">
        <v>51</v>
      </c>
      <c r="Y1301" t="s">
        <v>52</v>
      </c>
      <c r="Z1301">
        <v>5</v>
      </c>
      <c r="AA1301">
        <v>758.21</v>
      </c>
      <c r="AB1301">
        <v>59</v>
      </c>
    </row>
    <row r="1302" spans="1:28" x14ac:dyDescent="0.2">
      <c r="A1302">
        <v>1816</v>
      </c>
      <c r="B1302" s="1">
        <v>44071</v>
      </c>
      <c r="C1302" t="s">
        <v>106</v>
      </c>
      <c r="D1302" t="s">
        <v>81</v>
      </c>
      <c r="E1302" t="s">
        <v>30</v>
      </c>
      <c r="F1302" t="s">
        <v>31</v>
      </c>
      <c r="G1302" t="s">
        <v>45</v>
      </c>
      <c r="H1302" t="s">
        <v>33</v>
      </c>
      <c r="I1302" t="s">
        <v>34</v>
      </c>
      <c r="J1302" t="s">
        <v>65</v>
      </c>
      <c r="K1302" s="2">
        <v>18758</v>
      </c>
      <c r="L1302" t="s">
        <v>36</v>
      </c>
      <c r="M1302" t="s">
        <v>37</v>
      </c>
      <c r="N1302" t="s">
        <v>60</v>
      </c>
      <c r="O1302" t="s">
        <v>61</v>
      </c>
      <c r="P1302" t="s">
        <v>40</v>
      </c>
      <c r="Q1302">
        <v>3</v>
      </c>
      <c r="R1302" s="2">
        <v>45019</v>
      </c>
      <c r="S1302">
        <v>4</v>
      </c>
      <c r="T1302">
        <v>3</v>
      </c>
      <c r="U1302">
        <v>1</v>
      </c>
      <c r="V1302" s="1">
        <v>45082</v>
      </c>
      <c r="W1302" t="s">
        <v>92</v>
      </c>
      <c r="X1302" t="s">
        <v>42</v>
      </c>
      <c r="Y1302" t="s">
        <v>52</v>
      </c>
      <c r="Z1302">
        <v>2</v>
      </c>
      <c r="AA1302">
        <v>253.51</v>
      </c>
      <c r="AB1302">
        <v>69</v>
      </c>
    </row>
    <row r="1303" spans="1:28" x14ac:dyDescent="0.2">
      <c r="A1303">
        <v>1817</v>
      </c>
      <c r="B1303" s="1">
        <v>43591</v>
      </c>
      <c r="C1303" t="s">
        <v>106</v>
      </c>
      <c r="D1303" t="s">
        <v>54</v>
      </c>
      <c r="E1303" t="s">
        <v>30</v>
      </c>
      <c r="F1303" t="s">
        <v>31</v>
      </c>
      <c r="G1303" t="s">
        <v>45</v>
      </c>
      <c r="H1303" t="s">
        <v>33</v>
      </c>
      <c r="I1303" t="s">
        <v>34</v>
      </c>
      <c r="J1303" t="s">
        <v>47</v>
      </c>
      <c r="K1303" s="2">
        <v>31784</v>
      </c>
      <c r="L1303" t="s">
        <v>36</v>
      </c>
      <c r="M1303" t="s">
        <v>37</v>
      </c>
      <c r="N1303" t="s">
        <v>60</v>
      </c>
      <c r="O1303" t="s">
        <v>77</v>
      </c>
      <c r="P1303" t="s">
        <v>40</v>
      </c>
      <c r="Q1303">
        <v>3</v>
      </c>
      <c r="R1303" s="2">
        <v>44985</v>
      </c>
      <c r="S1303">
        <v>3</v>
      </c>
      <c r="T1303">
        <v>1</v>
      </c>
      <c r="U1303">
        <v>5</v>
      </c>
      <c r="V1303" s="1">
        <v>44793</v>
      </c>
      <c r="W1303" t="s">
        <v>41</v>
      </c>
      <c r="X1303" t="s">
        <v>42</v>
      </c>
      <c r="Y1303" t="s">
        <v>63</v>
      </c>
      <c r="Z1303">
        <v>3</v>
      </c>
      <c r="AA1303">
        <v>375.86</v>
      </c>
      <c r="AB1303">
        <v>32</v>
      </c>
    </row>
    <row r="1304" spans="1:28" x14ac:dyDescent="0.2">
      <c r="A1304">
        <v>1818</v>
      </c>
      <c r="B1304" s="1">
        <v>44385</v>
      </c>
      <c r="C1304" t="s">
        <v>106</v>
      </c>
      <c r="D1304" t="s">
        <v>69</v>
      </c>
      <c r="E1304" t="s">
        <v>30</v>
      </c>
      <c r="F1304" t="s">
        <v>31</v>
      </c>
      <c r="G1304" t="s">
        <v>32</v>
      </c>
      <c r="H1304" t="s">
        <v>46</v>
      </c>
      <c r="I1304" t="s">
        <v>34</v>
      </c>
      <c r="J1304" t="s">
        <v>105</v>
      </c>
      <c r="K1304" s="2">
        <v>20461</v>
      </c>
      <c r="L1304" t="s">
        <v>36</v>
      </c>
      <c r="M1304" t="s">
        <v>48</v>
      </c>
      <c r="N1304" t="s">
        <v>49</v>
      </c>
      <c r="O1304" t="s">
        <v>39</v>
      </c>
      <c r="P1304" t="s">
        <v>40</v>
      </c>
      <c r="Q1304">
        <v>3</v>
      </c>
      <c r="R1304" s="2">
        <v>45102</v>
      </c>
      <c r="S1304">
        <v>3</v>
      </c>
      <c r="T1304">
        <v>1</v>
      </c>
      <c r="U1304">
        <v>3</v>
      </c>
      <c r="V1304" s="1">
        <v>45005</v>
      </c>
      <c r="W1304" t="s">
        <v>41</v>
      </c>
      <c r="X1304" t="s">
        <v>51</v>
      </c>
      <c r="Y1304" t="s">
        <v>52</v>
      </c>
      <c r="Z1304">
        <v>5</v>
      </c>
      <c r="AA1304">
        <v>909.47</v>
      </c>
      <c r="AB1304">
        <v>65</v>
      </c>
    </row>
    <row r="1305" spans="1:28" x14ac:dyDescent="0.2">
      <c r="A1305">
        <v>1819</v>
      </c>
      <c r="B1305" s="1">
        <v>44744</v>
      </c>
      <c r="C1305" t="s">
        <v>28</v>
      </c>
      <c r="D1305" t="s">
        <v>74</v>
      </c>
      <c r="E1305" t="s">
        <v>30</v>
      </c>
      <c r="F1305" t="s">
        <v>55</v>
      </c>
      <c r="G1305" t="s">
        <v>56</v>
      </c>
      <c r="H1305" t="s">
        <v>33</v>
      </c>
      <c r="I1305" t="s">
        <v>34</v>
      </c>
      <c r="J1305" t="s">
        <v>65</v>
      </c>
      <c r="K1305" s="2">
        <v>17830</v>
      </c>
      <c r="L1305" t="s">
        <v>36</v>
      </c>
      <c r="M1305" t="s">
        <v>37</v>
      </c>
      <c r="N1305" t="s">
        <v>72</v>
      </c>
      <c r="O1305" t="s">
        <v>61</v>
      </c>
      <c r="P1305" t="s">
        <v>40</v>
      </c>
      <c r="Q1305">
        <v>3</v>
      </c>
      <c r="R1305" s="2">
        <v>44906</v>
      </c>
      <c r="S1305">
        <v>3</v>
      </c>
      <c r="T1305">
        <v>1</v>
      </c>
      <c r="U1305">
        <v>1</v>
      </c>
      <c r="V1305" s="1">
        <v>44853</v>
      </c>
      <c r="W1305" t="s">
        <v>50</v>
      </c>
      <c r="X1305" t="s">
        <v>42</v>
      </c>
      <c r="Y1305" t="s">
        <v>73</v>
      </c>
      <c r="Z1305">
        <v>3</v>
      </c>
      <c r="AA1305">
        <v>649.51</v>
      </c>
      <c r="AB1305">
        <v>74</v>
      </c>
    </row>
    <row r="1306" spans="1:28" x14ac:dyDescent="0.2">
      <c r="A1306">
        <v>1820</v>
      </c>
      <c r="B1306" s="1">
        <v>45050</v>
      </c>
      <c r="C1306" t="s">
        <v>28</v>
      </c>
      <c r="D1306" t="s">
        <v>94</v>
      </c>
      <c r="E1306" t="s">
        <v>30</v>
      </c>
      <c r="F1306" t="s">
        <v>55</v>
      </c>
      <c r="G1306" t="s">
        <v>32</v>
      </c>
      <c r="H1306" t="s">
        <v>46</v>
      </c>
      <c r="I1306" t="s">
        <v>34</v>
      </c>
      <c r="J1306" t="s">
        <v>100</v>
      </c>
      <c r="K1306" s="2">
        <v>29252</v>
      </c>
      <c r="L1306" t="s">
        <v>36</v>
      </c>
      <c r="M1306" t="s">
        <v>37</v>
      </c>
      <c r="N1306" t="s">
        <v>72</v>
      </c>
      <c r="O1306" t="s">
        <v>77</v>
      </c>
      <c r="P1306" t="s">
        <v>40</v>
      </c>
      <c r="Q1306">
        <v>3</v>
      </c>
      <c r="R1306" s="2">
        <v>45008</v>
      </c>
      <c r="S1306">
        <v>5</v>
      </c>
      <c r="T1306">
        <v>4</v>
      </c>
      <c r="U1306">
        <v>3</v>
      </c>
      <c r="V1306" s="1">
        <v>45107</v>
      </c>
      <c r="W1306" t="s">
        <v>50</v>
      </c>
      <c r="X1306" t="s">
        <v>42</v>
      </c>
      <c r="Y1306" t="s">
        <v>43</v>
      </c>
      <c r="Z1306">
        <v>1</v>
      </c>
      <c r="AA1306">
        <v>742.26</v>
      </c>
      <c r="AB1306">
        <v>43</v>
      </c>
    </row>
    <row r="1307" spans="1:28" x14ac:dyDescent="0.2">
      <c r="A1307">
        <v>1821</v>
      </c>
      <c r="B1307" s="1">
        <v>44914</v>
      </c>
      <c r="C1307" t="s">
        <v>28</v>
      </c>
      <c r="D1307" t="s">
        <v>74</v>
      </c>
      <c r="E1307" t="s">
        <v>30</v>
      </c>
      <c r="F1307" t="s">
        <v>55</v>
      </c>
      <c r="G1307" t="s">
        <v>56</v>
      </c>
      <c r="H1307" t="s">
        <v>55</v>
      </c>
      <c r="I1307" t="s">
        <v>34</v>
      </c>
      <c r="J1307" t="s">
        <v>58</v>
      </c>
      <c r="K1307" s="2">
        <v>29421</v>
      </c>
      <c r="L1307" t="s">
        <v>36</v>
      </c>
      <c r="M1307" t="s">
        <v>37</v>
      </c>
      <c r="N1307" t="s">
        <v>49</v>
      </c>
      <c r="O1307" t="s">
        <v>39</v>
      </c>
      <c r="P1307" t="s">
        <v>40</v>
      </c>
      <c r="Q1307">
        <v>3</v>
      </c>
      <c r="R1307" s="2">
        <v>44868</v>
      </c>
      <c r="S1307">
        <v>1</v>
      </c>
      <c r="T1307">
        <v>2</v>
      </c>
      <c r="U1307">
        <v>1</v>
      </c>
      <c r="V1307" s="1">
        <v>44846</v>
      </c>
      <c r="W1307" t="s">
        <v>92</v>
      </c>
      <c r="X1307" t="s">
        <v>42</v>
      </c>
      <c r="Y1307" t="s">
        <v>73</v>
      </c>
      <c r="Z1307">
        <v>4</v>
      </c>
      <c r="AA1307">
        <v>713.84</v>
      </c>
      <c r="AB1307">
        <v>42</v>
      </c>
    </row>
    <row r="1308" spans="1:28" x14ac:dyDescent="0.2">
      <c r="A1308">
        <v>1822</v>
      </c>
      <c r="B1308" s="1">
        <v>44646</v>
      </c>
      <c r="C1308" t="s">
        <v>28</v>
      </c>
      <c r="D1308" t="s">
        <v>81</v>
      </c>
      <c r="E1308" t="s">
        <v>30</v>
      </c>
      <c r="F1308" t="s">
        <v>31</v>
      </c>
      <c r="G1308" t="s">
        <v>32</v>
      </c>
      <c r="H1308" t="s">
        <v>46</v>
      </c>
      <c r="I1308" t="s">
        <v>34</v>
      </c>
      <c r="J1308" t="s">
        <v>101</v>
      </c>
      <c r="K1308" s="2">
        <v>18621</v>
      </c>
      <c r="L1308" t="s">
        <v>36</v>
      </c>
      <c r="M1308" t="s">
        <v>37</v>
      </c>
      <c r="N1308" t="s">
        <v>72</v>
      </c>
      <c r="O1308" t="s">
        <v>39</v>
      </c>
      <c r="P1308" t="s">
        <v>40</v>
      </c>
      <c r="Q1308">
        <v>3</v>
      </c>
      <c r="R1308" s="2">
        <v>44800</v>
      </c>
      <c r="S1308">
        <v>5</v>
      </c>
      <c r="T1308">
        <v>2</v>
      </c>
      <c r="U1308">
        <v>2</v>
      </c>
      <c r="V1308" s="1">
        <v>45136</v>
      </c>
      <c r="W1308" t="s">
        <v>62</v>
      </c>
      <c r="X1308" t="s">
        <v>51</v>
      </c>
      <c r="Y1308" t="s">
        <v>52</v>
      </c>
      <c r="Z1308">
        <v>1</v>
      </c>
      <c r="AA1308">
        <v>999.06</v>
      </c>
      <c r="AB1308">
        <v>72</v>
      </c>
    </row>
    <row r="1309" spans="1:28" x14ac:dyDescent="0.2">
      <c r="A1309">
        <v>1823</v>
      </c>
      <c r="B1309" s="1">
        <v>44325</v>
      </c>
      <c r="C1309" t="s">
        <v>28</v>
      </c>
      <c r="D1309" t="s">
        <v>54</v>
      </c>
      <c r="E1309" t="s">
        <v>30</v>
      </c>
      <c r="F1309" t="s">
        <v>31</v>
      </c>
      <c r="G1309" t="s">
        <v>45</v>
      </c>
      <c r="H1309" t="s">
        <v>55</v>
      </c>
      <c r="I1309" t="s">
        <v>34</v>
      </c>
      <c r="J1309" t="s">
        <v>35</v>
      </c>
      <c r="K1309" s="2">
        <v>22245</v>
      </c>
      <c r="L1309" t="s">
        <v>36</v>
      </c>
      <c r="M1309" t="s">
        <v>48</v>
      </c>
      <c r="N1309" t="s">
        <v>72</v>
      </c>
      <c r="O1309" t="s">
        <v>39</v>
      </c>
      <c r="P1309" t="s">
        <v>40</v>
      </c>
      <c r="Q1309">
        <v>3</v>
      </c>
      <c r="R1309" s="2">
        <v>45058</v>
      </c>
      <c r="S1309">
        <v>4</v>
      </c>
      <c r="T1309">
        <v>4</v>
      </c>
      <c r="U1309">
        <v>3</v>
      </c>
      <c r="V1309" s="1">
        <v>45117</v>
      </c>
      <c r="W1309" t="s">
        <v>41</v>
      </c>
      <c r="X1309" t="s">
        <v>42</v>
      </c>
      <c r="Y1309" t="s">
        <v>63</v>
      </c>
      <c r="Z1309">
        <v>4</v>
      </c>
      <c r="AA1309">
        <v>977.99</v>
      </c>
      <c r="AB1309">
        <v>61</v>
      </c>
    </row>
    <row r="1310" spans="1:28" x14ac:dyDescent="0.2">
      <c r="A1310">
        <v>1824</v>
      </c>
      <c r="B1310" s="1">
        <v>43839</v>
      </c>
      <c r="C1310" t="s">
        <v>28</v>
      </c>
      <c r="D1310" t="s">
        <v>69</v>
      </c>
      <c r="E1310" t="s">
        <v>30</v>
      </c>
      <c r="F1310" t="s">
        <v>31</v>
      </c>
      <c r="G1310" t="s">
        <v>56</v>
      </c>
      <c r="H1310" t="s">
        <v>33</v>
      </c>
      <c r="I1310" t="s">
        <v>34</v>
      </c>
      <c r="J1310" t="s">
        <v>105</v>
      </c>
      <c r="K1310" s="2">
        <v>21977</v>
      </c>
      <c r="L1310" t="s">
        <v>36</v>
      </c>
      <c r="M1310" t="s">
        <v>48</v>
      </c>
      <c r="N1310" t="s">
        <v>60</v>
      </c>
      <c r="O1310" t="s">
        <v>67</v>
      </c>
      <c r="P1310" t="s">
        <v>40</v>
      </c>
      <c r="Q1310">
        <v>3</v>
      </c>
      <c r="R1310" s="2">
        <v>45000</v>
      </c>
      <c r="S1310">
        <v>3</v>
      </c>
      <c r="T1310">
        <v>1</v>
      </c>
      <c r="U1310">
        <v>1</v>
      </c>
      <c r="V1310" s="1">
        <v>44820</v>
      </c>
      <c r="W1310" t="s">
        <v>41</v>
      </c>
      <c r="X1310" t="s">
        <v>51</v>
      </c>
      <c r="Y1310" t="s">
        <v>63</v>
      </c>
      <c r="Z1310">
        <v>5</v>
      </c>
      <c r="AA1310">
        <v>136.33000000000001</v>
      </c>
      <c r="AB1310">
        <v>60</v>
      </c>
    </row>
    <row r="1311" spans="1:28" x14ac:dyDescent="0.2">
      <c r="A1311">
        <v>1825</v>
      </c>
      <c r="B1311" s="1">
        <v>44332</v>
      </c>
      <c r="C1311" t="s">
        <v>28</v>
      </c>
      <c r="D1311" t="s">
        <v>29</v>
      </c>
      <c r="E1311" t="s">
        <v>30</v>
      </c>
      <c r="F1311" t="s">
        <v>31</v>
      </c>
      <c r="G1311" t="s">
        <v>45</v>
      </c>
      <c r="H1311" t="s">
        <v>46</v>
      </c>
      <c r="I1311" t="s">
        <v>34</v>
      </c>
      <c r="J1311" t="s">
        <v>89</v>
      </c>
      <c r="K1311" s="2">
        <v>35404</v>
      </c>
      <c r="L1311" t="s">
        <v>36</v>
      </c>
      <c r="M1311" t="s">
        <v>48</v>
      </c>
      <c r="N1311" t="s">
        <v>38</v>
      </c>
      <c r="O1311" t="s">
        <v>67</v>
      </c>
      <c r="P1311" t="s">
        <v>40</v>
      </c>
      <c r="Q1311">
        <v>3</v>
      </c>
      <c r="R1311" s="2">
        <v>44861</v>
      </c>
      <c r="S1311">
        <v>1</v>
      </c>
      <c r="T1311">
        <v>3</v>
      </c>
      <c r="U1311">
        <v>3</v>
      </c>
      <c r="V1311" s="1">
        <v>44778</v>
      </c>
      <c r="W1311" t="s">
        <v>68</v>
      </c>
      <c r="X1311" t="s">
        <v>51</v>
      </c>
      <c r="Y1311" t="s">
        <v>63</v>
      </c>
      <c r="Z1311">
        <v>4</v>
      </c>
      <c r="AA1311">
        <v>946.67</v>
      </c>
      <c r="AB1311">
        <v>25</v>
      </c>
    </row>
    <row r="1312" spans="1:28" x14ac:dyDescent="0.2">
      <c r="A1312">
        <v>1826</v>
      </c>
      <c r="B1312" s="1">
        <v>44227</v>
      </c>
      <c r="C1312" t="s">
        <v>28</v>
      </c>
      <c r="D1312" t="s">
        <v>85</v>
      </c>
      <c r="E1312" t="s">
        <v>30</v>
      </c>
      <c r="F1312" t="s">
        <v>46</v>
      </c>
      <c r="G1312" t="s">
        <v>56</v>
      </c>
      <c r="H1312" t="s">
        <v>33</v>
      </c>
      <c r="I1312" t="s">
        <v>34</v>
      </c>
      <c r="J1312" t="s">
        <v>47</v>
      </c>
      <c r="K1312" s="2">
        <v>15297</v>
      </c>
      <c r="L1312" t="s">
        <v>36</v>
      </c>
      <c r="M1312" t="s">
        <v>37</v>
      </c>
      <c r="N1312" t="s">
        <v>60</v>
      </c>
      <c r="O1312" t="s">
        <v>39</v>
      </c>
      <c r="P1312" t="s">
        <v>78</v>
      </c>
      <c r="Q1312">
        <v>3</v>
      </c>
      <c r="R1312" s="2">
        <v>44832</v>
      </c>
      <c r="S1312">
        <v>3</v>
      </c>
      <c r="T1312">
        <v>2</v>
      </c>
      <c r="U1312">
        <v>5</v>
      </c>
      <c r="V1312" s="1">
        <v>45131</v>
      </c>
      <c r="W1312" t="s">
        <v>68</v>
      </c>
      <c r="X1312" t="s">
        <v>51</v>
      </c>
      <c r="Y1312" t="s">
        <v>73</v>
      </c>
      <c r="Z1312">
        <v>4</v>
      </c>
      <c r="AA1312">
        <v>485.39</v>
      </c>
      <c r="AB1312">
        <v>80</v>
      </c>
    </row>
    <row r="1313" spans="1:28" x14ac:dyDescent="0.2">
      <c r="A1313">
        <v>1827</v>
      </c>
      <c r="B1313" s="1">
        <v>44458</v>
      </c>
      <c r="C1313" t="s">
        <v>28</v>
      </c>
      <c r="D1313" t="s">
        <v>44</v>
      </c>
      <c r="E1313" t="s">
        <v>30</v>
      </c>
      <c r="F1313" t="s">
        <v>31</v>
      </c>
      <c r="G1313" t="s">
        <v>32</v>
      </c>
      <c r="H1313" t="s">
        <v>55</v>
      </c>
      <c r="I1313" t="s">
        <v>34</v>
      </c>
      <c r="J1313" t="s">
        <v>70</v>
      </c>
      <c r="K1313" s="2">
        <v>30092</v>
      </c>
      <c r="L1313" t="s">
        <v>36</v>
      </c>
      <c r="M1313" t="s">
        <v>37</v>
      </c>
      <c r="N1313" t="s">
        <v>60</v>
      </c>
      <c r="O1313" t="s">
        <v>39</v>
      </c>
      <c r="P1313" t="s">
        <v>98</v>
      </c>
      <c r="Q1313">
        <v>3</v>
      </c>
      <c r="R1313" s="2">
        <v>44829</v>
      </c>
      <c r="S1313">
        <v>1</v>
      </c>
      <c r="T1313">
        <v>3</v>
      </c>
      <c r="U1313">
        <v>5</v>
      </c>
      <c r="V1313" s="1">
        <v>45044</v>
      </c>
      <c r="W1313" t="s">
        <v>92</v>
      </c>
      <c r="X1313" t="s">
        <v>51</v>
      </c>
      <c r="Y1313" t="s">
        <v>52</v>
      </c>
      <c r="Z1313">
        <v>5</v>
      </c>
      <c r="AA1313">
        <v>962.02</v>
      </c>
      <c r="AB1313">
        <v>39</v>
      </c>
    </row>
    <row r="1314" spans="1:28" x14ac:dyDescent="0.2">
      <c r="A1314">
        <v>1828</v>
      </c>
      <c r="B1314" s="1">
        <v>43891</v>
      </c>
      <c r="C1314" t="s">
        <v>28</v>
      </c>
      <c r="D1314" t="s">
        <v>87</v>
      </c>
      <c r="E1314" t="s">
        <v>30</v>
      </c>
      <c r="F1314" t="s">
        <v>46</v>
      </c>
      <c r="G1314" t="s">
        <v>56</v>
      </c>
      <c r="H1314" t="s">
        <v>33</v>
      </c>
      <c r="I1314" t="s">
        <v>34</v>
      </c>
      <c r="J1314" t="s">
        <v>101</v>
      </c>
      <c r="K1314" s="2">
        <v>30415</v>
      </c>
      <c r="L1314" t="s">
        <v>36</v>
      </c>
      <c r="M1314" t="s">
        <v>48</v>
      </c>
      <c r="N1314" t="s">
        <v>72</v>
      </c>
      <c r="O1314" t="s">
        <v>77</v>
      </c>
      <c r="P1314" t="s">
        <v>78</v>
      </c>
      <c r="Q1314">
        <v>3</v>
      </c>
      <c r="R1314" s="2">
        <v>44892</v>
      </c>
      <c r="S1314">
        <v>3</v>
      </c>
      <c r="T1314">
        <v>3</v>
      </c>
      <c r="U1314">
        <v>2</v>
      </c>
      <c r="V1314" s="1">
        <v>45075</v>
      </c>
      <c r="W1314" t="s">
        <v>68</v>
      </c>
      <c r="X1314" t="s">
        <v>51</v>
      </c>
      <c r="Y1314" t="s">
        <v>43</v>
      </c>
      <c r="Z1314">
        <v>1</v>
      </c>
      <c r="AA1314">
        <v>620.24</v>
      </c>
      <c r="AB1314">
        <v>37</v>
      </c>
    </row>
    <row r="1315" spans="1:28" x14ac:dyDescent="0.2">
      <c r="A1315">
        <v>1829</v>
      </c>
      <c r="B1315" s="1">
        <v>43890</v>
      </c>
      <c r="C1315" t="s">
        <v>28</v>
      </c>
      <c r="D1315" t="s">
        <v>64</v>
      </c>
      <c r="E1315" t="s">
        <v>30</v>
      </c>
      <c r="F1315" t="s">
        <v>46</v>
      </c>
      <c r="G1315" t="s">
        <v>56</v>
      </c>
      <c r="H1315" t="s">
        <v>33</v>
      </c>
      <c r="I1315" t="s">
        <v>34</v>
      </c>
      <c r="J1315" t="s">
        <v>79</v>
      </c>
      <c r="K1315" s="2">
        <v>32002</v>
      </c>
      <c r="L1315" t="s">
        <v>36</v>
      </c>
      <c r="M1315" t="s">
        <v>48</v>
      </c>
      <c r="N1315" t="s">
        <v>38</v>
      </c>
      <c r="O1315" t="s">
        <v>67</v>
      </c>
      <c r="P1315" t="s">
        <v>78</v>
      </c>
      <c r="Q1315">
        <v>3</v>
      </c>
      <c r="R1315" s="2">
        <v>44792</v>
      </c>
      <c r="S1315">
        <v>2</v>
      </c>
      <c r="T1315">
        <v>1</v>
      </c>
      <c r="U1315">
        <v>2</v>
      </c>
      <c r="V1315" s="1">
        <v>45037</v>
      </c>
      <c r="W1315" t="s">
        <v>50</v>
      </c>
      <c r="X1315" t="s">
        <v>51</v>
      </c>
      <c r="Y1315" t="s">
        <v>63</v>
      </c>
      <c r="Z1315">
        <v>4</v>
      </c>
      <c r="AA1315">
        <v>333.8</v>
      </c>
      <c r="AB1315">
        <v>33</v>
      </c>
    </row>
    <row r="1316" spans="1:28" x14ac:dyDescent="0.2">
      <c r="A1316">
        <v>1830</v>
      </c>
      <c r="B1316" s="1">
        <v>43442</v>
      </c>
      <c r="C1316" t="s">
        <v>28</v>
      </c>
      <c r="D1316" t="s">
        <v>94</v>
      </c>
      <c r="E1316" t="s">
        <v>30</v>
      </c>
      <c r="F1316" t="s">
        <v>55</v>
      </c>
      <c r="G1316" t="s">
        <v>45</v>
      </c>
      <c r="H1316" t="s">
        <v>33</v>
      </c>
      <c r="I1316" t="s">
        <v>34</v>
      </c>
      <c r="J1316" t="s">
        <v>35</v>
      </c>
      <c r="K1316" s="2">
        <v>22246</v>
      </c>
      <c r="L1316" t="s">
        <v>36</v>
      </c>
      <c r="M1316" t="s">
        <v>37</v>
      </c>
      <c r="N1316" t="s">
        <v>72</v>
      </c>
      <c r="O1316" t="s">
        <v>67</v>
      </c>
      <c r="P1316" t="s">
        <v>98</v>
      </c>
      <c r="Q1316">
        <v>3</v>
      </c>
      <c r="R1316" s="2">
        <v>45119</v>
      </c>
      <c r="S1316">
        <v>1</v>
      </c>
      <c r="T1316">
        <v>4</v>
      </c>
      <c r="U1316">
        <v>1</v>
      </c>
      <c r="V1316" s="1">
        <v>45014</v>
      </c>
      <c r="W1316" t="s">
        <v>41</v>
      </c>
      <c r="X1316" t="s">
        <v>51</v>
      </c>
      <c r="Y1316" t="s">
        <v>73</v>
      </c>
      <c r="Z1316">
        <v>3</v>
      </c>
      <c r="AA1316">
        <v>764.21</v>
      </c>
      <c r="AB1316">
        <v>58</v>
      </c>
    </row>
    <row r="1317" spans="1:28" x14ac:dyDescent="0.2">
      <c r="A1317">
        <v>1831</v>
      </c>
      <c r="B1317" s="1">
        <v>44738</v>
      </c>
      <c r="C1317" t="s">
        <v>28</v>
      </c>
      <c r="D1317" t="s">
        <v>74</v>
      </c>
      <c r="E1317" t="s">
        <v>108</v>
      </c>
      <c r="F1317" t="s">
        <v>46</v>
      </c>
      <c r="G1317" t="s">
        <v>56</v>
      </c>
      <c r="H1317" t="s">
        <v>33</v>
      </c>
      <c r="I1317" t="s">
        <v>34</v>
      </c>
      <c r="J1317" t="s">
        <v>134</v>
      </c>
      <c r="K1317" s="2">
        <v>25855</v>
      </c>
      <c r="L1317" t="s">
        <v>36</v>
      </c>
      <c r="M1317" t="s">
        <v>37</v>
      </c>
      <c r="N1317" t="s">
        <v>84</v>
      </c>
      <c r="O1317" t="s">
        <v>39</v>
      </c>
      <c r="P1317" t="s">
        <v>98</v>
      </c>
      <c r="Q1317">
        <v>3</v>
      </c>
      <c r="R1317" s="2">
        <v>45010</v>
      </c>
      <c r="S1317">
        <v>2</v>
      </c>
      <c r="T1317">
        <v>2</v>
      </c>
      <c r="U1317">
        <v>2</v>
      </c>
      <c r="V1317" s="1">
        <v>44906</v>
      </c>
      <c r="W1317" t="s">
        <v>62</v>
      </c>
      <c r="X1317" t="s">
        <v>42</v>
      </c>
      <c r="Y1317" t="s">
        <v>43</v>
      </c>
      <c r="Z1317">
        <v>3</v>
      </c>
      <c r="AA1317">
        <v>756.42</v>
      </c>
      <c r="AB1317">
        <v>52</v>
      </c>
    </row>
    <row r="1318" spans="1:28" x14ac:dyDescent="0.2">
      <c r="A1318">
        <v>1832</v>
      </c>
      <c r="B1318" s="1">
        <v>43772</v>
      </c>
      <c r="C1318" t="s">
        <v>28</v>
      </c>
      <c r="D1318" t="s">
        <v>81</v>
      </c>
      <c r="E1318" t="s">
        <v>30</v>
      </c>
      <c r="F1318" t="s">
        <v>31</v>
      </c>
      <c r="G1318" t="s">
        <v>45</v>
      </c>
      <c r="H1318" t="s">
        <v>46</v>
      </c>
      <c r="I1318" t="s">
        <v>34</v>
      </c>
      <c r="J1318" t="s">
        <v>79</v>
      </c>
      <c r="K1318" s="2">
        <v>20607</v>
      </c>
      <c r="L1318" t="s">
        <v>36</v>
      </c>
      <c r="M1318" t="s">
        <v>37</v>
      </c>
      <c r="N1318" t="s">
        <v>38</v>
      </c>
      <c r="O1318" t="s">
        <v>67</v>
      </c>
      <c r="P1318" t="s">
        <v>98</v>
      </c>
      <c r="Q1318">
        <v>3</v>
      </c>
      <c r="R1318" s="2">
        <v>44779</v>
      </c>
      <c r="S1318">
        <v>1</v>
      </c>
      <c r="T1318">
        <v>2</v>
      </c>
      <c r="U1318">
        <v>4</v>
      </c>
      <c r="V1318" s="1">
        <v>45137</v>
      </c>
      <c r="W1318" t="s">
        <v>50</v>
      </c>
      <c r="X1318" t="s">
        <v>42</v>
      </c>
      <c r="Y1318" t="s">
        <v>43</v>
      </c>
      <c r="Z1318">
        <v>2</v>
      </c>
      <c r="AA1318">
        <v>716.62</v>
      </c>
      <c r="AB1318">
        <v>63</v>
      </c>
    </row>
    <row r="1319" spans="1:28" x14ac:dyDescent="0.2">
      <c r="A1319">
        <v>1833</v>
      </c>
      <c r="B1319" s="1">
        <v>44927</v>
      </c>
      <c r="C1319" t="s">
        <v>28</v>
      </c>
      <c r="D1319" t="s">
        <v>54</v>
      </c>
      <c r="E1319" t="s">
        <v>30</v>
      </c>
      <c r="F1319" t="s">
        <v>46</v>
      </c>
      <c r="G1319" t="s">
        <v>56</v>
      </c>
      <c r="H1319" t="s">
        <v>55</v>
      </c>
      <c r="I1319" t="s">
        <v>34</v>
      </c>
      <c r="J1319" t="s">
        <v>70</v>
      </c>
      <c r="K1319" s="2">
        <v>30681</v>
      </c>
      <c r="L1319" t="s">
        <v>36</v>
      </c>
      <c r="M1319" t="s">
        <v>37</v>
      </c>
      <c r="N1319" t="s">
        <v>38</v>
      </c>
      <c r="O1319" t="s">
        <v>67</v>
      </c>
      <c r="P1319" t="s">
        <v>98</v>
      </c>
      <c r="Q1319">
        <v>3</v>
      </c>
      <c r="R1319" s="2">
        <v>44949</v>
      </c>
      <c r="S1319">
        <v>4</v>
      </c>
      <c r="T1319">
        <v>3</v>
      </c>
      <c r="U1319">
        <v>2</v>
      </c>
      <c r="V1319" s="1">
        <v>45011</v>
      </c>
      <c r="W1319" t="s">
        <v>68</v>
      </c>
      <c r="X1319" t="s">
        <v>42</v>
      </c>
      <c r="Y1319" t="s">
        <v>43</v>
      </c>
      <c r="Z1319">
        <v>2</v>
      </c>
      <c r="AA1319">
        <v>712.9</v>
      </c>
      <c r="AB1319">
        <v>40</v>
      </c>
    </row>
    <row r="1320" spans="1:28" x14ac:dyDescent="0.2">
      <c r="A1320">
        <v>1834</v>
      </c>
      <c r="B1320" s="1">
        <v>44043</v>
      </c>
      <c r="C1320" t="s">
        <v>106</v>
      </c>
      <c r="D1320" t="s">
        <v>29</v>
      </c>
      <c r="E1320" t="s">
        <v>30</v>
      </c>
      <c r="F1320" t="s">
        <v>31</v>
      </c>
      <c r="G1320" t="s">
        <v>32</v>
      </c>
      <c r="H1320" t="s">
        <v>55</v>
      </c>
      <c r="I1320" t="s">
        <v>34</v>
      </c>
      <c r="J1320" t="s">
        <v>96</v>
      </c>
      <c r="K1320" s="2">
        <v>28746</v>
      </c>
      <c r="L1320" t="s">
        <v>36</v>
      </c>
      <c r="M1320" t="s">
        <v>37</v>
      </c>
      <c r="N1320" t="s">
        <v>38</v>
      </c>
      <c r="O1320" t="s">
        <v>77</v>
      </c>
      <c r="P1320" t="s">
        <v>98</v>
      </c>
      <c r="Q1320">
        <v>3</v>
      </c>
      <c r="R1320" s="2">
        <v>44903</v>
      </c>
      <c r="S1320">
        <v>4</v>
      </c>
      <c r="T1320">
        <v>5</v>
      </c>
      <c r="U1320">
        <v>1</v>
      </c>
      <c r="V1320" s="1">
        <v>44996</v>
      </c>
      <c r="W1320" t="s">
        <v>68</v>
      </c>
      <c r="X1320" t="s">
        <v>42</v>
      </c>
      <c r="Y1320" t="s">
        <v>52</v>
      </c>
      <c r="Z1320">
        <v>1</v>
      </c>
      <c r="AA1320">
        <v>845.82</v>
      </c>
      <c r="AB1320">
        <v>42</v>
      </c>
    </row>
    <row r="1321" spans="1:28" x14ac:dyDescent="0.2">
      <c r="A1321">
        <v>1835</v>
      </c>
      <c r="B1321" s="1">
        <v>44449</v>
      </c>
      <c r="C1321" t="s">
        <v>106</v>
      </c>
      <c r="D1321" t="s">
        <v>44</v>
      </c>
      <c r="E1321" t="s">
        <v>30</v>
      </c>
      <c r="F1321" t="s">
        <v>46</v>
      </c>
      <c r="G1321" t="s">
        <v>56</v>
      </c>
      <c r="H1321" t="s">
        <v>33</v>
      </c>
      <c r="I1321" t="s">
        <v>34</v>
      </c>
      <c r="J1321" t="s">
        <v>70</v>
      </c>
      <c r="K1321" s="2">
        <v>30280</v>
      </c>
      <c r="L1321" t="s">
        <v>36</v>
      </c>
      <c r="M1321" t="s">
        <v>37</v>
      </c>
      <c r="N1321" t="s">
        <v>84</v>
      </c>
      <c r="O1321" t="s">
        <v>61</v>
      </c>
      <c r="P1321" t="s">
        <v>98</v>
      </c>
      <c r="Q1321">
        <v>3</v>
      </c>
      <c r="R1321" s="2">
        <v>45027</v>
      </c>
      <c r="S1321">
        <v>5</v>
      </c>
      <c r="T1321">
        <v>2</v>
      </c>
      <c r="U1321">
        <v>2</v>
      </c>
      <c r="V1321" s="1">
        <v>44986</v>
      </c>
      <c r="W1321" t="s">
        <v>92</v>
      </c>
      <c r="X1321" t="s">
        <v>42</v>
      </c>
      <c r="Y1321" t="s">
        <v>73</v>
      </c>
      <c r="Z1321">
        <v>4</v>
      </c>
      <c r="AA1321">
        <v>727.9</v>
      </c>
      <c r="AB1321">
        <v>39</v>
      </c>
    </row>
    <row r="1322" spans="1:28" x14ac:dyDescent="0.2">
      <c r="A1322">
        <v>1836</v>
      </c>
      <c r="B1322" s="1">
        <v>43635</v>
      </c>
      <c r="C1322" t="s">
        <v>106</v>
      </c>
      <c r="D1322" t="s">
        <v>87</v>
      </c>
      <c r="E1322" t="s">
        <v>30</v>
      </c>
      <c r="F1322" t="s">
        <v>46</v>
      </c>
      <c r="G1322" t="s">
        <v>56</v>
      </c>
      <c r="H1322" t="s">
        <v>33</v>
      </c>
      <c r="I1322" t="s">
        <v>34</v>
      </c>
      <c r="J1322" t="s">
        <v>70</v>
      </c>
      <c r="K1322" s="2">
        <v>25947</v>
      </c>
      <c r="L1322" t="s">
        <v>36</v>
      </c>
      <c r="M1322" t="s">
        <v>48</v>
      </c>
      <c r="N1322" t="s">
        <v>49</v>
      </c>
      <c r="O1322" t="s">
        <v>77</v>
      </c>
      <c r="P1322" t="s">
        <v>98</v>
      </c>
      <c r="Q1322">
        <v>3</v>
      </c>
      <c r="R1322" s="2">
        <v>44840</v>
      </c>
      <c r="S1322">
        <v>1</v>
      </c>
      <c r="T1322">
        <v>4</v>
      </c>
      <c r="U1322">
        <v>3</v>
      </c>
      <c r="V1322" s="1">
        <v>45128</v>
      </c>
      <c r="W1322" t="s">
        <v>62</v>
      </c>
      <c r="X1322" t="s">
        <v>42</v>
      </c>
      <c r="Y1322" t="s">
        <v>52</v>
      </c>
      <c r="Z1322">
        <v>1</v>
      </c>
      <c r="AA1322">
        <v>760.41</v>
      </c>
      <c r="AB1322">
        <v>48</v>
      </c>
    </row>
    <row r="1323" spans="1:28" x14ac:dyDescent="0.2">
      <c r="A1323">
        <v>1837</v>
      </c>
      <c r="B1323" s="1">
        <v>44424</v>
      </c>
      <c r="C1323" t="s">
        <v>106</v>
      </c>
      <c r="D1323" t="s">
        <v>81</v>
      </c>
      <c r="E1323" t="s">
        <v>30</v>
      </c>
      <c r="F1323" t="s">
        <v>46</v>
      </c>
      <c r="G1323" t="s">
        <v>56</v>
      </c>
      <c r="H1323" t="s">
        <v>55</v>
      </c>
      <c r="I1323" t="s">
        <v>34</v>
      </c>
      <c r="J1323" t="s">
        <v>96</v>
      </c>
      <c r="K1323" s="2">
        <v>27562</v>
      </c>
      <c r="L1323" t="s">
        <v>36</v>
      </c>
      <c r="M1323" t="s">
        <v>37</v>
      </c>
      <c r="N1323" t="s">
        <v>84</v>
      </c>
      <c r="O1323" t="s">
        <v>77</v>
      </c>
      <c r="P1323" t="s">
        <v>98</v>
      </c>
      <c r="Q1323">
        <v>3</v>
      </c>
      <c r="R1323" s="2">
        <v>44927</v>
      </c>
      <c r="S1323">
        <v>1</v>
      </c>
      <c r="T1323">
        <v>3</v>
      </c>
      <c r="U1323">
        <v>3</v>
      </c>
      <c r="V1323" s="1">
        <v>45132</v>
      </c>
      <c r="W1323" t="s">
        <v>62</v>
      </c>
      <c r="X1323" t="s">
        <v>42</v>
      </c>
      <c r="Y1323" t="s">
        <v>52</v>
      </c>
      <c r="Z1323">
        <v>5</v>
      </c>
      <c r="AA1323">
        <v>567.74</v>
      </c>
      <c r="AB1323">
        <v>46</v>
      </c>
    </row>
    <row r="1324" spans="1:28" x14ac:dyDescent="0.2">
      <c r="A1324">
        <v>1838</v>
      </c>
      <c r="B1324" s="1">
        <v>43654</v>
      </c>
      <c r="C1324" t="s">
        <v>28</v>
      </c>
      <c r="D1324" t="s">
        <v>64</v>
      </c>
      <c r="E1324" t="s">
        <v>30</v>
      </c>
      <c r="F1324" t="s">
        <v>46</v>
      </c>
      <c r="G1324" t="s">
        <v>45</v>
      </c>
      <c r="H1324" t="s">
        <v>33</v>
      </c>
      <c r="I1324" t="s">
        <v>34</v>
      </c>
      <c r="J1324" t="s">
        <v>47</v>
      </c>
      <c r="K1324" s="2">
        <v>21444</v>
      </c>
      <c r="L1324" t="s">
        <v>36</v>
      </c>
      <c r="M1324" t="s">
        <v>37</v>
      </c>
      <c r="N1324" t="s">
        <v>38</v>
      </c>
      <c r="O1324" t="s">
        <v>39</v>
      </c>
      <c r="P1324" t="s">
        <v>78</v>
      </c>
      <c r="Q1324">
        <v>3</v>
      </c>
      <c r="R1324" s="2">
        <v>45108</v>
      </c>
      <c r="S1324">
        <v>2</v>
      </c>
      <c r="T1324">
        <v>1</v>
      </c>
      <c r="U1324">
        <v>1</v>
      </c>
      <c r="V1324" s="1">
        <v>44940</v>
      </c>
      <c r="W1324" t="s">
        <v>92</v>
      </c>
      <c r="X1324" t="s">
        <v>51</v>
      </c>
      <c r="Y1324" t="s">
        <v>52</v>
      </c>
      <c r="Z1324">
        <v>5</v>
      </c>
      <c r="AA1324">
        <v>582.70000000000005</v>
      </c>
      <c r="AB1324">
        <v>61</v>
      </c>
    </row>
    <row r="1325" spans="1:28" x14ac:dyDescent="0.2">
      <c r="A1325">
        <v>1839</v>
      </c>
      <c r="B1325" s="1">
        <v>44425</v>
      </c>
      <c r="C1325" t="s">
        <v>28</v>
      </c>
      <c r="D1325" t="s">
        <v>94</v>
      </c>
      <c r="E1325" t="s">
        <v>30</v>
      </c>
      <c r="F1325" t="s">
        <v>55</v>
      </c>
      <c r="G1325" t="s">
        <v>45</v>
      </c>
      <c r="H1325" t="s">
        <v>46</v>
      </c>
      <c r="I1325" t="s">
        <v>34</v>
      </c>
      <c r="J1325" t="s">
        <v>104</v>
      </c>
      <c r="K1325" s="2">
        <v>24926</v>
      </c>
      <c r="L1325" t="s">
        <v>36</v>
      </c>
      <c r="M1325" t="s">
        <v>37</v>
      </c>
      <c r="N1325" t="s">
        <v>60</v>
      </c>
      <c r="O1325" t="s">
        <v>61</v>
      </c>
      <c r="P1325" t="s">
        <v>78</v>
      </c>
      <c r="Q1325">
        <v>3</v>
      </c>
      <c r="R1325" s="2">
        <v>45044</v>
      </c>
      <c r="S1325">
        <v>3</v>
      </c>
      <c r="T1325">
        <v>3</v>
      </c>
      <c r="U1325">
        <v>3</v>
      </c>
      <c r="V1325" s="1">
        <v>44789</v>
      </c>
      <c r="W1325" t="s">
        <v>41</v>
      </c>
      <c r="X1325" t="s">
        <v>51</v>
      </c>
      <c r="Y1325" t="s">
        <v>52</v>
      </c>
      <c r="Z1325">
        <v>2</v>
      </c>
      <c r="AA1325">
        <v>645.16</v>
      </c>
      <c r="AB1325">
        <v>53</v>
      </c>
    </row>
    <row r="1326" spans="1:28" x14ac:dyDescent="0.2">
      <c r="A1326">
        <v>1840</v>
      </c>
      <c r="B1326" s="1">
        <v>44204</v>
      </c>
      <c r="C1326" t="s">
        <v>28</v>
      </c>
      <c r="D1326" t="s">
        <v>74</v>
      </c>
      <c r="E1326" t="s">
        <v>30</v>
      </c>
      <c r="F1326" t="s">
        <v>55</v>
      </c>
      <c r="G1326" t="s">
        <v>56</v>
      </c>
      <c r="H1326" t="s">
        <v>46</v>
      </c>
      <c r="I1326" t="s">
        <v>34</v>
      </c>
      <c r="J1326" t="s">
        <v>75</v>
      </c>
      <c r="K1326" s="2">
        <v>25422</v>
      </c>
      <c r="L1326" t="s">
        <v>36</v>
      </c>
      <c r="M1326" t="s">
        <v>37</v>
      </c>
      <c r="N1326" t="s">
        <v>49</v>
      </c>
      <c r="O1326" t="s">
        <v>61</v>
      </c>
      <c r="P1326" t="s">
        <v>78</v>
      </c>
      <c r="Q1326">
        <v>3</v>
      </c>
      <c r="R1326" s="2">
        <v>44797</v>
      </c>
      <c r="S1326">
        <v>5</v>
      </c>
      <c r="T1326">
        <v>1</v>
      </c>
      <c r="U1326">
        <v>4</v>
      </c>
      <c r="V1326" s="1">
        <v>44992</v>
      </c>
      <c r="W1326" t="s">
        <v>62</v>
      </c>
      <c r="X1326" t="s">
        <v>51</v>
      </c>
      <c r="Y1326" t="s">
        <v>73</v>
      </c>
      <c r="Z1326">
        <v>5</v>
      </c>
      <c r="AA1326">
        <v>310.44</v>
      </c>
      <c r="AB1326">
        <v>52</v>
      </c>
    </row>
    <row r="1327" spans="1:28" x14ac:dyDescent="0.2">
      <c r="A1327">
        <v>1841</v>
      </c>
      <c r="B1327" s="1">
        <v>43326</v>
      </c>
      <c r="C1327" t="s">
        <v>28</v>
      </c>
      <c r="D1327" t="s">
        <v>81</v>
      </c>
      <c r="E1327" t="s">
        <v>30</v>
      </c>
      <c r="F1327" t="s">
        <v>31</v>
      </c>
      <c r="G1327" t="s">
        <v>56</v>
      </c>
      <c r="H1327" t="s">
        <v>46</v>
      </c>
      <c r="I1327" t="s">
        <v>34</v>
      </c>
      <c r="J1327" t="s">
        <v>70</v>
      </c>
      <c r="K1327" s="2">
        <v>21477</v>
      </c>
      <c r="L1327" t="s">
        <v>36</v>
      </c>
      <c r="M1327" t="s">
        <v>37</v>
      </c>
      <c r="N1327" t="s">
        <v>49</v>
      </c>
      <c r="O1327" t="s">
        <v>39</v>
      </c>
      <c r="P1327" t="s">
        <v>78</v>
      </c>
      <c r="Q1327">
        <v>3</v>
      </c>
      <c r="R1327" s="2">
        <v>45015</v>
      </c>
      <c r="S1327">
        <v>3</v>
      </c>
      <c r="T1327">
        <v>5</v>
      </c>
      <c r="U1327">
        <v>3</v>
      </c>
      <c r="V1327" s="1">
        <v>44786</v>
      </c>
      <c r="W1327" t="s">
        <v>92</v>
      </c>
      <c r="X1327" t="s">
        <v>51</v>
      </c>
      <c r="Y1327" t="s">
        <v>43</v>
      </c>
      <c r="Z1327">
        <v>4</v>
      </c>
      <c r="AA1327">
        <v>683.42</v>
      </c>
      <c r="AB1327">
        <v>60</v>
      </c>
    </row>
    <row r="1328" spans="1:28" x14ac:dyDescent="0.2">
      <c r="A1328">
        <v>1842</v>
      </c>
      <c r="B1328" s="1">
        <v>44407</v>
      </c>
      <c r="C1328" t="s">
        <v>28</v>
      </c>
      <c r="D1328" t="s">
        <v>54</v>
      </c>
      <c r="E1328" t="s">
        <v>30</v>
      </c>
      <c r="F1328" t="s">
        <v>46</v>
      </c>
      <c r="G1328" t="s">
        <v>56</v>
      </c>
      <c r="H1328" t="s">
        <v>33</v>
      </c>
      <c r="I1328" t="s">
        <v>34</v>
      </c>
      <c r="J1328" t="s">
        <v>65</v>
      </c>
      <c r="K1328" s="2">
        <v>35925</v>
      </c>
      <c r="L1328" t="s">
        <v>36</v>
      </c>
      <c r="M1328" t="s">
        <v>48</v>
      </c>
      <c r="N1328" t="s">
        <v>84</v>
      </c>
      <c r="O1328" t="s">
        <v>77</v>
      </c>
      <c r="P1328" t="s">
        <v>78</v>
      </c>
      <c r="Q1328">
        <v>3</v>
      </c>
      <c r="R1328" s="2">
        <v>44902</v>
      </c>
      <c r="S1328">
        <v>1</v>
      </c>
      <c r="T1328">
        <v>4</v>
      </c>
      <c r="U1328">
        <v>4</v>
      </c>
      <c r="V1328" s="1">
        <v>45126</v>
      </c>
      <c r="W1328" t="s">
        <v>92</v>
      </c>
      <c r="X1328" t="s">
        <v>42</v>
      </c>
      <c r="Y1328" t="s">
        <v>63</v>
      </c>
      <c r="Z1328">
        <v>3</v>
      </c>
      <c r="AA1328">
        <v>129.49</v>
      </c>
      <c r="AB1328">
        <v>23</v>
      </c>
    </row>
    <row r="1329" spans="1:28" x14ac:dyDescent="0.2">
      <c r="A1329">
        <v>1843</v>
      </c>
      <c r="B1329" s="1">
        <v>45024</v>
      </c>
      <c r="C1329" t="s">
        <v>28</v>
      </c>
      <c r="D1329" t="s">
        <v>69</v>
      </c>
      <c r="E1329" t="s">
        <v>30</v>
      </c>
      <c r="F1329" t="s">
        <v>55</v>
      </c>
      <c r="G1329" t="s">
        <v>32</v>
      </c>
      <c r="H1329" t="s">
        <v>33</v>
      </c>
      <c r="I1329" t="s">
        <v>34</v>
      </c>
      <c r="J1329" t="s">
        <v>79</v>
      </c>
      <c r="K1329" s="2">
        <v>23023</v>
      </c>
      <c r="L1329" t="s">
        <v>36</v>
      </c>
      <c r="M1329" t="s">
        <v>48</v>
      </c>
      <c r="N1329" t="s">
        <v>49</v>
      </c>
      <c r="O1329" t="s">
        <v>67</v>
      </c>
      <c r="P1329" t="s">
        <v>98</v>
      </c>
      <c r="Q1329">
        <v>3</v>
      </c>
      <c r="R1329" s="2">
        <v>45138</v>
      </c>
      <c r="S1329">
        <v>1</v>
      </c>
      <c r="T1329">
        <v>5</v>
      </c>
      <c r="U1329">
        <v>4</v>
      </c>
      <c r="V1329" s="1">
        <v>44876</v>
      </c>
      <c r="W1329" t="s">
        <v>62</v>
      </c>
      <c r="X1329" t="s">
        <v>51</v>
      </c>
      <c r="Y1329" t="s">
        <v>52</v>
      </c>
      <c r="Z1329">
        <v>5</v>
      </c>
      <c r="AA1329">
        <v>349.46</v>
      </c>
      <c r="AB1329">
        <v>60</v>
      </c>
    </row>
    <row r="1330" spans="1:28" x14ac:dyDescent="0.2">
      <c r="A1330">
        <v>1844</v>
      </c>
      <c r="B1330" s="1">
        <v>43719</v>
      </c>
      <c r="C1330" t="s">
        <v>28</v>
      </c>
      <c r="D1330" t="s">
        <v>29</v>
      </c>
      <c r="E1330" t="s">
        <v>30</v>
      </c>
      <c r="F1330" t="s">
        <v>46</v>
      </c>
      <c r="G1330" t="s">
        <v>45</v>
      </c>
      <c r="H1330" t="s">
        <v>46</v>
      </c>
      <c r="I1330" t="s">
        <v>34</v>
      </c>
      <c r="J1330" t="s">
        <v>65</v>
      </c>
      <c r="K1330" s="2">
        <v>23704</v>
      </c>
      <c r="L1330" t="s">
        <v>36</v>
      </c>
      <c r="M1330" t="s">
        <v>37</v>
      </c>
      <c r="N1330" t="s">
        <v>60</v>
      </c>
      <c r="O1330" t="s">
        <v>61</v>
      </c>
      <c r="P1330" t="s">
        <v>78</v>
      </c>
      <c r="Q1330">
        <v>3</v>
      </c>
      <c r="R1330" s="2">
        <v>44915</v>
      </c>
      <c r="S1330">
        <v>2</v>
      </c>
      <c r="T1330">
        <v>1</v>
      </c>
      <c r="U1330">
        <v>4</v>
      </c>
      <c r="V1330" s="1">
        <v>44792</v>
      </c>
      <c r="W1330" t="s">
        <v>62</v>
      </c>
      <c r="X1330" t="s">
        <v>42</v>
      </c>
      <c r="Y1330" t="s">
        <v>43</v>
      </c>
      <c r="Z1330">
        <v>5</v>
      </c>
      <c r="AA1330">
        <v>668.2</v>
      </c>
      <c r="AB1330">
        <v>55</v>
      </c>
    </row>
    <row r="1331" spans="1:28" x14ac:dyDescent="0.2">
      <c r="A1331">
        <v>1845</v>
      </c>
      <c r="B1331" s="1">
        <v>43895</v>
      </c>
      <c r="C1331" t="s">
        <v>28</v>
      </c>
      <c r="D1331" t="s">
        <v>85</v>
      </c>
      <c r="E1331" t="s">
        <v>30</v>
      </c>
      <c r="F1331" t="s">
        <v>46</v>
      </c>
      <c r="G1331" t="s">
        <v>45</v>
      </c>
      <c r="H1331" t="s">
        <v>33</v>
      </c>
      <c r="I1331" t="s">
        <v>34</v>
      </c>
      <c r="J1331" t="s">
        <v>47</v>
      </c>
      <c r="K1331" s="2">
        <v>15333</v>
      </c>
      <c r="L1331" t="s">
        <v>36</v>
      </c>
      <c r="M1331" t="s">
        <v>37</v>
      </c>
      <c r="N1331" t="s">
        <v>72</v>
      </c>
      <c r="O1331" t="s">
        <v>61</v>
      </c>
      <c r="P1331" t="s">
        <v>98</v>
      </c>
      <c r="Q1331">
        <v>3</v>
      </c>
      <c r="R1331" s="2">
        <v>45095</v>
      </c>
      <c r="S1331">
        <v>1</v>
      </c>
      <c r="T1331">
        <v>2</v>
      </c>
      <c r="U1331">
        <v>5</v>
      </c>
      <c r="V1331" s="1">
        <v>44926</v>
      </c>
      <c r="W1331" t="s">
        <v>50</v>
      </c>
      <c r="X1331" t="s">
        <v>51</v>
      </c>
      <c r="Y1331" t="s">
        <v>73</v>
      </c>
      <c r="Z1331">
        <v>5</v>
      </c>
      <c r="AA1331">
        <v>409.99</v>
      </c>
      <c r="AB1331">
        <v>79</v>
      </c>
    </row>
    <row r="1332" spans="1:28" x14ac:dyDescent="0.2">
      <c r="A1332">
        <v>1846</v>
      </c>
      <c r="B1332" s="1">
        <v>43801</v>
      </c>
      <c r="C1332" t="s">
        <v>28</v>
      </c>
      <c r="D1332" t="s">
        <v>44</v>
      </c>
      <c r="E1332" t="s">
        <v>30</v>
      </c>
      <c r="F1332" t="s">
        <v>55</v>
      </c>
      <c r="G1332" t="s">
        <v>32</v>
      </c>
      <c r="H1332" t="s">
        <v>33</v>
      </c>
      <c r="I1332" t="s">
        <v>34</v>
      </c>
      <c r="J1332" t="s">
        <v>47</v>
      </c>
      <c r="K1332" s="2">
        <v>17130</v>
      </c>
      <c r="L1332" t="s">
        <v>36</v>
      </c>
      <c r="M1332" t="s">
        <v>48</v>
      </c>
      <c r="N1332" t="s">
        <v>72</v>
      </c>
      <c r="O1332" t="s">
        <v>61</v>
      </c>
      <c r="P1332" t="s">
        <v>98</v>
      </c>
      <c r="Q1332">
        <v>3</v>
      </c>
      <c r="R1332" s="2">
        <v>45098</v>
      </c>
      <c r="S1332">
        <v>5</v>
      </c>
      <c r="T1332">
        <v>4</v>
      </c>
      <c r="U1332">
        <v>1</v>
      </c>
      <c r="V1332" s="1">
        <v>45041</v>
      </c>
      <c r="W1332" t="s">
        <v>92</v>
      </c>
      <c r="X1332" t="s">
        <v>42</v>
      </c>
      <c r="Y1332" t="s">
        <v>73</v>
      </c>
      <c r="Z1332">
        <v>4</v>
      </c>
      <c r="AA1332">
        <v>964.4</v>
      </c>
      <c r="AB1332">
        <v>73</v>
      </c>
    </row>
    <row r="1333" spans="1:28" x14ac:dyDescent="0.2">
      <c r="A1333">
        <v>1847</v>
      </c>
      <c r="B1333" s="1">
        <v>44898</v>
      </c>
      <c r="C1333" t="s">
        <v>28</v>
      </c>
      <c r="D1333" t="s">
        <v>87</v>
      </c>
      <c r="E1333" t="s">
        <v>30</v>
      </c>
      <c r="F1333" t="s">
        <v>55</v>
      </c>
      <c r="G1333" t="s">
        <v>32</v>
      </c>
      <c r="H1333" t="s">
        <v>46</v>
      </c>
      <c r="I1333" t="s">
        <v>34</v>
      </c>
      <c r="J1333" t="s">
        <v>96</v>
      </c>
      <c r="K1333" s="2">
        <v>36815</v>
      </c>
      <c r="L1333" t="s">
        <v>36</v>
      </c>
      <c r="M1333" t="s">
        <v>48</v>
      </c>
      <c r="N1333" t="s">
        <v>60</v>
      </c>
      <c r="O1333" t="s">
        <v>77</v>
      </c>
      <c r="P1333" t="s">
        <v>98</v>
      </c>
      <c r="Q1333">
        <v>3</v>
      </c>
      <c r="R1333" s="2">
        <v>44888</v>
      </c>
      <c r="S1333">
        <v>5</v>
      </c>
      <c r="T1333">
        <v>2</v>
      </c>
      <c r="U1333">
        <v>3</v>
      </c>
      <c r="V1333" s="1">
        <v>44971</v>
      </c>
      <c r="W1333" t="s">
        <v>41</v>
      </c>
      <c r="X1333" t="s">
        <v>51</v>
      </c>
      <c r="Y1333" t="s">
        <v>63</v>
      </c>
      <c r="Z1333">
        <v>1</v>
      </c>
      <c r="AA1333">
        <v>777.95</v>
      </c>
      <c r="AB1333">
        <v>22</v>
      </c>
    </row>
    <row r="1334" spans="1:28" x14ac:dyDescent="0.2">
      <c r="A1334">
        <v>1848</v>
      </c>
      <c r="B1334" s="1">
        <v>44553</v>
      </c>
      <c r="C1334" t="s">
        <v>28</v>
      </c>
      <c r="D1334" t="s">
        <v>64</v>
      </c>
      <c r="E1334" t="s">
        <v>30</v>
      </c>
      <c r="F1334" t="s">
        <v>31</v>
      </c>
      <c r="G1334" t="s">
        <v>32</v>
      </c>
      <c r="H1334" t="s">
        <v>46</v>
      </c>
      <c r="I1334" t="s">
        <v>34</v>
      </c>
      <c r="J1334" t="s">
        <v>79</v>
      </c>
      <c r="K1334" s="2">
        <v>36816</v>
      </c>
      <c r="L1334" t="s">
        <v>36</v>
      </c>
      <c r="M1334" t="s">
        <v>48</v>
      </c>
      <c r="N1334" t="s">
        <v>72</v>
      </c>
      <c r="O1334" t="s">
        <v>77</v>
      </c>
      <c r="P1334" t="s">
        <v>107</v>
      </c>
      <c r="Q1334">
        <v>3</v>
      </c>
      <c r="R1334" s="2">
        <v>45026</v>
      </c>
      <c r="S1334">
        <v>2</v>
      </c>
      <c r="T1334">
        <v>4</v>
      </c>
      <c r="U1334">
        <v>5</v>
      </c>
      <c r="V1334" s="1">
        <v>44972</v>
      </c>
      <c r="W1334" t="s">
        <v>92</v>
      </c>
      <c r="X1334" t="s">
        <v>42</v>
      </c>
      <c r="Y1334" t="s">
        <v>63</v>
      </c>
      <c r="Z1334">
        <v>5</v>
      </c>
      <c r="AA1334">
        <v>816.07</v>
      </c>
      <c r="AB1334">
        <v>21</v>
      </c>
    </row>
    <row r="1335" spans="1:28" x14ac:dyDescent="0.2">
      <c r="A1335">
        <v>1849</v>
      </c>
      <c r="B1335" s="1">
        <v>44589</v>
      </c>
      <c r="C1335" t="s">
        <v>28</v>
      </c>
      <c r="D1335" t="s">
        <v>94</v>
      </c>
      <c r="E1335" t="s">
        <v>30</v>
      </c>
      <c r="F1335" t="s">
        <v>46</v>
      </c>
      <c r="G1335" t="s">
        <v>56</v>
      </c>
      <c r="H1335" t="s">
        <v>55</v>
      </c>
      <c r="I1335" t="s">
        <v>34</v>
      </c>
      <c r="J1335" t="s">
        <v>96</v>
      </c>
      <c r="K1335" s="2">
        <v>22064</v>
      </c>
      <c r="L1335" t="s">
        <v>36</v>
      </c>
      <c r="M1335" t="s">
        <v>37</v>
      </c>
      <c r="N1335" t="s">
        <v>49</v>
      </c>
      <c r="O1335" t="s">
        <v>77</v>
      </c>
      <c r="P1335" t="s">
        <v>107</v>
      </c>
      <c r="Q1335">
        <v>3</v>
      </c>
      <c r="R1335" s="2">
        <v>44824</v>
      </c>
      <c r="S1335">
        <v>2</v>
      </c>
      <c r="T1335">
        <v>4</v>
      </c>
      <c r="U1335">
        <v>4</v>
      </c>
      <c r="V1335" s="1">
        <v>45081</v>
      </c>
      <c r="W1335" t="s">
        <v>41</v>
      </c>
      <c r="X1335" t="s">
        <v>51</v>
      </c>
      <c r="Y1335" t="s">
        <v>73</v>
      </c>
      <c r="Z1335">
        <v>4</v>
      </c>
      <c r="AA1335">
        <v>332.12</v>
      </c>
      <c r="AB1335">
        <v>62</v>
      </c>
    </row>
    <row r="1336" spans="1:28" x14ac:dyDescent="0.2">
      <c r="A1336">
        <v>1850</v>
      </c>
      <c r="B1336" s="1">
        <v>43814</v>
      </c>
      <c r="C1336" t="s">
        <v>28</v>
      </c>
      <c r="D1336" t="s">
        <v>74</v>
      </c>
      <c r="E1336" t="s">
        <v>108</v>
      </c>
      <c r="F1336" t="s">
        <v>31</v>
      </c>
      <c r="G1336" t="s">
        <v>45</v>
      </c>
      <c r="H1336" t="s">
        <v>55</v>
      </c>
      <c r="I1336" t="s">
        <v>34</v>
      </c>
      <c r="J1336" t="s">
        <v>47</v>
      </c>
      <c r="K1336" s="2">
        <v>35361</v>
      </c>
      <c r="L1336" t="s">
        <v>36</v>
      </c>
      <c r="M1336" t="s">
        <v>37</v>
      </c>
      <c r="N1336" t="s">
        <v>38</v>
      </c>
      <c r="O1336" t="s">
        <v>67</v>
      </c>
      <c r="P1336" t="s">
        <v>107</v>
      </c>
      <c r="Q1336">
        <v>3</v>
      </c>
      <c r="R1336" s="2">
        <v>45055</v>
      </c>
      <c r="S1336">
        <v>3</v>
      </c>
      <c r="T1336">
        <v>1</v>
      </c>
      <c r="U1336">
        <v>2</v>
      </c>
      <c r="V1336" s="1">
        <v>45048</v>
      </c>
      <c r="W1336" t="s">
        <v>92</v>
      </c>
      <c r="X1336" t="s">
        <v>42</v>
      </c>
      <c r="Y1336" t="s">
        <v>63</v>
      </c>
      <c r="Z1336">
        <v>1</v>
      </c>
      <c r="AA1336">
        <v>950.45</v>
      </c>
      <c r="AB1336">
        <v>23</v>
      </c>
    </row>
    <row r="1337" spans="1:28" x14ac:dyDescent="0.2">
      <c r="A1337">
        <v>1851</v>
      </c>
      <c r="B1337" s="1">
        <v>44511</v>
      </c>
      <c r="C1337" t="s">
        <v>28</v>
      </c>
      <c r="D1337" t="s">
        <v>81</v>
      </c>
      <c r="E1337" t="s">
        <v>108</v>
      </c>
      <c r="F1337" t="s">
        <v>55</v>
      </c>
      <c r="G1337" t="s">
        <v>56</v>
      </c>
      <c r="H1337" t="s">
        <v>33</v>
      </c>
      <c r="I1337" t="s">
        <v>34</v>
      </c>
      <c r="J1337" t="s">
        <v>65</v>
      </c>
      <c r="K1337" s="2">
        <v>24774</v>
      </c>
      <c r="L1337" t="s">
        <v>36</v>
      </c>
      <c r="M1337" t="s">
        <v>37</v>
      </c>
      <c r="N1337" t="s">
        <v>49</v>
      </c>
      <c r="O1337" t="s">
        <v>61</v>
      </c>
      <c r="P1337" t="s">
        <v>107</v>
      </c>
      <c r="Q1337">
        <v>3</v>
      </c>
      <c r="R1337" s="2">
        <v>44986</v>
      </c>
      <c r="S1337">
        <v>1</v>
      </c>
      <c r="T1337">
        <v>1</v>
      </c>
      <c r="U1337">
        <v>4</v>
      </c>
      <c r="V1337" s="1">
        <v>44808</v>
      </c>
      <c r="W1337" t="s">
        <v>92</v>
      </c>
      <c r="X1337" t="s">
        <v>51</v>
      </c>
      <c r="Y1337" t="s">
        <v>73</v>
      </c>
      <c r="Z1337">
        <v>4</v>
      </c>
      <c r="AA1337">
        <v>997.13</v>
      </c>
      <c r="AB1337">
        <v>54</v>
      </c>
    </row>
    <row r="1338" spans="1:28" x14ac:dyDescent="0.2">
      <c r="A1338">
        <v>1852</v>
      </c>
      <c r="B1338" s="1">
        <v>43511</v>
      </c>
      <c r="C1338" t="s">
        <v>28</v>
      </c>
      <c r="D1338" t="s">
        <v>54</v>
      </c>
      <c r="E1338" t="s">
        <v>108</v>
      </c>
      <c r="F1338" t="s">
        <v>55</v>
      </c>
      <c r="G1338" t="s">
        <v>45</v>
      </c>
      <c r="H1338" t="s">
        <v>46</v>
      </c>
      <c r="I1338" t="s">
        <v>34</v>
      </c>
      <c r="J1338" t="s">
        <v>65</v>
      </c>
      <c r="K1338" s="2">
        <v>29877</v>
      </c>
      <c r="L1338" t="s">
        <v>36</v>
      </c>
      <c r="M1338" t="s">
        <v>37</v>
      </c>
      <c r="N1338" t="s">
        <v>72</v>
      </c>
      <c r="O1338" t="s">
        <v>61</v>
      </c>
      <c r="P1338" t="s">
        <v>107</v>
      </c>
      <c r="Q1338">
        <v>3</v>
      </c>
      <c r="R1338" s="2">
        <v>45048</v>
      </c>
      <c r="S1338">
        <v>3</v>
      </c>
      <c r="T1338">
        <v>4</v>
      </c>
      <c r="U1338">
        <v>1</v>
      </c>
      <c r="V1338" s="1">
        <v>44850</v>
      </c>
      <c r="W1338" t="s">
        <v>50</v>
      </c>
      <c r="X1338" t="s">
        <v>42</v>
      </c>
      <c r="Y1338" t="s">
        <v>63</v>
      </c>
      <c r="Z1338">
        <v>1</v>
      </c>
      <c r="AA1338">
        <v>917.56</v>
      </c>
      <c r="AB1338">
        <v>38</v>
      </c>
    </row>
    <row r="1339" spans="1:28" x14ac:dyDescent="0.2">
      <c r="A1339">
        <v>1853</v>
      </c>
      <c r="B1339" s="1">
        <v>44651</v>
      </c>
      <c r="C1339" t="s">
        <v>106</v>
      </c>
      <c r="D1339" t="s">
        <v>94</v>
      </c>
      <c r="E1339" t="s">
        <v>30</v>
      </c>
      <c r="F1339" t="s">
        <v>31</v>
      </c>
      <c r="G1339" t="s">
        <v>56</v>
      </c>
      <c r="H1339" t="s">
        <v>33</v>
      </c>
      <c r="I1339" t="s">
        <v>34</v>
      </c>
      <c r="J1339" t="s">
        <v>101</v>
      </c>
      <c r="K1339" s="2">
        <v>21178</v>
      </c>
      <c r="L1339" t="s">
        <v>36</v>
      </c>
      <c r="M1339" t="s">
        <v>37</v>
      </c>
      <c r="N1339" t="s">
        <v>60</v>
      </c>
      <c r="O1339" t="s">
        <v>77</v>
      </c>
      <c r="P1339" t="s">
        <v>107</v>
      </c>
      <c r="Q1339">
        <v>3</v>
      </c>
      <c r="R1339" s="2">
        <v>44800</v>
      </c>
      <c r="S1339">
        <v>4</v>
      </c>
      <c r="T1339">
        <v>3</v>
      </c>
      <c r="U1339">
        <v>5</v>
      </c>
      <c r="V1339" s="1">
        <v>44783</v>
      </c>
      <c r="W1339" t="s">
        <v>62</v>
      </c>
      <c r="X1339" t="s">
        <v>51</v>
      </c>
      <c r="Y1339" t="s">
        <v>43</v>
      </c>
      <c r="Z1339">
        <v>4</v>
      </c>
      <c r="AA1339">
        <v>220.2</v>
      </c>
      <c r="AB1339">
        <v>65</v>
      </c>
    </row>
    <row r="1340" spans="1:28" x14ac:dyDescent="0.2">
      <c r="A1340">
        <v>1854</v>
      </c>
      <c r="B1340" s="1">
        <v>44129</v>
      </c>
      <c r="C1340" t="s">
        <v>106</v>
      </c>
      <c r="D1340" t="s">
        <v>74</v>
      </c>
      <c r="E1340" t="s">
        <v>30</v>
      </c>
      <c r="F1340" t="s">
        <v>31</v>
      </c>
      <c r="G1340" t="s">
        <v>45</v>
      </c>
      <c r="H1340" t="s">
        <v>55</v>
      </c>
      <c r="I1340" t="s">
        <v>34</v>
      </c>
      <c r="J1340" t="s">
        <v>100</v>
      </c>
      <c r="K1340" s="2">
        <v>22887</v>
      </c>
      <c r="L1340" t="s">
        <v>36</v>
      </c>
      <c r="M1340" t="s">
        <v>37</v>
      </c>
      <c r="N1340" t="s">
        <v>84</v>
      </c>
      <c r="O1340" t="s">
        <v>67</v>
      </c>
      <c r="P1340" t="s">
        <v>107</v>
      </c>
      <c r="Q1340">
        <v>3</v>
      </c>
      <c r="R1340" s="2">
        <v>45136</v>
      </c>
      <c r="S1340">
        <v>1</v>
      </c>
      <c r="T1340">
        <v>2</v>
      </c>
      <c r="U1340">
        <v>5</v>
      </c>
      <c r="V1340" s="1">
        <v>45064</v>
      </c>
      <c r="W1340" t="s">
        <v>68</v>
      </c>
      <c r="X1340" t="s">
        <v>51</v>
      </c>
      <c r="Y1340" t="s">
        <v>43</v>
      </c>
      <c r="Z1340">
        <v>1</v>
      </c>
      <c r="AA1340">
        <v>837.64</v>
      </c>
      <c r="AB1340">
        <v>58</v>
      </c>
    </row>
    <row r="1341" spans="1:28" x14ac:dyDescent="0.2">
      <c r="A1341">
        <v>1855</v>
      </c>
      <c r="B1341" s="1">
        <v>44767</v>
      </c>
      <c r="C1341" t="s">
        <v>106</v>
      </c>
      <c r="D1341" t="s">
        <v>81</v>
      </c>
      <c r="E1341" t="s">
        <v>108</v>
      </c>
      <c r="F1341" t="s">
        <v>46</v>
      </c>
      <c r="G1341" t="s">
        <v>56</v>
      </c>
      <c r="H1341" t="s">
        <v>46</v>
      </c>
      <c r="I1341" t="s">
        <v>34</v>
      </c>
      <c r="J1341" t="s">
        <v>65</v>
      </c>
      <c r="K1341" s="2">
        <v>17306</v>
      </c>
      <c r="L1341" t="s">
        <v>36</v>
      </c>
      <c r="M1341" t="s">
        <v>48</v>
      </c>
      <c r="N1341" t="s">
        <v>60</v>
      </c>
      <c r="O1341" t="s">
        <v>67</v>
      </c>
      <c r="P1341" t="s">
        <v>78</v>
      </c>
      <c r="Q1341">
        <v>3</v>
      </c>
      <c r="R1341" s="2">
        <v>44957</v>
      </c>
      <c r="S1341">
        <v>3</v>
      </c>
      <c r="T1341">
        <v>3</v>
      </c>
      <c r="U1341">
        <v>3</v>
      </c>
      <c r="V1341" s="1">
        <v>44803</v>
      </c>
      <c r="W1341" t="s">
        <v>68</v>
      </c>
      <c r="X1341" t="s">
        <v>51</v>
      </c>
      <c r="Y1341" t="s">
        <v>52</v>
      </c>
      <c r="Z1341">
        <v>2</v>
      </c>
      <c r="AA1341">
        <v>648.72</v>
      </c>
      <c r="AB1341">
        <v>75</v>
      </c>
    </row>
    <row r="1342" spans="1:28" x14ac:dyDescent="0.2">
      <c r="A1342">
        <v>1856</v>
      </c>
      <c r="B1342" s="1">
        <v>44410</v>
      </c>
      <c r="C1342" t="s">
        <v>106</v>
      </c>
      <c r="D1342" t="s">
        <v>54</v>
      </c>
      <c r="E1342" t="s">
        <v>30</v>
      </c>
      <c r="F1342" t="s">
        <v>55</v>
      </c>
      <c r="G1342" t="s">
        <v>45</v>
      </c>
      <c r="H1342" t="s">
        <v>55</v>
      </c>
      <c r="I1342" t="s">
        <v>34</v>
      </c>
      <c r="J1342" t="s">
        <v>70</v>
      </c>
      <c r="K1342" s="2">
        <v>26561</v>
      </c>
      <c r="L1342" t="s">
        <v>36</v>
      </c>
      <c r="M1342" t="s">
        <v>37</v>
      </c>
      <c r="N1342" t="s">
        <v>72</v>
      </c>
      <c r="O1342" t="s">
        <v>39</v>
      </c>
      <c r="P1342" t="s">
        <v>78</v>
      </c>
      <c r="Q1342">
        <v>3</v>
      </c>
      <c r="R1342" s="2">
        <v>44999</v>
      </c>
      <c r="S1342">
        <v>2</v>
      </c>
      <c r="T1342">
        <v>3</v>
      </c>
      <c r="U1342">
        <v>3</v>
      </c>
      <c r="V1342" s="1">
        <v>45111</v>
      </c>
      <c r="W1342" t="s">
        <v>41</v>
      </c>
      <c r="X1342" t="s">
        <v>51</v>
      </c>
      <c r="Y1342" t="s">
        <v>43</v>
      </c>
      <c r="Z1342">
        <v>4</v>
      </c>
      <c r="AA1342">
        <v>687.77</v>
      </c>
      <c r="AB1342">
        <v>49</v>
      </c>
    </row>
    <row r="1343" spans="1:28" x14ac:dyDescent="0.2">
      <c r="A1343">
        <v>1857</v>
      </c>
      <c r="B1343" s="1">
        <v>44513</v>
      </c>
      <c r="C1343" t="s">
        <v>106</v>
      </c>
      <c r="D1343" t="s">
        <v>69</v>
      </c>
      <c r="E1343" t="s">
        <v>108</v>
      </c>
      <c r="F1343" t="s">
        <v>31</v>
      </c>
      <c r="G1343" t="s">
        <v>32</v>
      </c>
      <c r="H1343" t="s">
        <v>33</v>
      </c>
      <c r="I1343" t="s">
        <v>34</v>
      </c>
      <c r="J1343" t="s">
        <v>109</v>
      </c>
      <c r="K1343" s="2">
        <v>20610</v>
      </c>
      <c r="L1343" t="s">
        <v>36</v>
      </c>
      <c r="M1343" t="s">
        <v>48</v>
      </c>
      <c r="N1343" t="s">
        <v>60</v>
      </c>
      <c r="O1343" t="s">
        <v>77</v>
      </c>
      <c r="P1343" t="s">
        <v>78</v>
      </c>
      <c r="Q1343">
        <v>3</v>
      </c>
      <c r="R1343" s="2">
        <v>44794</v>
      </c>
      <c r="S1343">
        <v>1</v>
      </c>
      <c r="T1343">
        <v>4</v>
      </c>
      <c r="U1343">
        <v>1</v>
      </c>
      <c r="V1343" s="1">
        <v>45091</v>
      </c>
      <c r="W1343" t="s">
        <v>62</v>
      </c>
      <c r="X1343" t="s">
        <v>51</v>
      </c>
      <c r="Y1343" t="s">
        <v>52</v>
      </c>
      <c r="Z1343">
        <v>5</v>
      </c>
      <c r="AA1343">
        <v>278.62</v>
      </c>
      <c r="AB1343">
        <v>65</v>
      </c>
    </row>
    <row r="1344" spans="1:28" x14ac:dyDescent="0.2">
      <c r="A1344">
        <v>1858</v>
      </c>
      <c r="B1344" s="1">
        <v>43592</v>
      </c>
      <c r="C1344" t="s">
        <v>28</v>
      </c>
      <c r="D1344" t="s">
        <v>64</v>
      </c>
      <c r="E1344" t="s">
        <v>30</v>
      </c>
      <c r="F1344" t="s">
        <v>31</v>
      </c>
      <c r="G1344" t="s">
        <v>45</v>
      </c>
      <c r="H1344" t="s">
        <v>55</v>
      </c>
      <c r="I1344" t="s">
        <v>34</v>
      </c>
      <c r="J1344" t="s">
        <v>101</v>
      </c>
      <c r="K1344" s="2">
        <v>32193</v>
      </c>
      <c r="L1344" t="s">
        <v>36</v>
      </c>
      <c r="M1344" t="s">
        <v>37</v>
      </c>
      <c r="N1344" t="s">
        <v>84</v>
      </c>
      <c r="O1344" t="s">
        <v>39</v>
      </c>
      <c r="P1344" t="s">
        <v>78</v>
      </c>
      <c r="Q1344">
        <v>3</v>
      </c>
      <c r="R1344" s="2">
        <v>44860</v>
      </c>
      <c r="S1344">
        <v>2</v>
      </c>
      <c r="T1344">
        <v>4</v>
      </c>
      <c r="U1344">
        <v>1</v>
      </c>
      <c r="V1344" s="1">
        <v>44911</v>
      </c>
      <c r="W1344" t="s">
        <v>68</v>
      </c>
      <c r="X1344" t="s">
        <v>51</v>
      </c>
      <c r="Y1344" t="s">
        <v>43</v>
      </c>
      <c r="Z1344">
        <v>5</v>
      </c>
      <c r="AA1344">
        <v>568.57000000000005</v>
      </c>
      <c r="AB1344">
        <v>31</v>
      </c>
    </row>
    <row r="1345" spans="1:28" x14ac:dyDescent="0.2">
      <c r="A1345">
        <v>1859</v>
      </c>
      <c r="B1345" s="1">
        <v>44196</v>
      </c>
      <c r="C1345" t="s">
        <v>28</v>
      </c>
      <c r="D1345" t="s">
        <v>94</v>
      </c>
      <c r="E1345" t="s">
        <v>30</v>
      </c>
      <c r="F1345" t="s">
        <v>31</v>
      </c>
      <c r="G1345" t="s">
        <v>45</v>
      </c>
      <c r="H1345" t="s">
        <v>46</v>
      </c>
      <c r="I1345" t="s">
        <v>34</v>
      </c>
      <c r="J1345" t="s">
        <v>70</v>
      </c>
      <c r="K1345" s="2">
        <v>30299</v>
      </c>
      <c r="L1345" t="s">
        <v>36</v>
      </c>
      <c r="M1345" t="s">
        <v>37</v>
      </c>
      <c r="N1345" t="s">
        <v>49</v>
      </c>
      <c r="O1345" t="s">
        <v>67</v>
      </c>
      <c r="P1345" t="s">
        <v>78</v>
      </c>
      <c r="Q1345">
        <v>3</v>
      </c>
      <c r="R1345" s="2">
        <v>44974</v>
      </c>
      <c r="S1345">
        <v>4</v>
      </c>
      <c r="T1345">
        <v>2</v>
      </c>
      <c r="U1345">
        <v>5</v>
      </c>
      <c r="V1345" s="1">
        <v>44841</v>
      </c>
      <c r="W1345" t="s">
        <v>68</v>
      </c>
      <c r="X1345" t="s">
        <v>42</v>
      </c>
      <c r="Y1345" t="s">
        <v>63</v>
      </c>
      <c r="Z1345">
        <v>4</v>
      </c>
      <c r="AA1345">
        <v>764.64</v>
      </c>
      <c r="AB1345">
        <v>38</v>
      </c>
    </row>
    <row r="1346" spans="1:28" x14ac:dyDescent="0.2">
      <c r="A1346">
        <v>1860</v>
      </c>
      <c r="B1346" s="1">
        <v>43809</v>
      </c>
      <c r="C1346" t="s">
        <v>28</v>
      </c>
      <c r="D1346" t="s">
        <v>74</v>
      </c>
      <c r="E1346" t="s">
        <v>108</v>
      </c>
      <c r="F1346" t="s">
        <v>46</v>
      </c>
      <c r="G1346" t="s">
        <v>56</v>
      </c>
      <c r="H1346" t="s">
        <v>55</v>
      </c>
      <c r="I1346" t="s">
        <v>34</v>
      </c>
      <c r="J1346" t="s">
        <v>96</v>
      </c>
      <c r="K1346" s="2">
        <v>36686</v>
      </c>
      <c r="L1346" t="s">
        <v>36</v>
      </c>
      <c r="M1346" t="s">
        <v>37</v>
      </c>
      <c r="N1346" t="s">
        <v>84</v>
      </c>
      <c r="O1346" t="s">
        <v>77</v>
      </c>
      <c r="P1346" t="s">
        <v>78</v>
      </c>
      <c r="Q1346">
        <v>3</v>
      </c>
      <c r="R1346" s="2">
        <v>45006</v>
      </c>
      <c r="S1346">
        <v>1</v>
      </c>
      <c r="T1346">
        <v>4</v>
      </c>
      <c r="U1346">
        <v>3</v>
      </c>
      <c r="V1346" s="1">
        <v>44793</v>
      </c>
      <c r="W1346" t="s">
        <v>62</v>
      </c>
      <c r="X1346" t="s">
        <v>51</v>
      </c>
      <c r="Y1346" t="s">
        <v>73</v>
      </c>
      <c r="Z1346">
        <v>3</v>
      </c>
      <c r="AA1346">
        <v>551.45000000000005</v>
      </c>
      <c r="AB1346">
        <v>19</v>
      </c>
    </row>
    <row r="1347" spans="1:28" x14ac:dyDescent="0.2">
      <c r="A1347">
        <v>1861</v>
      </c>
      <c r="B1347" s="1">
        <v>43993</v>
      </c>
      <c r="C1347" t="s">
        <v>28</v>
      </c>
      <c r="D1347" t="s">
        <v>81</v>
      </c>
      <c r="E1347" t="s">
        <v>30</v>
      </c>
      <c r="F1347" t="s">
        <v>31</v>
      </c>
      <c r="G1347" t="s">
        <v>45</v>
      </c>
      <c r="H1347" t="s">
        <v>55</v>
      </c>
      <c r="I1347" t="s">
        <v>34</v>
      </c>
      <c r="J1347" t="s">
        <v>101</v>
      </c>
      <c r="K1347" s="2">
        <v>18943</v>
      </c>
      <c r="L1347" t="s">
        <v>36</v>
      </c>
      <c r="M1347" t="s">
        <v>48</v>
      </c>
      <c r="N1347" t="s">
        <v>72</v>
      </c>
      <c r="O1347" t="s">
        <v>39</v>
      </c>
      <c r="P1347" t="s">
        <v>78</v>
      </c>
      <c r="Q1347">
        <v>3</v>
      </c>
      <c r="R1347" s="2">
        <v>44826</v>
      </c>
      <c r="S1347">
        <v>1</v>
      </c>
      <c r="T1347">
        <v>2</v>
      </c>
      <c r="U1347">
        <v>4</v>
      </c>
      <c r="V1347" s="1">
        <v>45095</v>
      </c>
      <c r="W1347" t="s">
        <v>50</v>
      </c>
      <c r="X1347" t="s">
        <v>42</v>
      </c>
      <c r="Y1347" t="s">
        <v>63</v>
      </c>
      <c r="Z1347">
        <v>2</v>
      </c>
      <c r="AA1347">
        <v>849.52</v>
      </c>
      <c r="AB1347">
        <v>69</v>
      </c>
    </row>
    <row r="1348" spans="1:28" x14ac:dyDescent="0.2">
      <c r="A1348">
        <v>1862</v>
      </c>
      <c r="B1348" s="1">
        <v>44438</v>
      </c>
      <c r="C1348" t="s">
        <v>28</v>
      </c>
      <c r="D1348" t="s">
        <v>54</v>
      </c>
      <c r="E1348" t="s">
        <v>30</v>
      </c>
      <c r="F1348" t="s">
        <v>55</v>
      </c>
      <c r="G1348" t="s">
        <v>32</v>
      </c>
      <c r="H1348" t="s">
        <v>33</v>
      </c>
      <c r="I1348" t="s">
        <v>34</v>
      </c>
      <c r="J1348" t="s">
        <v>47</v>
      </c>
      <c r="K1348" s="2">
        <v>31131</v>
      </c>
      <c r="L1348" t="s">
        <v>36</v>
      </c>
      <c r="M1348" t="s">
        <v>48</v>
      </c>
      <c r="N1348" t="s">
        <v>60</v>
      </c>
      <c r="O1348" t="s">
        <v>61</v>
      </c>
      <c r="P1348" t="s">
        <v>78</v>
      </c>
      <c r="Q1348">
        <v>3</v>
      </c>
      <c r="R1348" s="2">
        <v>44996</v>
      </c>
      <c r="S1348">
        <v>5</v>
      </c>
      <c r="T1348">
        <v>4</v>
      </c>
      <c r="U1348">
        <v>4</v>
      </c>
      <c r="V1348" s="1">
        <v>44916</v>
      </c>
      <c r="W1348" t="s">
        <v>92</v>
      </c>
      <c r="X1348" t="s">
        <v>42</v>
      </c>
      <c r="Y1348" t="s">
        <v>52</v>
      </c>
      <c r="Z1348">
        <v>1</v>
      </c>
      <c r="AA1348">
        <v>180.61</v>
      </c>
      <c r="AB1348">
        <v>36</v>
      </c>
    </row>
    <row r="1349" spans="1:28" x14ac:dyDescent="0.2">
      <c r="A1349">
        <v>1863</v>
      </c>
      <c r="B1349" s="1">
        <v>43773</v>
      </c>
      <c r="C1349" t="s">
        <v>28</v>
      </c>
      <c r="D1349" t="s">
        <v>69</v>
      </c>
      <c r="E1349" t="s">
        <v>30</v>
      </c>
      <c r="F1349" t="s">
        <v>46</v>
      </c>
      <c r="G1349" t="s">
        <v>32</v>
      </c>
      <c r="H1349" t="s">
        <v>55</v>
      </c>
      <c r="I1349" t="s">
        <v>34</v>
      </c>
      <c r="J1349" t="s">
        <v>79</v>
      </c>
      <c r="K1349" s="2">
        <v>32038</v>
      </c>
      <c r="L1349" t="s">
        <v>36</v>
      </c>
      <c r="M1349" t="s">
        <v>37</v>
      </c>
      <c r="N1349" t="s">
        <v>60</v>
      </c>
      <c r="O1349" t="s">
        <v>61</v>
      </c>
      <c r="P1349" t="s">
        <v>78</v>
      </c>
      <c r="Q1349">
        <v>3</v>
      </c>
      <c r="R1349" s="2">
        <v>45111</v>
      </c>
      <c r="S1349">
        <v>5</v>
      </c>
      <c r="T1349">
        <v>2</v>
      </c>
      <c r="U1349">
        <v>2</v>
      </c>
      <c r="V1349" s="1">
        <v>45098</v>
      </c>
      <c r="W1349" t="s">
        <v>92</v>
      </c>
      <c r="X1349" t="s">
        <v>42</v>
      </c>
      <c r="Y1349" t="s">
        <v>73</v>
      </c>
      <c r="Z1349">
        <v>3</v>
      </c>
      <c r="AA1349">
        <v>559.52</v>
      </c>
      <c r="AB1349">
        <v>32</v>
      </c>
    </row>
    <row r="1350" spans="1:28" x14ac:dyDescent="0.2">
      <c r="A1350">
        <v>1864</v>
      </c>
      <c r="B1350" s="1">
        <v>45080</v>
      </c>
      <c r="C1350" t="s">
        <v>28</v>
      </c>
      <c r="D1350" t="s">
        <v>29</v>
      </c>
      <c r="E1350" t="s">
        <v>30</v>
      </c>
      <c r="F1350" t="s">
        <v>55</v>
      </c>
      <c r="G1350" t="s">
        <v>45</v>
      </c>
      <c r="H1350" t="s">
        <v>33</v>
      </c>
      <c r="I1350" t="s">
        <v>34</v>
      </c>
      <c r="J1350" t="s">
        <v>70</v>
      </c>
      <c r="K1350" s="2">
        <v>26445</v>
      </c>
      <c r="L1350" t="s">
        <v>36</v>
      </c>
      <c r="M1350" t="s">
        <v>37</v>
      </c>
      <c r="N1350" t="s">
        <v>49</v>
      </c>
      <c r="O1350" t="s">
        <v>67</v>
      </c>
      <c r="P1350" t="s">
        <v>78</v>
      </c>
      <c r="Q1350">
        <v>3</v>
      </c>
      <c r="R1350" s="2">
        <v>44905</v>
      </c>
      <c r="S1350">
        <v>3</v>
      </c>
      <c r="T1350">
        <v>2</v>
      </c>
      <c r="U1350">
        <v>1</v>
      </c>
      <c r="V1350" s="1">
        <v>44779</v>
      </c>
      <c r="W1350" t="s">
        <v>62</v>
      </c>
      <c r="X1350" t="s">
        <v>42</v>
      </c>
      <c r="Y1350" t="s">
        <v>63</v>
      </c>
      <c r="Z1350">
        <v>4</v>
      </c>
      <c r="AA1350">
        <v>850.57</v>
      </c>
      <c r="AB1350">
        <v>51</v>
      </c>
    </row>
    <row r="1351" spans="1:28" x14ac:dyDescent="0.2">
      <c r="A1351">
        <v>1865</v>
      </c>
      <c r="B1351" s="1">
        <v>44241</v>
      </c>
      <c r="C1351" t="s">
        <v>28</v>
      </c>
      <c r="D1351" t="s">
        <v>85</v>
      </c>
      <c r="E1351" t="s">
        <v>30</v>
      </c>
      <c r="F1351" t="s">
        <v>46</v>
      </c>
      <c r="G1351" t="s">
        <v>32</v>
      </c>
      <c r="H1351" t="s">
        <v>46</v>
      </c>
      <c r="I1351" t="s">
        <v>34</v>
      </c>
      <c r="J1351" t="s">
        <v>70</v>
      </c>
      <c r="K1351" s="2">
        <v>25347</v>
      </c>
      <c r="L1351" t="s">
        <v>36</v>
      </c>
      <c r="M1351" t="s">
        <v>37</v>
      </c>
      <c r="N1351" t="s">
        <v>84</v>
      </c>
      <c r="O1351" t="s">
        <v>61</v>
      </c>
      <c r="P1351" t="s">
        <v>78</v>
      </c>
      <c r="Q1351">
        <v>3</v>
      </c>
      <c r="R1351" s="2">
        <v>44938</v>
      </c>
      <c r="S1351">
        <v>1</v>
      </c>
      <c r="T1351">
        <v>3</v>
      </c>
      <c r="U1351">
        <v>4</v>
      </c>
      <c r="V1351" s="1">
        <v>44878</v>
      </c>
      <c r="W1351" t="s">
        <v>62</v>
      </c>
      <c r="X1351" t="s">
        <v>42</v>
      </c>
      <c r="Y1351" t="s">
        <v>63</v>
      </c>
      <c r="Z1351">
        <v>3</v>
      </c>
      <c r="AA1351">
        <v>802.75</v>
      </c>
      <c r="AB1351">
        <v>52</v>
      </c>
    </row>
    <row r="1352" spans="1:28" x14ac:dyDescent="0.2">
      <c r="A1352">
        <v>1866</v>
      </c>
      <c r="B1352" s="1">
        <v>44985</v>
      </c>
      <c r="C1352" t="s">
        <v>28</v>
      </c>
      <c r="D1352" t="s">
        <v>44</v>
      </c>
      <c r="E1352" t="s">
        <v>30</v>
      </c>
      <c r="F1352" t="s">
        <v>31</v>
      </c>
      <c r="G1352" t="s">
        <v>45</v>
      </c>
      <c r="H1352" t="s">
        <v>33</v>
      </c>
      <c r="I1352" t="s">
        <v>34</v>
      </c>
      <c r="J1352" t="s">
        <v>70</v>
      </c>
      <c r="K1352" s="2">
        <v>29363</v>
      </c>
      <c r="L1352" t="s">
        <v>36</v>
      </c>
      <c r="M1352" t="s">
        <v>48</v>
      </c>
      <c r="N1352" t="s">
        <v>84</v>
      </c>
      <c r="O1352" t="s">
        <v>77</v>
      </c>
      <c r="P1352" t="s">
        <v>78</v>
      </c>
      <c r="Q1352">
        <v>3</v>
      </c>
      <c r="R1352" s="2">
        <v>44846</v>
      </c>
      <c r="S1352">
        <v>3</v>
      </c>
      <c r="T1352">
        <v>5</v>
      </c>
      <c r="U1352">
        <v>2</v>
      </c>
      <c r="V1352" s="1">
        <v>45038</v>
      </c>
      <c r="W1352" t="s">
        <v>50</v>
      </c>
      <c r="X1352" t="s">
        <v>51</v>
      </c>
      <c r="Y1352" t="s">
        <v>63</v>
      </c>
      <c r="Z1352">
        <v>3</v>
      </c>
      <c r="AA1352">
        <v>587.63</v>
      </c>
      <c r="AB1352">
        <v>43</v>
      </c>
    </row>
    <row r="1353" spans="1:28" x14ac:dyDescent="0.2">
      <c r="A1353">
        <v>1867</v>
      </c>
      <c r="B1353" s="1">
        <v>44205</v>
      </c>
      <c r="C1353" t="s">
        <v>28</v>
      </c>
      <c r="D1353" t="s">
        <v>87</v>
      </c>
      <c r="E1353" t="s">
        <v>30</v>
      </c>
      <c r="F1353" t="s">
        <v>55</v>
      </c>
      <c r="G1353" t="s">
        <v>56</v>
      </c>
      <c r="H1353" t="s">
        <v>33</v>
      </c>
      <c r="I1353" t="s">
        <v>34</v>
      </c>
      <c r="J1353" t="s">
        <v>79</v>
      </c>
      <c r="K1353" s="2">
        <v>15646</v>
      </c>
      <c r="L1353" t="s">
        <v>36</v>
      </c>
      <c r="M1353" t="s">
        <v>48</v>
      </c>
      <c r="N1353" t="s">
        <v>84</v>
      </c>
      <c r="O1353" t="s">
        <v>77</v>
      </c>
      <c r="P1353" t="s">
        <v>98</v>
      </c>
      <c r="Q1353">
        <v>3</v>
      </c>
      <c r="R1353" s="2">
        <v>45054</v>
      </c>
      <c r="S1353">
        <v>1</v>
      </c>
      <c r="T1353">
        <v>5</v>
      </c>
      <c r="U1353">
        <v>2</v>
      </c>
      <c r="V1353" s="1">
        <v>45050</v>
      </c>
      <c r="W1353" t="s">
        <v>62</v>
      </c>
      <c r="X1353" t="s">
        <v>51</v>
      </c>
      <c r="Y1353" t="s">
        <v>73</v>
      </c>
      <c r="Z1353">
        <v>3</v>
      </c>
      <c r="AA1353">
        <v>114.45</v>
      </c>
      <c r="AB1353">
        <v>79</v>
      </c>
    </row>
    <row r="1354" spans="1:28" x14ac:dyDescent="0.2">
      <c r="A1354">
        <v>1868</v>
      </c>
      <c r="B1354" s="1">
        <v>44642</v>
      </c>
      <c r="C1354" t="s">
        <v>28</v>
      </c>
      <c r="D1354" t="s">
        <v>64</v>
      </c>
      <c r="E1354" t="s">
        <v>30</v>
      </c>
      <c r="F1354" t="s">
        <v>46</v>
      </c>
      <c r="G1354" t="s">
        <v>45</v>
      </c>
      <c r="H1354" t="s">
        <v>55</v>
      </c>
      <c r="I1354" t="s">
        <v>34</v>
      </c>
      <c r="J1354" t="s">
        <v>70</v>
      </c>
      <c r="K1354" s="2">
        <v>36858</v>
      </c>
      <c r="L1354" t="s">
        <v>36</v>
      </c>
      <c r="M1354" t="s">
        <v>48</v>
      </c>
      <c r="N1354" t="s">
        <v>72</v>
      </c>
      <c r="O1354" t="s">
        <v>61</v>
      </c>
      <c r="P1354" t="s">
        <v>98</v>
      </c>
      <c r="Q1354">
        <v>3</v>
      </c>
      <c r="R1354" s="2">
        <v>44983</v>
      </c>
      <c r="S1354">
        <v>5</v>
      </c>
      <c r="T1354">
        <v>3</v>
      </c>
      <c r="U1354">
        <v>3</v>
      </c>
      <c r="V1354" s="1">
        <v>45012</v>
      </c>
      <c r="W1354" t="s">
        <v>41</v>
      </c>
      <c r="X1354" t="s">
        <v>42</v>
      </c>
      <c r="Y1354" t="s">
        <v>63</v>
      </c>
      <c r="Z1354">
        <v>4</v>
      </c>
      <c r="AA1354">
        <v>599.79</v>
      </c>
      <c r="AB1354">
        <v>22</v>
      </c>
    </row>
    <row r="1355" spans="1:28" x14ac:dyDescent="0.2">
      <c r="A1355">
        <v>1869</v>
      </c>
      <c r="B1355" s="1">
        <v>43780</v>
      </c>
      <c r="C1355" t="s">
        <v>28</v>
      </c>
      <c r="D1355" t="s">
        <v>94</v>
      </c>
      <c r="E1355" t="s">
        <v>30</v>
      </c>
      <c r="F1355" t="s">
        <v>46</v>
      </c>
      <c r="G1355" t="s">
        <v>32</v>
      </c>
      <c r="H1355" t="s">
        <v>33</v>
      </c>
      <c r="I1355" t="s">
        <v>34</v>
      </c>
      <c r="J1355" t="s">
        <v>102</v>
      </c>
      <c r="K1355" s="2">
        <v>29976</v>
      </c>
      <c r="L1355" t="s">
        <v>36</v>
      </c>
      <c r="M1355" t="s">
        <v>37</v>
      </c>
      <c r="N1355" t="s">
        <v>84</v>
      </c>
      <c r="O1355" t="s">
        <v>67</v>
      </c>
      <c r="P1355" t="s">
        <v>78</v>
      </c>
      <c r="Q1355">
        <v>3</v>
      </c>
      <c r="R1355" s="2">
        <v>44804</v>
      </c>
      <c r="S1355">
        <v>1</v>
      </c>
      <c r="T1355">
        <v>2</v>
      </c>
      <c r="U1355">
        <v>3</v>
      </c>
      <c r="V1355" s="1">
        <v>44918</v>
      </c>
      <c r="W1355" t="s">
        <v>50</v>
      </c>
      <c r="X1355" t="s">
        <v>42</v>
      </c>
      <c r="Y1355" t="s">
        <v>43</v>
      </c>
      <c r="Z1355">
        <v>3</v>
      </c>
      <c r="AA1355">
        <v>280.45999999999998</v>
      </c>
      <c r="AB1355">
        <v>37</v>
      </c>
    </row>
    <row r="1356" spans="1:28" x14ac:dyDescent="0.2">
      <c r="A1356">
        <v>1870</v>
      </c>
      <c r="B1356" s="1">
        <v>44838</v>
      </c>
      <c r="C1356" t="s">
        <v>28</v>
      </c>
      <c r="D1356" t="s">
        <v>74</v>
      </c>
      <c r="E1356" t="s">
        <v>30</v>
      </c>
      <c r="F1356" t="s">
        <v>31</v>
      </c>
      <c r="G1356" t="s">
        <v>56</v>
      </c>
      <c r="H1356" t="s">
        <v>55</v>
      </c>
      <c r="I1356" t="s">
        <v>34</v>
      </c>
      <c r="J1356" t="s">
        <v>79</v>
      </c>
      <c r="K1356" s="2">
        <v>33694</v>
      </c>
      <c r="L1356" t="s">
        <v>36</v>
      </c>
      <c r="M1356" t="s">
        <v>37</v>
      </c>
      <c r="N1356" t="s">
        <v>49</v>
      </c>
      <c r="O1356" t="s">
        <v>67</v>
      </c>
      <c r="P1356" t="s">
        <v>40</v>
      </c>
      <c r="Q1356">
        <v>3</v>
      </c>
      <c r="R1356" s="2">
        <v>44817</v>
      </c>
      <c r="S1356">
        <v>2</v>
      </c>
      <c r="T1356">
        <v>5</v>
      </c>
      <c r="U1356">
        <v>3</v>
      </c>
      <c r="V1356" s="1">
        <v>44920</v>
      </c>
      <c r="W1356" t="s">
        <v>92</v>
      </c>
      <c r="X1356" t="s">
        <v>51</v>
      </c>
      <c r="Y1356" t="s">
        <v>52</v>
      </c>
      <c r="Z1356">
        <v>3</v>
      </c>
      <c r="AA1356">
        <v>969.98</v>
      </c>
      <c r="AB1356">
        <v>30</v>
      </c>
    </row>
    <row r="1357" spans="1:28" x14ac:dyDescent="0.2">
      <c r="A1357">
        <v>1871</v>
      </c>
      <c r="B1357" s="1">
        <v>44431</v>
      </c>
      <c r="C1357" t="s">
        <v>28</v>
      </c>
      <c r="D1357" t="s">
        <v>81</v>
      </c>
      <c r="E1357" t="s">
        <v>30</v>
      </c>
      <c r="F1357" t="s">
        <v>31</v>
      </c>
      <c r="G1357" t="s">
        <v>32</v>
      </c>
      <c r="H1357" t="s">
        <v>55</v>
      </c>
      <c r="I1357" t="s">
        <v>34</v>
      </c>
      <c r="J1357" t="s">
        <v>101</v>
      </c>
      <c r="K1357" s="2">
        <v>35286</v>
      </c>
      <c r="L1357" t="s">
        <v>36</v>
      </c>
      <c r="M1357" t="s">
        <v>37</v>
      </c>
      <c r="N1357" t="s">
        <v>38</v>
      </c>
      <c r="O1357" t="s">
        <v>39</v>
      </c>
      <c r="P1357" t="s">
        <v>40</v>
      </c>
      <c r="Q1357">
        <v>3</v>
      </c>
      <c r="R1357" s="2">
        <v>44907</v>
      </c>
      <c r="S1357">
        <v>1</v>
      </c>
      <c r="T1357">
        <v>4</v>
      </c>
      <c r="U1357">
        <v>3</v>
      </c>
      <c r="V1357" s="1">
        <v>45110</v>
      </c>
      <c r="W1357" t="s">
        <v>50</v>
      </c>
      <c r="X1357" t="s">
        <v>42</v>
      </c>
      <c r="Y1357" t="s">
        <v>43</v>
      </c>
      <c r="Z1357">
        <v>4</v>
      </c>
      <c r="AA1357">
        <v>643.07000000000005</v>
      </c>
      <c r="AB1357">
        <v>25</v>
      </c>
    </row>
    <row r="1358" spans="1:28" x14ac:dyDescent="0.2">
      <c r="A1358">
        <v>1872</v>
      </c>
      <c r="B1358" s="1">
        <v>44900</v>
      </c>
      <c r="C1358" t="s">
        <v>28</v>
      </c>
      <c r="D1358" t="s">
        <v>54</v>
      </c>
      <c r="E1358" t="s">
        <v>30</v>
      </c>
      <c r="F1358" t="s">
        <v>55</v>
      </c>
      <c r="G1358" t="s">
        <v>56</v>
      </c>
      <c r="H1358" t="s">
        <v>33</v>
      </c>
      <c r="I1358" t="s">
        <v>34</v>
      </c>
      <c r="J1358" t="s">
        <v>70</v>
      </c>
      <c r="K1358" s="2">
        <v>26654</v>
      </c>
      <c r="L1358" t="s">
        <v>36</v>
      </c>
      <c r="M1358" t="s">
        <v>37</v>
      </c>
      <c r="N1358" t="s">
        <v>49</v>
      </c>
      <c r="O1358" t="s">
        <v>67</v>
      </c>
      <c r="P1358" t="s">
        <v>40</v>
      </c>
      <c r="Q1358">
        <v>3</v>
      </c>
      <c r="R1358" s="2">
        <v>45033</v>
      </c>
      <c r="S1358">
        <v>1</v>
      </c>
      <c r="T1358">
        <v>2</v>
      </c>
      <c r="U1358">
        <v>5</v>
      </c>
      <c r="V1358" s="1">
        <v>45111</v>
      </c>
      <c r="W1358" t="s">
        <v>41</v>
      </c>
      <c r="X1358" t="s">
        <v>42</v>
      </c>
      <c r="Y1358" t="s">
        <v>52</v>
      </c>
      <c r="Z1358">
        <v>4</v>
      </c>
      <c r="AA1358">
        <v>299.55</v>
      </c>
      <c r="AB1358">
        <v>50</v>
      </c>
    </row>
    <row r="1359" spans="1:28" x14ac:dyDescent="0.2">
      <c r="A1359">
        <v>1873</v>
      </c>
      <c r="B1359" s="1">
        <v>43666</v>
      </c>
      <c r="C1359" t="s">
        <v>106</v>
      </c>
      <c r="D1359" t="s">
        <v>69</v>
      </c>
      <c r="E1359" t="s">
        <v>30</v>
      </c>
      <c r="F1359" t="s">
        <v>31</v>
      </c>
      <c r="G1359" t="s">
        <v>32</v>
      </c>
      <c r="H1359" t="s">
        <v>33</v>
      </c>
      <c r="I1359" t="s">
        <v>34</v>
      </c>
      <c r="J1359" t="s">
        <v>79</v>
      </c>
      <c r="K1359" s="2">
        <v>21938</v>
      </c>
      <c r="L1359" t="s">
        <v>36</v>
      </c>
      <c r="M1359" t="s">
        <v>37</v>
      </c>
      <c r="N1359" t="s">
        <v>72</v>
      </c>
      <c r="O1359" t="s">
        <v>67</v>
      </c>
      <c r="P1359" t="s">
        <v>40</v>
      </c>
      <c r="Q1359">
        <v>3</v>
      </c>
      <c r="R1359" s="2">
        <v>44787</v>
      </c>
      <c r="S1359">
        <v>5</v>
      </c>
      <c r="T1359">
        <v>2</v>
      </c>
      <c r="U1359">
        <v>3</v>
      </c>
      <c r="V1359" s="1">
        <v>44987</v>
      </c>
      <c r="W1359" t="s">
        <v>68</v>
      </c>
      <c r="X1359" t="s">
        <v>51</v>
      </c>
      <c r="Y1359" t="s">
        <v>52</v>
      </c>
      <c r="Z1359">
        <v>3</v>
      </c>
      <c r="AA1359">
        <v>373.67</v>
      </c>
      <c r="AB1359">
        <v>59</v>
      </c>
    </row>
    <row r="1360" spans="1:28" x14ac:dyDescent="0.2">
      <c r="A1360">
        <v>1874</v>
      </c>
      <c r="B1360" s="1">
        <v>44505</v>
      </c>
      <c r="C1360" t="s">
        <v>106</v>
      </c>
      <c r="D1360" t="s">
        <v>29</v>
      </c>
      <c r="E1360" t="s">
        <v>30</v>
      </c>
      <c r="F1360" t="s">
        <v>55</v>
      </c>
      <c r="G1360" t="s">
        <v>56</v>
      </c>
      <c r="H1360" t="s">
        <v>46</v>
      </c>
      <c r="I1360" t="s">
        <v>34</v>
      </c>
      <c r="J1360" t="s">
        <v>110</v>
      </c>
      <c r="K1360" s="2">
        <v>22258</v>
      </c>
      <c r="L1360" t="s">
        <v>36</v>
      </c>
      <c r="M1360" t="s">
        <v>48</v>
      </c>
      <c r="N1360" t="s">
        <v>84</v>
      </c>
      <c r="O1360" t="s">
        <v>39</v>
      </c>
      <c r="P1360" t="s">
        <v>40</v>
      </c>
      <c r="Q1360">
        <v>3</v>
      </c>
      <c r="R1360" s="2">
        <v>45050</v>
      </c>
      <c r="S1360">
        <v>2</v>
      </c>
      <c r="T1360">
        <v>4</v>
      </c>
      <c r="U1360">
        <v>4</v>
      </c>
      <c r="V1360" s="1">
        <v>44920</v>
      </c>
      <c r="W1360" t="s">
        <v>41</v>
      </c>
      <c r="X1360" t="s">
        <v>42</v>
      </c>
      <c r="Y1360" t="s">
        <v>73</v>
      </c>
      <c r="Z1360">
        <v>1</v>
      </c>
      <c r="AA1360">
        <v>902.01</v>
      </c>
      <c r="AB1360">
        <v>61</v>
      </c>
    </row>
    <row r="1361" spans="1:28" x14ac:dyDescent="0.2">
      <c r="A1361">
        <v>1875</v>
      </c>
      <c r="B1361" s="1">
        <v>44200</v>
      </c>
      <c r="C1361" t="s">
        <v>106</v>
      </c>
      <c r="D1361" t="s">
        <v>44</v>
      </c>
      <c r="E1361" t="s">
        <v>108</v>
      </c>
      <c r="F1361" t="s">
        <v>55</v>
      </c>
      <c r="G1361" t="s">
        <v>32</v>
      </c>
      <c r="H1361" t="s">
        <v>55</v>
      </c>
      <c r="I1361" t="s">
        <v>34</v>
      </c>
      <c r="J1361" t="s">
        <v>65</v>
      </c>
      <c r="K1361" s="2">
        <v>19572</v>
      </c>
      <c r="L1361" t="s">
        <v>36</v>
      </c>
      <c r="M1361" t="s">
        <v>48</v>
      </c>
      <c r="N1361" t="s">
        <v>60</v>
      </c>
      <c r="O1361" t="s">
        <v>61</v>
      </c>
      <c r="P1361" t="s">
        <v>40</v>
      </c>
      <c r="Q1361">
        <v>3</v>
      </c>
      <c r="R1361" s="2">
        <v>45143</v>
      </c>
      <c r="S1361">
        <v>3</v>
      </c>
      <c r="T1361">
        <v>1</v>
      </c>
      <c r="U1361">
        <v>4</v>
      </c>
      <c r="V1361" s="1">
        <v>45004</v>
      </c>
      <c r="W1361" t="s">
        <v>62</v>
      </c>
      <c r="X1361" t="s">
        <v>42</v>
      </c>
      <c r="Y1361" t="s">
        <v>43</v>
      </c>
      <c r="Z1361">
        <v>1</v>
      </c>
      <c r="AA1361">
        <v>105.61</v>
      </c>
      <c r="AB1361">
        <v>68</v>
      </c>
    </row>
    <row r="1362" spans="1:28" x14ac:dyDescent="0.2">
      <c r="A1362">
        <v>1877</v>
      </c>
      <c r="B1362" s="1">
        <v>44499</v>
      </c>
      <c r="C1362" t="s">
        <v>106</v>
      </c>
      <c r="D1362" t="s">
        <v>81</v>
      </c>
      <c r="E1362" t="s">
        <v>30</v>
      </c>
      <c r="F1362" t="s">
        <v>46</v>
      </c>
      <c r="G1362" t="s">
        <v>45</v>
      </c>
      <c r="H1362" t="s">
        <v>55</v>
      </c>
      <c r="I1362" t="s">
        <v>34</v>
      </c>
      <c r="J1362" t="s">
        <v>65</v>
      </c>
      <c r="K1362" s="2">
        <v>22418</v>
      </c>
      <c r="L1362" t="s">
        <v>36</v>
      </c>
      <c r="M1362" t="s">
        <v>48</v>
      </c>
      <c r="N1362" t="s">
        <v>84</v>
      </c>
      <c r="O1362" t="s">
        <v>67</v>
      </c>
      <c r="P1362" t="s">
        <v>40</v>
      </c>
      <c r="Q1362">
        <v>3</v>
      </c>
      <c r="R1362" s="2">
        <v>44812</v>
      </c>
      <c r="S1362">
        <v>2</v>
      </c>
      <c r="T1362">
        <v>3</v>
      </c>
      <c r="U1362">
        <v>2</v>
      </c>
      <c r="V1362" s="1">
        <v>45047</v>
      </c>
      <c r="W1362" t="s">
        <v>68</v>
      </c>
      <c r="X1362" t="s">
        <v>51</v>
      </c>
      <c r="Y1362" t="s">
        <v>73</v>
      </c>
      <c r="Z1362">
        <v>1</v>
      </c>
      <c r="AA1362">
        <v>845.17</v>
      </c>
      <c r="AB1362">
        <v>60</v>
      </c>
    </row>
    <row r="1363" spans="1:28" x14ac:dyDescent="0.2">
      <c r="A1363">
        <v>1878</v>
      </c>
      <c r="B1363" s="1">
        <v>44836</v>
      </c>
      <c r="C1363" t="s">
        <v>28</v>
      </c>
      <c r="D1363" t="s">
        <v>74</v>
      </c>
      <c r="E1363" t="s">
        <v>30</v>
      </c>
      <c r="F1363" t="s">
        <v>46</v>
      </c>
      <c r="G1363" t="s">
        <v>56</v>
      </c>
      <c r="H1363" t="s">
        <v>46</v>
      </c>
      <c r="I1363" t="s">
        <v>34</v>
      </c>
      <c r="J1363" t="s">
        <v>89</v>
      </c>
      <c r="K1363" s="2">
        <v>37059</v>
      </c>
      <c r="L1363" t="s">
        <v>36</v>
      </c>
      <c r="M1363" t="s">
        <v>37</v>
      </c>
      <c r="N1363" t="s">
        <v>38</v>
      </c>
      <c r="O1363" t="s">
        <v>61</v>
      </c>
      <c r="P1363" t="s">
        <v>40</v>
      </c>
      <c r="Q1363">
        <v>3</v>
      </c>
      <c r="R1363" s="2">
        <v>44939</v>
      </c>
      <c r="S1363">
        <v>5</v>
      </c>
      <c r="T1363">
        <v>3</v>
      </c>
      <c r="U1363">
        <v>3</v>
      </c>
      <c r="V1363" s="1">
        <v>45071</v>
      </c>
      <c r="W1363" t="s">
        <v>68</v>
      </c>
      <c r="X1363" t="s">
        <v>51</v>
      </c>
      <c r="Y1363" t="s">
        <v>73</v>
      </c>
      <c r="Z1363">
        <v>5</v>
      </c>
      <c r="AA1363">
        <v>932.44</v>
      </c>
      <c r="AB1363">
        <v>21</v>
      </c>
    </row>
    <row r="1364" spans="1:28" x14ac:dyDescent="0.2">
      <c r="A1364">
        <v>1879</v>
      </c>
      <c r="B1364" s="1">
        <v>43429</v>
      </c>
      <c r="C1364" t="s">
        <v>28</v>
      </c>
      <c r="D1364" t="s">
        <v>69</v>
      </c>
      <c r="E1364" t="s">
        <v>108</v>
      </c>
      <c r="F1364" t="s">
        <v>46</v>
      </c>
      <c r="G1364" t="s">
        <v>56</v>
      </c>
      <c r="H1364" t="s">
        <v>33</v>
      </c>
      <c r="I1364" t="s">
        <v>34</v>
      </c>
      <c r="J1364" t="s">
        <v>79</v>
      </c>
      <c r="K1364" s="2">
        <v>24045</v>
      </c>
      <c r="L1364" t="s">
        <v>36</v>
      </c>
      <c r="M1364" t="s">
        <v>37</v>
      </c>
      <c r="N1364" t="s">
        <v>72</v>
      </c>
      <c r="O1364" t="s">
        <v>61</v>
      </c>
      <c r="P1364" t="s">
        <v>40</v>
      </c>
      <c r="Q1364">
        <v>3</v>
      </c>
      <c r="R1364" s="2">
        <v>45143</v>
      </c>
      <c r="S1364">
        <v>2</v>
      </c>
      <c r="T1364">
        <v>3</v>
      </c>
      <c r="U1364">
        <v>4</v>
      </c>
      <c r="V1364" s="1">
        <v>45045</v>
      </c>
      <c r="W1364" t="s">
        <v>41</v>
      </c>
      <c r="X1364" t="s">
        <v>42</v>
      </c>
      <c r="Y1364" t="s">
        <v>73</v>
      </c>
      <c r="Z1364">
        <v>2</v>
      </c>
      <c r="AA1364">
        <v>227.51</v>
      </c>
      <c r="AB1364">
        <v>53</v>
      </c>
    </row>
    <row r="1365" spans="1:28" x14ac:dyDescent="0.2">
      <c r="A1365">
        <v>1880</v>
      </c>
      <c r="B1365" s="1">
        <v>44386</v>
      </c>
      <c r="C1365" t="s">
        <v>28</v>
      </c>
      <c r="D1365" t="s">
        <v>29</v>
      </c>
      <c r="E1365" t="s">
        <v>108</v>
      </c>
      <c r="F1365" t="s">
        <v>55</v>
      </c>
      <c r="G1365" t="s">
        <v>45</v>
      </c>
      <c r="H1365" t="s">
        <v>55</v>
      </c>
      <c r="I1365" t="s">
        <v>34</v>
      </c>
      <c r="J1365" t="s">
        <v>96</v>
      </c>
      <c r="K1365" s="2">
        <v>24114</v>
      </c>
      <c r="L1365" t="s">
        <v>36</v>
      </c>
      <c r="M1365" t="s">
        <v>37</v>
      </c>
      <c r="N1365" t="s">
        <v>72</v>
      </c>
      <c r="O1365" t="s">
        <v>39</v>
      </c>
      <c r="P1365" t="s">
        <v>40</v>
      </c>
      <c r="Q1365">
        <v>3</v>
      </c>
      <c r="R1365" s="2">
        <v>45029</v>
      </c>
      <c r="S1365">
        <v>5</v>
      </c>
      <c r="T1365">
        <v>1</v>
      </c>
      <c r="U1365">
        <v>2</v>
      </c>
      <c r="V1365" s="1">
        <v>44783</v>
      </c>
      <c r="W1365" t="s">
        <v>50</v>
      </c>
      <c r="X1365" t="s">
        <v>42</v>
      </c>
      <c r="Y1365" t="s">
        <v>52</v>
      </c>
      <c r="Z1365">
        <v>5</v>
      </c>
      <c r="AA1365">
        <v>785.05</v>
      </c>
      <c r="AB1365">
        <v>55</v>
      </c>
    </row>
    <row r="1366" spans="1:28" x14ac:dyDescent="0.2">
      <c r="A1366">
        <v>1881</v>
      </c>
      <c r="B1366" s="1">
        <v>43586</v>
      </c>
      <c r="C1366" t="s">
        <v>28</v>
      </c>
      <c r="D1366" t="s">
        <v>44</v>
      </c>
      <c r="E1366" t="s">
        <v>30</v>
      </c>
      <c r="F1366" t="s">
        <v>55</v>
      </c>
      <c r="G1366" t="s">
        <v>56</v>
      </c>
      <c r="H1366" t="s">
        <v>46</v>
      </c>
      <c r="I1366" t="s">
        <v>34</v>
      </c>
      <c r="J1366" t="s">
        <v>70</v>
      </c>
      <c r="K1366" s="2">
        <v>36813</v>
      </c>
      <c r="L1366" t="s">
        <v>36</v>
      </c>
      <c r="M1366" t="s">
        <v>48</v>
      </c>
      <c r="N1366" t="s">
        <v>84</v>
      </c>
      <c r="O1366" t="s">
        <v>61</v>
      </c>
      <c r="P1366" t="s">
        <v>40</v>
      </c>
      <c r="Q1366">
        <v>3</v>
      </c>
      <c r="R1366" s="2">
        <v>44822</v>
      </c>
      <c r="S1366">
        <v>3</v>
      </c>
      <c r="T1366">
        <v>5</v>
      </c>
      <c r="U1366">
        <v>3</v>
      </c>
      <c r="V1366" s="1">
        <v>45107</v>
      </c>
      <c r="W1366" t="s">
        <v>92</v>
      </c>
      <c r="X1366" t="s">
        <v>51</v>
      </c>
      <c r="Y1366" t="s">
        <v>73</v>
      </c>
      <c r="Z1366">
        <v>4</v>
      </c>
      <c r="AA1366">
        <v>584.91999999999996</v>
      </c>
      <c r="AB1366">
        <v>19</v>
      </c>
    </row>
    <row r="1367" spans="1:28" x14ac:dyDescent="0.2">
      <c r="A1367">
        <v>1882</v>
      </c>
      <c r="B1367" s="1">
        <v>44509</v>
      </c>
      <c r="C1367" t="s">
        <v>28</v>
      </c>
      <c r="D1367" t="s">
        <v>87</v>
      </c>
      <c r="E1367" t="s">
        <v>30</v>
      </c>
      <c r="F1367" t="s">
        <v>55</v>
      </c>
      <c r="G1367" t="s">
        <v>45</v>
      </c>
      <c r="H1367" t="s">
        <v>46</v>
      </c>
      <c r="I1367" t="s">
        <v>34</v>
      </c>
      <c r="J1367" t="s">
        <v>97</v>
      </c>
      <c r="K1367" s="2">
        <v>16474</v>
      </c>
      <c r="L1367" t="s">
        <v>36</v>
      </c>
      <c r="M1367" t="s">
        <v>37</v>
      </c>
      <c r="N1367" t="s">
        <v>84</v>
      </c>
      <c r="O1367" t="s">
        <v>77</v>
      </c>
      <c r="P1367" t="s">
        <v>40</v>
      </c>
      <c r="Q1367">
        <v>3</v>
      </c>
      <c r="R1367" s="2">
        <v>45114</v>
      </c>
      <c r="S1367">
        <v>1</v>
      </c>
      <c r="T1367">
        <v>4</v>
      </c>
      <c r="U1367">
        <v>2</v>
      </c>
      <c r="V1367" s="1">
        <v>45027</v>
      </c>
      <c r="W1367" t="s">
        <v>41</v>
      </c>
      <c r="X1367" t="s">
        <v>42</v>
      </c>
      <c r="Y1367" t="s">
        <v>52</v>
      </c>
      <c r="Z1367">
        <v>5</v>
      </c>
      <c r="AA1367">
        <v>206.16</v>
      </c>
      <c r="AB1367">
        <v>76</v>
      </c>
    </row>
    <row r="1368" spans="1:28" x14ac:dyDescent="0.2">
      <c r="A1368">
        <v>1883</v>
      </c>
      <c r="B1368" s="1">
        <v>43339</v>
      </c>
      <c r="C1368" t="s">
        <v>28</v>
      </c>
      <c r="D1368" t="s">
        <v>81</v>
      </c>
      <c r="E1368" t="s">
        <v>30</v>
      </c>
      <c r="F1368" t="s">
        <v>55</v>
      </c>
      <c r="G1368" t="s">
        <v>56</v>
      </c>
      <c r="H1368" t="s">
        <v>33</v>
      </c>
      <c r="I1368" t="s">
        <v>34</v>
      </c>
      <c r="J1368" t="s">
        <v>96</v>
      </c>
      <c r="K1368" s="2">
        <v>24656</v>
      </c>
      <c r="L1368" t="s">
        <v>36</v>
      </c>
      <c r="M1368" t="s">
        <v>37</v>
      </c>
      <c r="N1368" t="s">
        <v>72</v>
      </c>
      <c r="O1368" t="s">
        <v>61</v>
      </c>
      <c r="P1368" t="s">
        <v>40</v>
      </c>
      <c r="Q1368">
        <v>3</v>
      </c>
      <c r="R1368" s="2">
        <v>44843</v>
      </c>
      <c r="S1368">
        <v>3</v>
      </c>
      <c r="T1368">
        <v>4</v>
      </c>
      <c r="U1368">
        <v>2</v>
      </c>
      <c r="V1368" s="1">
        <v>45065</v>
      </c>
      <c r="W1368" t="s">
        <v>50</v>
      </c>
      <c r="X1368" t="s">
        <v>42</v>
      </c>
      <c r="Y1368" t="s">
        <v>43</v>
      </c>
      <c r="Z1368">
        <v>1</v>
      </c>
      <c r="AA1368">
        <v>483.43</v>
      </c>
      <c r="AB1368">
        <v>51</v>
      </c>
    </row>
    <row r="1369" spans="1:28" x14ac:dyDescent="0.2">
      <c r="A1369">
        <v>1884</v>
      </c>
      <c r="B1369" s="1">
        <v>43540</v>
      </c>
      <c r="C1369" t="s">
        <v>28</v>
      </c>
      <c r="D1369" t="s">
        <v>54</v>
      </c>
      <c r="E1369" t="s">
        <v>30</v>
      </c>
      <c r="F1369" t="s">
        <v>46</v>
      </c>
      <c r="G1369" t="s">
        <v>32</v>
      </c>
      <c r="H1369" t="s">
        <v>46</v>
      </c>
      <c r="I1369" t="s">
        <v>34</v>
      </c>
      <c r="J1369" t="s">
        <v>75</v>
      </c>
      <c r="K1369" s="2">
        <v>36731</v>
      </c>
      <c r="L1369" t="s">
        <v>36</v>
      </c>
      <c r="M1369" t="s">
        <v>37</v>
      </c>
      <c r="N1369" t="s">
        <v>60</v>
      </c>
      <c r="O1369" t="s">
        <v>67</v>
      </c>
      <c r="P1369" t="s">
        <v>40</v>
      </c>
      <c r="Q1369">
        <v>3</v>
      </c>
      <c r="R1369" s="2">
        <v>45030</v>
      </c>
      <c r="S1369">
        <v>1</v>
      </c>
      <c r="T1369">
        <v>3</v>
      </c>
      <c r="U1369">
        <v>3</v>
      </c>
      <c r="V1369" s="1">
        <v>44813</v>
      </c>
      <c r="W1369" t="s">
        <v>62</v>
      </c>
      <c r="X1369" t="s">
        <v>51</v>
      </c>
      <c r="Y1369" t="s">
        <v>52</v>
      </c>
      <c r="Z1369">
        <v>2</v>
      </c>
      <c r="AA1369">
        <v>889.87</v>
      </c>
      <c r="AB1369">
        <v>19</v>
      </c>
    </row>
    <row r="1370" spans="1:28" x14ac:dyDescent="0.2">
      <c r="A1370">
        <v>1885</v>
      </c>
      <c r="B1370" s="1">
        <v>44568</v>
      </c>
      <c r="C1370" t="s">
        <v>28</v>
      </c>
      <c r="D1370" t="s">
        <v>94</v>
      </c>
      <c r="E1370" t="s">
        <v>30</v>
      </c>
      <c r="F1370" t="s">
        <v>31</v>
      </c>
      <c r="G1370" t="s">
        <v>56</v>
      </c>
      <c r="H1370" t="s">
        <v>55</v>
      </c>
      <c r="I1370" t="s">
        <v>34</v>
      </c>
      <c r="J1370" t="s">
        <v>65</v>
      </c>
      <c r="K1370" s="2">
        <v>30825</v>
      </c>
      <c r="L1370" t="s">
        <v>36</v>
      </c>
      <c r="M1370" t="s">
        <v>48</v>
      </c>
      <c r="N1370" t="s">
        <v>60</v>
      </c>
      <c r="O1370" t="s">
        <v>67</v>
      </c>
      <c r="P1370" t="s">
        <v>40</v>
      </c>
      <c r="Q1370">
        <v>3</v>
      </c>
      <c r="R1370" s="2">
        <v>44818</v>
      </c>
      <c r="S1370">
        <v>1</v>
      </c>
      <c r="T1370">
        <v>2</v>
      </c>
      <c r="U1370">
        <v>4</v>
      </c>
      <c r="V1370" s="1">
        <v>44972</v>
      </c>
      <c r="W1370" t="s">
        <v>50</v>
      </c>
      <c r="X1370" t="s">
        <v>42</v>
      </c>
      <c r="Y1370" t="s">
        <v>52</v>
      </c>
      <c r="Z1370">
        <v>3</v>
      </c>
      <c r="AA1370">
        <v>503.04</v>
      </c>
      <c r="AB1370">
        <v>38</v>
      </c>
    </row>
    <row r="1371" spans="1:28" x14ac:dyDescent="0.2">
      <c r="A1371">
        <v>1886</v>
      </c>
      <c r="B1371" s="1">
        <v>44838</v>
      </c>
      <c r="C1371" t="s">
        <v>28</v>
      </c>
      <c r="D1371" t="s">
        <v>85</v>
      </c>
      <c r="E1371" t="s">
        <v>30</v>
      </c>
      <c r="F1371" t="s">
        <v>31</v>
      </c>
      <c r="G1371" t="s">
        <v>45</v>
      </c>
      <c r="H1371" t="s">
        <v>33</v>
      </c>
      <c r="I1371" t="s">
        <v>34</v>
      </c>
      <c r="J1371" t="s">
        <v>82</v>
      </c>
      <c r="K1371" s="2">
        <v>31022</v>
      </c>
      <c r="L1371" t="s">
        <v>36</v>
      </c>
      <c r="M1371" t="s">
        <v>48</v>
      </c>
      <c r="N1371" t="s">
        <v>38</v>
      </c>
      <c r="O1371" t="s">
        <v>61</v>
      </c>
      <c r="P1371" t="s">
        <v>40</v>
      </c>
      <c r="Q1371">
        <v>3</v>
      </c>
      <c r="R1371" s="2">
        <v>44944</v>
      </c>
      <c r="S1371">
        <v>3</v>
      </c>
      <c r="T1371">
        <v>2</v>
      </c>
      <c r="U1371">
        <v>5</v>
      </c>
      <c r="V1371" s="1">
        <v>45087</v>
      </c>
      <c r="W1371" t="s">
        <v>50</v>
      </c>
      <c r="X1371" t="s">
        <v>51</v>
      </c>
      <c r="Y1371" t="s">
        <v>63</v>
      </c>
      <c r="Z1371">
        <v>1</v>
      </c>
      <c r="AA1371">
        <v>349.8</v>
      </c>
      <c r="AB1371">
        <v>38</v>
      </c>
    </row>
    <row r="1372" spans="1:28" x14ac:dyDescent="0.2">
      <c r="A1372">
        <v>1887</v>
      </c>
      <c r="B1372" s="1">
        <v>44643</v>
      </c>
      <c r="C1372" t="s">
        <v>28</v>
      </c>
      <c r="D1372" t="s">
        <v>64</v>
      </c>
      <c r="E1372" t="s">
        <v>30</v>
      </c>
      <c r="F1372" t="s">
        <v>55</v>
      </c>
      <c r="G1372" t="s">
        <v>32</v>
      </c>
      <c r="H1372" t="s">
        <v>55</v>
      </c>
      <c r="I1372" t="s">
        <v>34</v>
      </c>
      <c r="J1372" t="s">
        <v>70</v>
      </c>
      <c r="K1372" s="2">
        <v>35686</v>
      </c>
      <c r="L1372" t="s">
        <v>36</v>
      </c>
      <c r="M1372" t="s">
        <v>48</v>
      </c>
      <c r="N1372" t="s">
        <v>38</v>
      </c>
      <c r="O1372" t="s">
        <v>77</v>
      </c>
      <c r="P1372" t="s">
        <v>40</v>
      </c>
      <c r="Q1372">
        <v>3</v>
      </c>
      <c r="R1372" s="2">
        <v>45053</v>
      </c>
      <c r="S1372">
        <v>2</v>
      </c>
      <c r="T1372">
        <v>3</v>
      </c>
      <c r="U1372">
        <v>3</v>
      </c>
      <c r="V1372" s="1">
        <v>44918</v>
      </c>
      <c r="W1372" t="s">
        <v>50</v>
      </c>
      <c r="X1372" t="s">
        <v>51</v>
      </c>
      <c r="Y1372" t="s">
        <v>73</v>
      </c>
      <c r="Z1372">
        <v>4</v>
      </c>
      <c r="AA1372">
        <v>547.76</v>
      </c>
      <c r="AB1372">
        <v>25</v>
      </c>
    </row>
    <row r="1373" spans="1:28" x14ac:dyDescent="0.2">
      <c r="A1373">
        <v>1888</v>
      </c>
      <c r="B1373" s="1">
        <v>43956</v>
      </c>
      <c r="C1373" t="s">
        <v>28</v>
      </c>
      <c r="D1373" t="s">
        <v>74</v>
      </c>
      <c r="E1373" t="s">
        <v>30</v>
      </c>
      <c r="F1373" t="s">
        <v>55</v>
      </c>
      <c r="G1373" t="s">
        <v>56</v>
      </c>
      <c r="H1373" t="s">
        <v>33</v>
      </c>
      <c r="I1373" t="s">
        <v>34</v>
      </c>
      <c r="J1373" t="s">
        <v>79</v>
      </c>
      <c r="K1373" s="2">
        <v>17527</v>
      </c>
      <c r="L1373" t="s">
        <v>36</v>
      </c>
      <c r="M1373" t="s">
        <v>37</v>
      </c>
      <c r="N1373" t="s">
        <v>38</v>
      </c>
      <c r="O1373" t="s">
        <v>67</v>
      </c>
      <c r="P1373" t="s">
        <v>40</v>
      </c>
      <c r="Q1373">
        <v>3</v>
      </c>
      <c r="R1373" s="2">
        <v>45130</v>
      </c>
      <c r="S1373">
        <v>1</v>
      </c>
      <c r="T1373">
        <v>5</v>
      </c>
      <c r="U1373">
        <v>1</v>
      </c>
      <c r="V1373" s="1">
        <v>44918</v>
      </c>
      <c r="W1373" t="s">
        <v>68</v>
      </c>
      <c r="X1373" t="s">
        <v>51</v>
      </c>
      <c r="Y1373" t="s">
        <v>63</v>
      </c>
      <c r="Z1373">
        <v>2</v>
      </c>
      <c r="AA1373">
        <v>961.68</v>
      </c>
      <c r="AB1373">
        <v>73</v>
      </c>
    </row>
    <row r="1374" spans="1:28" x14ac:dyDescent="0.2">
      <c r="A1374">
        <v>1889</v>
      </c>
      <c r="B1374" s="1">
        <v>44158</v>
      </c>
      <c r="C1374" t="s">
        <v>28</v>
      </c>
      <c r="D1374" t="s">
        <v>94</v>
      </c>
      <c r="E1374" t="s">
        <v>30</v>
      </c>
      <c r="F1374" t="s">
        <v>31</v>
      </c>
      <c r="G1374" t="s">
        <v>56</v>
      </c>
      <c r="H1374" t="s">
        <v>33</v>
      </c>
      <c r="I1374" t="s">
        <v>34</v>
      </c>
      <c r="J1374" t="s">
        <v>65</v>
      </c>
      <c r="K1374" s="2">
        <v>20865</v>
      </c>
      <c r="L1374" t="s">
        <v>36</v>
      </c>
      <c r="M1374" t="s">
        <v>37</v>
      </c>
      <c r="N1374" t="s">
        <v>60</v>
      </c>
      <c r="O1374" t="s">
        <v>77</v>
      </c>
      <c r="P1374" t="s">
        <v>40</v>
      </c>
      <c r="Q1374">
        <v>3</v>
      </c>
      <c r="R1374" s="2">
        <v>44840</v>
      </c>
      <c r="S1374">
        <v>5</v>
      </c>
      <c r="T1374">
        <v>4</v>
      </c>
      <c r="U1374">
        <v>4</v>
      </c>
      <c r="V1374" s="1">
        <v>44966</v>
      </c>
      <c r="W1374" t="s">
        <v>41</v>
      </c>
      <c r="X1374" t="s">
        <v>42</v>
      </c>
      <c r="Y1374" t="s">
        <v>52</v>
      </c>
      <c r="Z1374">
        <v>1</v>
      </c>
      <c r="AA1374">
        <v>993.76</v>
      </c>
      <c r="AB1374">
        <v>63</v>
      </c>
    </row>
    <row r="1375" spans="1:28" x14ac:dyDescent="0.2">
      <c r="A1375">
        <v>1890</v>
      </c>
      <c r="B1375" s="1">
        <v>44648</v>
      </c>
      <c r="C1375" t="s">
        <v>28</v>
      </c>
      <c r="D1375" t="s">
        <v>74</v>
      </c>
      <c r="E1375" t="s">
        <v>30</v>
      </c>
      <c r="F1375" t="s">
        <v>31</v>
      </c>
      <c r="G1375" t="s">
        <v>56</v>
      </c>
      <c r="H1375" t="s">
        <v>55</v>
      </c>
      <c r="I1375" t="s">
        <v>34</v>
      </c>
      <c r="J1375" t="s">
        <v>89</v>
      </c>
      <c r="K1375" s="2">
        <v>24982</v>
      </c>
      <c r="L1375" t="s">
        <v>36</v>
      </c>
      <c r="M1375" t="s">
        <v>37</v>
      </c>
      <c r="N1375" t="s">
        <v>38</v>
      </c>
      <c r="O1375" t="s">
        <v>39</v>
      </c>
      <c r="P1375" t="s">
        <v>40</v>
      </c>
      <c r="Q1375">
        <v>3</v>
      </c>
      <c r="R1375" s="2">
        <v>45058</v>
      </c>
      <c r="S1375">
        <v>1</v>
      </c>
      <c r="T1375">
        <v>3</v>
      </c>
      <c r="U1375">
        <v>2</v>
      </c>
      <c r="V1375" s="1">
        <v>44859</v>
      </c>
      <c r="W1375" t="s">
        <v>92</v>
      </c>
      <c r="X1375" t="s">
        <v>42</v>
      </c>
      <c r="Y1375" t="s">
        <v>43</v>
      </c>
      <c r="Z1375">
        <v>2</v>
      </c>
      <c r="AA1375">
        <v>998.32</v>
      </c>
      <c r="AB1375">
        <v>54</v>
      </c>
    </row>
    <row r="1376" spans="1:28" x14ac:dyDescent="0.2">
      <c r="A1376">
        <v>1891</v>
      </c>
      <c r="B1376" s="1">
        <v>43915</v>
      </c>
      <c r="C1376" t="s">
        <v>28</v>
      </c>
      <c r="D1376" t="s">
        <v>81</v>
      </c>
      <c r="E1376" t="s">
        <v>30</v>
      </c>
      <c r="F1376" t="s">
        <v>55</v>
      </c>
      <c r="G1376" t="s">
        <v>32</v>
      </c>
      <c r="H1376" t="s">
        <v>55</v>
      </c>
      <c r="I1376" t="s">
        <v>34</v>
      </c>
      <c r="J1376" t="s">
        <v>47</v>
      </c>
      <c r="K1376" s="2">
        <v>16977</v>
      </c>
      <c r="L1376" t="s">
        <v>36</v>
      </c>
      <c r="M1376" t="s">
        <v>37</v>
      </c>
      <c r="N1376" t="s">
        <v>49</v>
      </c>
      <c r="O1376" t="s">
        <v>67</v>
      </c>
      <c r="P1376" t="s">
        <v>40</v>
      </c>
      <c r="Q1376">
        <v>3</v>
      </c>
      <c r="R1376" s="2">
        <v>44917</v>
      </c>
      <c r="S1376">
        <v>2</v>
      </c>
      <c r="T1376">
        <v>5</v>
      </c>
      <c r="U1376">
        <v>2</v>
      </c>
      <c r="V1376" s="1">
        <v>45120</v>
      </c>
      <c r="W1376" t="s">
        <v>41</v>
      </c>
      <c r="X1376" t="s">
        <v>51</v>
      </c>
      <c r="Y1376" t="s">
        <v>52</v>
      </c>
      <c r="Z1376">
        <v>1</v>
      </c>
      <c r="AA1376">
        <v>961.55</v>
      </c>
      <c r="AB1376">
        <v>74</v>
      </c>
    </row>
    <row r="1377" spans="1:28" x14ac:dyDescent="0.2">
      <c r="A1377">
        <v>1892</v>
      </c>
      <c r="B1377" s="1">
        <v>43319</v>
      </c>
      <c r="C1377" t="s">
        <v>106</v>
      </c>
      <c r="D1377" t="s">
        <v>64</v>
      </c>
      <c r="E1377" t="s">
        <v>30</v>
      </c>
      <c r="F1377" t="s">
        <v>31</v>
      </c>
      <c r="G1377" t="s">
        <v>45</v>
      </c>
      <c r="H1377" t="s">
        <v>33</v>
      </c>
      <c r="I1377" t="s">
        <v>34</v>
      </c>
      <c r="J1377" t="s">
        <v>47</v>
      </c>
      <c r="K1377" s="2">
        <v>31562</v>
      </c>
      <c r="L1377" t="s">
        <v>36</v>
      </c>
      <c r="M1377" t="s">
        <v>37</v>
      </c>
      <c r="N1377" t="s">
        <v>84</v>
      </c>
      <c r="O1377" t="s">
        <v>61</v>
      </c>
      <c r="P1377" t="s">
        <v>40</v>
      </c>
      <c r="Q1377">
        <v>3</v>
      </c>
      <c r="R1377" s="2">
        <v>44937</v>
      </c>
      <c r="S1377">
        <v>3</v>
      </c>
      <c r="T1377">
        <v>3</v>
      </c>
      <c r="U1377">
        <v>3</v>
      </c>
      <c r="V1377" s="1">
        <v>44966</v>
      </c>
      <c r="W1377" t="s">
        <v>68</v>
      </c>
      <c r="X1377" t="s">
        <v>51</v>
      </c>
      <c r="Y1377" t="s">
        <v>52</v>
      </c>
      <c r="Z1377">
        <v>3</v>
      </c>
      <c r="AA1377">
        <v>192.73</v>
      </c>
      <c r="AB1377">
        <v>32</v>
      </c>
    </row>
    <row r="1378" spans="1:28" x14ac:dyDescent="0.2">
      <c r="A1378">
        <v>1893</v>
      </c>
      <c r="B1378" s="1">
        <v>43872</v>
      </c>
      <c r="C1378" t="s">
        <v>106</v>
      </c>
      <c r="D1378" t="s">
        <v>69</v>
      </c>
      <c r="E1378" t="s">
        <v>30</v>
      </c>
      <c r="F1378" t="s">
        <v>31</v>
      </c>
      <c r="G1378" t="s">
        <v>45</v>
      </c>
      <c r="H1378" t="s">
        <v>55</v>
      </c>
      <c r="I1378" t="s">
        <v>34</v>
      </c>
      <c r="J1378" t="s">
        <v>65</v>
      </c>
      <c r="K1378" s="2">
        <v>27787</v>
      </c>
      <c r="L1378" t="s">
        <v>36</v>
      </c>
      <c r="M1378" t="s">
        <v>48</v>
      </c>
      <c r="N1378" t="s">
        <v>38</v>
      </c>
      <c r="O1378" t="s">
        <v>77</v>
      </c>
      <c r="P1378" t="s">
        <v>40</v>
      </c>
      <c r="Q1378">
        <v>3</v>
      </c>
      <c r="R1378" s="2">
        <v>45085</v>
      </c>
      <c r="S1378">
        <v>2</v>
      </c>
      <c r="T1378">
        <v>3</v>
      </c>
      <c r="U1378">
        <v>4</v>
      </c>
      <c r="V1378" s="1">
        <v>44832</v>
      </c>
      <c r="W1378" t="s">
        <v>41</v>
      </c>
      <c r="X1378" t="s">
        <v>42</v>
      </c>
      <c r="Y1378" t="s">
        <v>63</v>
      </c>
      <c r="Z1378">
        <v>1</v>
      </c>
      <c r="AA1378">
        <v>604.53</v>
      </c>
      <c r="AB1378">
        <v>44</v>
      </c>
    </row>
    <row r="1379" spans="1:28" x14ac:dyDescent="0.2">
      <c r="A1379">
        <v>1894</v>
      </c>
      <c r="B1379" s="1">
        <v>44927</v>
      </c>
      <c r="C1379" t="s">
        <v>106</v>
      </c>
      <c r="D1379" t="s">
        <v>29</v>
      </c>
      <c r="E1379" t="s">
        <v>30</v>
      </c>
      <c r="F1379" t="s">
        <v>55</v>
      </c>
      <c r="G1379" t="s">
        <v>45</v>
      </c>
      <c r="H1379" t="s">
        <v>55</v>
      </c>
      <c r="I1379" t="s">
        <v>34</v>
      </c>
      <c r="J1379" t="s">
        <v>70</v>
      </c>
      <c r="K1379" s="2">
        <v>21693</v>
      </c>
      <c r="L1379" t="s">
        <v>36</v>
      </c>
      <c r="M1379" t="s">
        <v>48</v>
      </c>
      <c r="N1379" t="s">
        <v>60</v>
      </c>
      <c r="O1379" t="s">
        <v>61</v>
      </c>
      <c r="P1379" t="s">
        <v>40</v>
      </c>
      <c r="Q1379">
        <v>3</v>
      </c>
      <c r="R1379" s="2">
        <v>45078</v>
      </c>
      <c r="S1379">
        <v>3</v>
      </c>
      <c r="T1379">
        <v>1</v>
      </c>
      <c r="U1379">
        <v>5</v>
      </c>
      <c r="V1379" s="1">
        <v>45075</v>
      </c>
      <c r="W1379" t="s">
        <v>68</v>
      </c>
      <c r="X1379" t="s">
        <v>51</v>
      </c>
      <c r="Y1379" t="s">
        <v>43</v>
      </c>
      <c r="Z1379">
        <v>2</v>
      </c>
      <c r="AA1379">
        <v>144.38999999999999</v>
      </c>
      <c r="AB1379">
        <v>64</v>
      </c>
    </row>
    <row r="1380" spans="1:28" x14ac:dyDescent="0.2">
      <c r="A1380">
        <v>1895</v>
      </c>
      <c r="B1380" s="1">
        <v>44902</v>
      </c>
      <c r="C1380" t="s">
        <v>106</v>
      </c>
      <c r="D1380" t="s">
        <v>44</v>
      </c>
      <c r="E1380" t="s">
        <v>30</v>
      </c>
      <c r="F1380" t="s">
        <v>46</v>
      </c>
      <c r="G1380" t="s">
        <v>45</v>
      </c>
      <c r="H1380" t="s">
        <v>46</v>
      </c>
      <c r="I1380" t="s">
        <v>34</v>
      </c>
      <c r="J1380" t="s">
        <v>101</v>
      </c>
      <c r="K1380" s="2">
        <v>32533</v>
      </c>
      <c r="L1380" t="s">
        <v>36</v>
      </c>
      <c r="M1380" t="s">
        <v>37</v>
      </c>
      <c r="N1380" t="s">
        <v>38</v>
      </c>
      <c r="O1380" t="s">
        <v>67</v>
      </c>
      <c r="P1380" t="s">
        <v>40</v>
      </c>
      <c r="Q1380">
        <v>3</v>
      </c>
      <c r="R1380" s="2">
        <v>44852</v>
      </c>
      <c r="S1380">
        <v>4</v>
      </c>
      <c r="T1380">
        <v>5</v>
      </c>
      <c r="U1380">
        <v>2</v>
      </c>
      <c r="V1380" s="1">
        <v>44816</v>
      </c>
      <c r="W1380" t="s">
        <v>68</v>
      </c>
      <c r="X1380" t="s">
        <v>51</v>
      </c>
      <c r="Y1380" t="s">
        <v>63</v>
      </c>
      <c r="Z1380">
        <v>5</v>
      </c>
      <c r="AA1380">
        <v>517.91999999999996</v>
      </c>
      <c r="AB1380">
        <v>33</v>
      </c>
    </row>
    <row r="1381" spans="1:28" x14ac:dyDescent="0.2">
      <c r="A1381">
        <v>1896</v>
      </c>
      <c r="B1381" s="1">
        <v>44998</v>
      </c>
      <c r="C1381" t="s">
        <v>106</v>
      </c>
      <c r="D1381" t="s">
        <v>87</v>
      </c>
      <c r="E1381" t="s">
        <v>30</v>
      </c>
      <c r="F1381" t="s">
        <v>55</v>
      </c>
      <c r="G1381" t="s">
        <v>45</v>
      </c>
      <c r="H1381" t="s">
        <v>46</v>
      </c>
      <c r="I1381" t="s">
        <v>34</v>
      </c>
      <c r="J1381" t="s">
        <v>79</v>
      </c>
      <c r="K1381" s="2">
        <v>18950</v>
      </c>
      <c r="L1381" t="s">
        <v>36</v>
      </c>
      <c r="M1381" t="s">
        <v>37</v>
      </c>
      <c r="N1381" t="s">
        <v>49</v>
      </c>
      <c r="O1381" t="s">
        <v>67</v>
      </c>
      <c r="P1381" t="s">
        <v>40</v>
      </c>
      <c r="Q1381">
        <v>3</v>
      </c>
      <c r="R1381" s="2">
        <v>44943</v>
      </c>
      <c r="S1381">
        <v>1</v>
      </c>
      <c r="T1381">
        <v>1</v>
      </c>
      <c r="U1381">
        <v>3</v>
      </c>
      <c r="V1381" s="1">
        <v>44979</v>
      </c>
      <c r="W1381" t="s">
        <v>50</v>
      </c>
      <c r="X1381" t="s">
        <v>51</v>
      </c>
      <c r="Y1381" t="s">
        <v>63</v>
      </c>
      <c r="Z1381">
        <v>4</v>
      </c>
      <c r="AA1381">
        <v>537.71</v>
      </c>
      <c r="AB1381">
        <v>72</v>
      </c>
    </row>
    <row r="1382" spans="1:28" x14ac:dyDescent="0.2">
      <c r="A1382">
        <v>1897</v>
      </c>
      <c r="B1382" s="1">
        <v>44514</v>
      </c>
      <c r="C1382" t="s">
        <v>106</v>
      </c>
      <c r="D1382" t="s">
        <v>81</v>
      </c>
      <c r="E1382" t="s">
        <v>30</v>
      </c>
      <c r="F1382" t="s">
        <v>55</v>
      </c>
      <c r="G1382" t="s">
        <v>32</v>
      </c>
      <c r="H1382" t="s">
        <v>33</v>
      </c>
      <c r="I1382" t="s">
        <v>34</v>
      </c>
      <c r="J1382" t="s">
        <v>70</v>
      </c>
      <c r="K1382" s="2">
        <v>17734</v>
      </c>
      <c r="L1382" t="s">
        <v>36</v>
      </c>
      <c r="M1382" t="s">
        <v>48</v>
      </c>
      <c r="N1382" t="s">
        <v>84</v>
      </c>
      <c r="O1382" t="s">
        <v>77</v>
      </c>
      <c r="P1382" t="s">
        <v>40</v>
      </c>
      <c r="Q1382">
        <v>3</v>
      </c>
      <c r="R1382" s="2">
        <v>44809</v>
      </c>
      <c r="S1382">
        <v>2</v>
      </c>
      <c r="T1382">
        <v>4</v>
      </c>
      <c r="U1382">
        <v>5</v>
      </c>
      <c r="V1382" s="1">
        <v>45001</v>
      </c>
      <c r="W1382" t="s">
        <v>92</v>
      </c>
      <c r="X1382" t="s">
        <v>51</v>
      </c>
      <c r="Y1382" t="s">
        <v>63</v>
      </c>
      <c r="Z1382">
        <v>2</v>
      </c>
      <c r="AA1382">
        <v>491.71</v>
      </c>
      <c r="AB1382">
        <v>73</v>
      </c>
    </row>
    <row r="1383" spans="1:28" x14ac:dyDescent="0.2">
      <c r="A1383">
        <v>1898</v>
      </c>
      <c r="B1383" s="1">
        <v>43621</v>
      </c>
      <c r="C1383" t="s">
        <v>28</v>
      </c>
      <c r="D1383" t="s">
        <v>87</v>
      </c>
      <c r="E1383" t="s">
        <v>30</v>
      </c>
      <c r="F1383" t="s">
        <v>55</v>
      </c>
      <c r="G1383" t="s">
        <v>32</v>
      </c>
      <c r="H1383" t="s">
        <v>33</v>
      </c>
      <c r="I1383" t="s">
        <v>34</v>
      </c>
      <c r="J1383" t="s">
        <v>70</v>
      </c>
      <c r="K1383" s="2">
        <v>35444</v>
      </c>
      <c r="L1383" t="s">
        <v>36</v>
      </c>
      <c r="M1383" t="s">
        <v>37</v>
      </c>
      <c r="N1383" t="s">
        <v>38</v>
      </c>
      <c r="O1383" t="s">
        <v>61</v>
      </c>
      <c r="P1383" t="s">
        <v>40</v>
      </c>
      <c r="Q1383">
        <v>3</v>
      </c>
      <c r="R1383" s="2">
        <v>45125</v>
      </c>
      <c r="S1383">
        <v>4</v>
      </c>
      <c r="T1383">
        <v>5</v>
      </c>
      <c r="U1383">
        <v>5</v>
      </c>
      <c r="V1383" s="1">
        <v>45117</v>
      </c>
      <c r="W1383" t="s">
        <v>62</v>
      </c>
      <c r="X1383" t="s">
        <v>42</v>
      </c>
      <c r="Y1383" t="s">
        <v>63</v>
      </c>
      <c r="Z1383">
        <v>3</v>
      </c>
      <c r="AA1383">
        <v>673.38</v>
      </c>
      <c r="AB1383">
        <v>22</v>
      </c>
    </row>
    <row r="1384" spans="1:28" x14ac:dyDescent="0.2">
      <c r="A1384">
        <v>1899</v>
      </c>
      <c r="B1384" s="1">
        <v>44177</v>
      </c>
      <c r="C1384" t="s">
        <v>28</v>
      </c>
      <c r="D1384" t="s">
        <v>64</v>
      </c>
      <c r="E1384" t="s">
        <v>30</v>
      </c>
      <c r="F1384" t="s">
        <v>31</v>
      </c>
      <c r="G1384" t="s">
        <v>32</v>
      </c>
      <c r="H1384" t="s">
        <v>55</v>
      </c>
      <c r="I1384" t="s">
        <v>34</v>
      </c>
      <c r="J1384" t="s">
        <v>70</v>
      </c>
      <c r="K1384" s="2">
        <v>30200</v>
      </c>
      <c r="L1384" t="s">
        <v>36</v>
      </c>
      <c r="M1384" t="s">
        <v>37</v>
      </c>
      <c r="N1384" t="s">
        <v>84</v>
      </c>
      <c r="O1384" t="s">
        <v>67</v>
      </c>
      <c r="P1384" t="s">
        <v>40</v>
      </c>
      <c r="Q1384">
        <v>3</v>
      </c>
      <c r="R1384" s="2">
        <v>45105</v>
      </c>
      <c r="S1384">
        <v>2</v>
      </c>
      <c r="T1384">
        <v>4</v>
      </c>
      <c r="U1384">
        <v>5</v>
      </c>
      <c r="V1384" s="1">
        <v>44955</v>
      </c>
      <c r="W1384" t="s">
        <v>41</v>
      </c>
      <c r="X1384" t="s">
        <v>42</v>
      </c>
      <c r="Y1384" t="s">
        <v>52</v>
      </c>
      <c r="Z1384">
        <v>2</v>
      </c>
      <c r="AA1384">
        <v>724.87</v>
      </c>
      <c r="AB1384">
        <v>38</v>
      </c>
    </row>
    <row r="1385" spans="1:28" x14ac:dyDescent="0.2">
      <c r="A1385">
        <v>1900</v>
      </c>
      <c r="B1385" s="1">
        <v>43927</v>
      </c>
      <c r="C1385" t="s">
        <v>28</v>
      </c>
      <c r="D1385" t="s">
        <v>94</v>
      </c>
      <c r="E1385" t="s">
        <v>30</v>
      </c>
      <c r="F1385" t="s">
        <v>55</v>
      </c>
      <c r="G1385" t="s">
        <v>56</v>
      </c>
      <c r="H1385" t="s">
        <v>55</v>
      </c>
      <c r="I1385" t="s">
        <v>34</v>
      </c>
      <c r="J1385" t="s">
        <v>65</v>
      </c>
      <c r="K1385" s="2">
        <v>21997</v>
      </c>
      <c r="L1385" t="s">
        <v>36</v>
      </c>
      <c r="M1385" t="s">
        <v>37</v>
      </c>
      <c r="N1385" t="s">
        <v>49</v>
      </c>
      <c r="O1385" t="s">
        <v>39</v>
      </c>
      <c r="P1385" t="s">
        <v>40</v>
      </c>
      <c r="Q1385">
        <v>3</v>
      </c>
      <c r="R1385" s="2">
        <v>45109</v>
      </c>
      <c r="S1385">
        <v>2</v>
      </c>
      <c r="T1385">
        <v>2</v>
      </c>
      <c r="U1385">
        <v>5</v>
      </c>
      <c r="V1385" s="1">
        <v>45043</v>
      </c>
      <c r="W1385" t="s">
        <v>92</v>
      </c>
      <c r="X1385" t="s">
        <v>42</v>
      </c>
      <c r="Y1385" t="s">
        <v>73</v>
      </c>
      <c r="Z1385">
        <v>4</v>
      </c>
      <c r="AA1385">
        <v>140.83000000000001</v>
      </c>
      <c r="AB1385">
        <v>60</v>
      </c>
    </row>
    <row r="1386" spans="1:28" x14ac:dyDescent="0.2">
      <c r="A1386">
        <v>1901</v>
      </c>
      <c r="B1386" s="1">
        <v>44956</v>
      </c>
      <c r="C1386" t="s">
        <v>28</v>
      </c>
      <c r="D1386" t="s">
        <v>74</v>
      </c>
      <c r="E1386" t="s">
        <v>30</v>
      </c>
      <c r="F1386" t="s">
        <v>55</v>
      </c>
      <c r="G1386" t="s">
        <v>56</v>
      </c>
      <c r="H1386" t="s">
        <v>55</v>
      </c>
      <c r="I1386" t="s">
        <v>34</v>
      </c>
      <c r="J1386" t="s">
        <v>79</v>
      </c>
      <c r="K1386" s="2">
        <v>21771</v>
      </c>
      <c r="L1386" t="s">
        <v>36</v>
      </c>
      <c r="M1386" t="s">
        <v>37</v>
      </c>
      <c r="N1386" t="s">
        <v>38</v>
      </c>
      <c r="O1386" t="s">
        <v>77</v>
      </c>
      <c r="P1386" t="s">
        <v>40</v>
      </c>
      <c r="Q1386">
        <v>3</v>
      </c>
      <c r="R1386" s="2">
        <v>45099</v>
      </c>
      <c r="S1386">
        <v>4</v>
      </c>
      <c r="T1386">
        <v>1</v>
      </c>
      <c r="U1386">
        <v>5</v>
      </c>
      <c r="V1386" s="1">
        <v>44826</v>
      </c>
      <c r="W1386" t="s">
        <v>62</v>
      </c>
      <c r="X1386" t="s">
        <v>51</v>
      </c>
      <c r="Y1386" t="s">
        <v>73</v>
      </c>
      <c r="Z1386">
        <v>1</v>
      </c>
      <c r="AA1386">
        <v>113.47</v>
      </c>
      <c r="AB1386">
        <v>64</v>
      </c>
    </row>
    <row r="1387" spans="1:28" x14ac:dyDescent="0.2">
      <c r="A1387">
        <v>1902</v>
      </c>
      <c r="B1387" s="1">
        <v>44082</v>
      </c>
      <c r="C1387" t="s">
        <v>28</v>
      </c>
      <c r="D1387" t="s">
        <v>81</v>
      </c>
      <c r="E1387" t="s">
        <v>30</v>
      </c>
      <c r="F1387" t="s">
        <v>55</v>
      </c>
      <c r="G1387" t="s">
        <v>45</v>
      </c>
      <c r="H1387" t="s">
        <v>33</v>
      </c>
      <c r="I1387" t="s">
        <v>34</v>
      </c>
      <c r="J1387" t="s">
        <v>79</v>
      </c>
      <c r="K1387" s="2">
        <v>19035</v>
      </c>
      <c r="L1387" t="s">
        <v>36</v>
      </c>
      <c r="M1387" t="s">
        <v>48</v>
      </c>
      <c r="N1387" t="s">
        <v>60</v>
      </c>
      <c r="O1387" t="s">
        <v>77</v>
      </c>
      <c r="P1387" t="s">
        <v>40</v>
      </c>
      <c r="Q1387">
        <v>3</v>
      </c>
      <c r="R1387" s="2">
        <v>45134</v>
      </c>
      <c r="S1387">
        <v>2</v>
      </c>
      <c r="T1387">
        <v>5</v>
      </c>
      <c r="U1387">
        <v>3</v>
      </c>
      <c r="V1387" s="1">
        <v>44981</v>
      </c>
      <c r="W1387" t="s">
        <v>50</v>
      </c>
      <c r="X1387" t="s">
        <v>51</v>
      </c>
      <c r="Y1387" t="s">
        <v>52</v>
      </c>
      <c r="Z1387">
        <v>1</v>
      </c>
      <c r="AA1387">
        <v>604.92999999999995</v>
      </c>
      <c r="AB1387">
        <v>68</v>
      </c>
    </row>
    <row r="1388" spans="1:28" x14ac:dyDescent="0.2">
      <c r="A1388">
        <v>1903</v>
      </c>
      <c r="B1388" s="1">
        <v>44179</v>
      </c>
      <c r="C1388" t="s">
        <v>28</v>
      </c>
      <c r="D1388" t="s">
        <v>54</v>
      </c>
      <c r="E1388" t="s">
        <v>30</v>
      </c>
      <c r="F1388" t="s">
        <v>46</v>
      </c>
      <c r="G1388" t="s">
        <v>32</v>
      </c>
      <c r="H1388" t="s">
        <v>46</v>
      </c>
      <c r="I1388" t="s">
        <v>34</v>
      </c>
      <c r="J1388" t="s">
        <v>70</v>
      </c>
      <c r="K1388" s="2">
        <v>22017</v>
      </c>
      <c r="L1388" t="s">
        <v>36</v>
      </c>
      <c r="M1388" t="s">
        <v>37</v>
      </c>
      <c r="N1388" t="s">
        <v>72</v>
      </c>
      <c r="O1388" t="s">
        <v>77</v>
      </c>
      <c r="P1388" t="s">
        <v>40</v>
      </c>
      <c r="Q1388">
        <v>3</v>
      </c>
      <c r="R1388" s="2">
        <v>44912</v>
      </c>
      <c r="S1388">
        <v>5</v>
      </c>
      <c r="T1388">
        <v>5</v>
      </c>
      <c r="U1388">
        <v>2</v>
      </c>
      <c r="V1388" s="1">
        <v>45073</v>
      </c>
      <c r="W1388" t="s">
        <v>62</v>
      </c>
      <c r="X1388" t="s">
        <v>51</v>
      </c>
      <c r="Y1388" t="s">
        <v>63</v>
      </c>
      <c r="Z1388">
        <v>4</v>
      </c>
      <c r="AA1388">
        <v>699.97</v>
      </c>
      <c r="AB1388">
        <v>60</v>
      </c>
    </row>
    <row r="1389" spans="1:28" x14ac:dyDescent="0.2">
      <c r="A1389">
        <v>1904</v>
      </c>
      <c r="B1389" s="1">
        <v>44872</v>
      </c>
      <c r="C1389" t="s">
        <v>28</v>
      </c>
      <c r="D1389" t="s">
        <v>69</v>
      </c>
      <c r="E1389" t="s">
        <v>30</v>
      </c>
      <c r="F1389" t="s">
        <v>31</v>
      </c>
      <c r="G1389" t="s">
        <v>32</v>
      </c>
      <c r="H1389" t="s">
        <v>46</v>
      </c>
      <c r="I1389" t="s">
        <v>34</v>
      </c>
      <c r="J1389" t="s">
        <v>65</v>
      </c>
      <c r="K1389" s="2">
        <v>30235</v>
      </c>
      <c r="L1389" t="s">
        <v>36</v>
      </c>
      <c r="M1389" t="s">
        <v>37</v>
      </c>
      <c r="N1389" t="s">
        <v>84</v>
      </c>
      <c r="O1389" t="s">
        <v>39</v>
      </c>
      <c r="P1389" t="s">
        <v>40</v>
      </c>
      <c r="Q1389">
        <v>3</v>
      </c>
      <c r="R1389" s="2">
        <v>44904</v>
      </c>
      <c r="S1389">
        <v>5</v>
      </c>
      <c r="T1389">
        <v>1</v>
      </c>
      <c r="U1389">
        <v>4</v>
      </c>
      <c r="V1389" s="1">
        <v>44854</v>
      </c>
      <c r="W1389" t="s">
        <v>41</v>
      </c>
      <c r="X1389" t="s">
        <v>42</v>
      </c>
      <c r="Y1389" t="s">
        <v>43</v>
      </c>
      <c r="Z1389">
        <v>1</v>
      </c>
      <c r="AA1389">
        <v>576.1</v>
      </c>
      <c r="AB1389">
        <v>40</v>
      </c>
    </row>
    <row r="1390" spans="1:28" x14ac:dyDescent="0.2">
      <c r="A1390">
        <v>1905</v>
      </c>
      <c r="B1390" s="1">
        <v>44657</v>
      </c>
      <c r="C1390" t="s">
        <v>28</v>
      </c>
      <c r="D1390" t="s">
        <v>29</v>
      </c>
      <c r="E1390" t="s">
        <v>30</v>
      </c>
      <c r="F1390" t="s">
        <v>46</v>
      </c>
      <c r="G1390" t="s">
        <v>56</v>
      </c>
      <c r="H1390" t="s">
        <v>33</v>
      </c>
      <c r="I1390" t="s">
        <v>34</v>
      </c>
      <c r="J1390" t="s">
        <v>101</v>
      </c>
      <c r="K1390" s="2">
        <v>26368</v>
      </c>
      <c r="L1390" t="s">
        <v>36</v>
      </c>
      <c r="M1390" t="s">
        <v>37</v>
      </c>
      <c r="N1390" t="s">
        <v>84</v>
      </c>
      <c r="O1390" t="s">
        <v>67</v>
      </c>
      <c r="P1390" t="s">
        <v>40</v>
      </c>
      <c r="Q1390">
        <v>3</v>
      </c>
      <c r="R1390" s="2">
        <v>45031</v>
      </c>
      <c r="S1390">
        <v>5</v>
      </c>
      <c r="T1390">
        <v>2</v>
      </c>
      <c r="U1390">
        <v>1</v>
      </c>
      <c r="V1390" s="1">
        <v>44889</v>
      </c>
      <c r="W1390" t="s">
        <v>41</v>
      </c>
      <c r="X1390" t="s">
        <v>42</v>
      </c>
      <c r="Y1390" t="s">
        <v>73</v>
      </c>
      <c r="Z1390">
        <v>2</v>
      </c>
      <c r="AA1390">
        <v>958.46</v>
      </c>
      <c r="AB1390">
        <v>50</v>
      </c>
    </row>
    <row r="1391" spans="1:28" x14ac:dyDescent="0.2">
      <c r="A1391">
        <v>1906</v>
      </c>
      <c r="B1391" s="1">
        <v>44249</v>
      </c>
      <c r="C1391" t="s">
        <v>28</v>
      </c>
      <c r="D1391" t="s">
        <v>85</v>
      </c>
      <c r="E1391" t="s">
        <v>30</v>
      </c>
      <c r="F1391" t="s">
        <v>46</v>
      </c>
      <c r="G1391" t="s">
        <v>56</v>
      </c>
      <c r="H1391" t="s">
        <v>55</v>
      </c>
      <c r="I1391" t="s">
        <v>34</v>
      </c>
      <c r="J1391" t="s">
        <v>70</v>
      </c>
      <c r="K1391" s="2">
        <v>17382</v>
      </c>
      <c r="L1391" t="s">
        <v>36</v>
      </c>
      <c r="M1391" t="s">
        <v>48</v>
      </c>
      <c r="N1391" t="s">
        <v>49</v>
      </c>
      <c r="O1391" t="s">
        <v>39</v>
      </c>
      <c r="P1391" t="s">
        <v>40</v>
      </c>
      <c r="Q1391">
        <v>3</v>
      </c>
      <c r="R1391" s="2">
        <v>44923</v>
      </c>
      <c r="S1391">
        <v>1</v>
      </c>
      <c r="T1391">
        <v>4</v>
      </c>
      <c r="U1391">
        <v>5</v>
      </c>
      <c r="V1391" s="1">
        <v>44990</v>
      </c>
      <c r="W1391" t="s">
        <v>62</v>
      </c>
      <c r="X1391" t="s">
        <v>51</v>
      </c>
      <c r="Y1391" t="s">
        <v>73</v>
      </c>
      <c r="Z1391">
        <v>5</v>
      </c>
      <c r="AA1391">
        <v>228.41</v>
      </c>
      <c r="AB1391">
        <v>74</v>
      </c>
    </row>
    <row r="1392" spans="1:28" x14ac:dyDescent="0.2">
      <c r="A1392">
        <v>1907</v>
      </c>
      <c r="B1392" s="1">
        <v>44697</v>
      </c>
      <c r="C1392" t="s">
        <v>28</v>
      </c>
      <c r="D1392" t="s">
        <v>44</v>
      </c>
      <c r="E1392" t="s">
        <v>30</v>
      </c>
      <c r="F1392" t="s">
        <v>55</v>
      </c>
      <c r="G1392" t="s">
        <v>32</v>
      </c>
      <c r="H1392" t="s">
        <v>46</v>
      </c>
      <c r="I1392" t="s">
        <v>34</v>
      </c>
      <c r="J1392" t="s">
        <v>70</v>
      </c>
      <c r="K1392" s="2">
        <v>32451</v>
      </c>
      <c r="L1392" t="s">
        <v>36</v>
      </c>
      <c r="M1392" t="s">
        <v>48</v>
      </c>
      <c r="N1392" t="s">
        <v>84</v>
      </c>
      <c r="O1392" t="s">
        <v>39</v>
      </c>
      <c r="P1392" t="s">
        <v>40</v>
      </c>
      <c r="Q1392">
        <v>3</v>
      </c>
      <c r="R1392" s="2">
        <v>44944</v>
      </c>
      <c r="S1392">
        <v>2</v>
      </c>
      <c r="T1392">
        <v>4</v>
      </c>
      <c r="U1392">
        <v>5</v>
      </c>
      <c r="V1392" s="1">
        <v>44875</v>
      </c>
      <c r="W1392" t="s">
        <v>68</v>
      </c>
      <c r="X1392" t="s">
        <v>42</v>
      </c>
      <c r="Y1392" t="s">
        <v>63</v>
      </c>
      <c r="Z1392">
        <v>2</v>
      </c>
      <c r="AA1392">
        <v>203.44</v>
      </c>
      <c r="AB1392">
        <v>34</v>
      </c>
    </row>
    <row r="1393" spans="1:28" x14ac:dyDescent="0.2">
      <c r="A1393">
        <v>1908</v>
      </c>
      <c r="B1393" s="1">
        <v>43848</v>
      </c>
      <c r="C1393" t="s">
        <v>28</v>
      </c>
      <c r="D1393" t="s">
        <v>87</v>
      </c>
      <c r="E1393" t="s">
        <v>30</v>
      </c>
      <c r="F1393" t="s">
        <v>31</v>
      </c>
      <c r="G1393" t="s">
        <v>56</v>
      </c>
      <c r="H1393" t="s">
        <v>46</v>
      </c>
      <c r="I1393" t="s">
        <v>34</v>
      </c>
      <c r="J1393" t="s">
        <v>70</v>
      </c>
      <c r="K1393" s="2">
        <v>15480</v>
      </c>
      <c r="L1393" t="s">
        <v>36</v>
      </c>
      <c r="M1393" t="s">
        <v>37</v>
      </c>
      <c r="N1393" t="s">
        <v>38</v>
      </c>
      <c r="O1393" t="s">
        <v>39</v>
      </c>
      <c r="P1393" t="s">
        <v>40</v>
      </c>
      <c r="Q1393">
        <v>3</v>
      </c>
      <c r="R1393" s="2">
        <v>44952</v>
      </c>
      <c r="S1393">
        <v>4</v>
      </c>
      <c r="T1393">
        <v>2</v>
      </c>
      <c r="U1393">
        <v>5</v>
      </c>
      <c r="V1393" s="1">
        <v>45128</v>
      </c>
      <c r="W1393" t="s">
        <v>62</v>
      </c>
      <c r="X1393" t="s">
        <v>51</v>
      </c>
      <c r="Y1393" t="s">
        <v>52</v>
      </c>
      <c r="Z1393">
        <v>2</v>
      </c>
      <c r="AA1393">
        <v>359.08</v>
      </c>
      <c r="AB1393">
        <v>78</v>
      </c>
    </row>
    <row r="1394" spans="1:28" x14ac:dyDescent="0.2">
      <c r="A1394">
        <v>1909</v>
      </c>
      <c r="B1394" s="1">
        <v>44490</v>
      </c>
      <c r="C1394" t="s">
        <v>28</v>
      </c>
      <c r="D1394" t="s">
        <v>64</v>
      </c>
      <c r="E1394" t="s">
        <v>30</v>
      </c>
      <c r="F1394" t="s">
        <v>55</v>
      </c>
      <c r="G1394" t="s">
        <v>45</v>
      </c>
      <c r="H1394" t="s">
        <v>46</v>
      </c>
      <c r="I1394" t="s">
        <v>34</v>
      </c>
      <c r="J1394" t="s">
        <v>65</v>
      </c>
      <c r="K1394" s="2">
        <v>22569</v>
      </c>
      <c r="L1394" t="s">
        <v>36</v>
      </c>
      <c r="M1394" t="s">
        <v>37</v>
      </c>
      <c r="N1394" t="s">
        <v>38</v>
      </c>
      <c r="O1394" t="s">
        <v>39</v>
      </c>
      <c r="P1394" t="s">
        <v>40</v>
      </c>
      <c r="Q1394">
        <v>3</v>
      </c>
      <c r="R1394" s="2">
        <v>44888</v>
      </c>
      <c r="S1394">
        <v>3</v>
      </c>
      <c r="T1394">
        <v>5</v>
      </c>
      <c r="U1394">
        <v>2</v>
      </c>
      <c r="V1394" s="1">
        <v>45000</v>
      </c>
      <c r="W1394" t="s">
        <v>68</v>
      </c>
      <c r="X1394" t="s">
        <v>42</v>
      </c>
      <c r="Y1394" t="s">
        <v>73</v>
      </c>
      <c r="Z1394">
        <v>3</v>
      </c>
      <c r="AA1394">
        <v>653.23</v>
      </c>
      <c r="AB1394">
        <v>60</v>
      </c>
    </row>
    <row r="1395" spans="1:28" x14ac:dyDescent="0.2">
      <c r="A1395">
        <v>1910</v>
      </c>
      <c r="B1395" s="1">
        <v>43470</v>
      </c>
      <c r="C1395" t="s">
        <v>28</v>
      </c>
      <c r="D1395" t="s">
        <v>94</v>
      </c>
      <c r="E1395" t="s">
        <v>30</v>
      </c>
      <c r="F1395" t="s">
        <v>55</v>
      </c>
      <c r="G1395" t="s">
        <v>32</v>
      </c>
      <c r="H1395" t="s">
        <v>55</v>
      </c>
      <c r="I1395" t="s">
        <v>34</v>
      </c>
      <c r="J1395" t="s">
        <v>75</v>
      </c>
      <c r="K1395" s="2">
        <v>15652</v>
      </c>
      <c r="L1395" t="s">
        <v>36</v>
      </c>
      <c r="M1395" t="s">
        <v>37</v>
      </c>
      <c r="N1395" t="s">
        <v>49</v>
      </c>
      <c r="O1395" t="s">
        <v>77</v>
      </c>
      <c r="P1395" t="s">
        <v>40</v>
      </c>
      <c r="Q1395">
        <v>3</v>
      </c>
      <c r="R1395" s="2">
        <v>44870</v>
      </c>
      <c r="S1395">
        <v>1</v>
      </c>
      <c r="T1395">
        <v>4</v>
      </c>
      <c r="U1395">
        <v>1</v>
      </c>
      <c r="V1395" s="1">
        <v>44846</v>
      </c>
      <c r="W1395" t="s">
        <v>50</v>
      </c>
      <c r="X1395" t="s">
        <v>42</v>
      </c>
      <c r="Y1395" t="s">
        <v>73</v>
      </c>
      <c r="Z1395">
        <v>5</v>
      </c>
      <c r="AA1395">
        <v>614.4</v>
      </c>
      <c r="AB1395">
        <v>77</v>
      </c>
    </row>
    <row r="1396" spans="1:28" x14ac:dyDescent="0.2">
      <c r="A1396">
        <v>1911</v>
      </c>
      <c r="B1396" s="1">
        <v>44220</v>
      </c>
      <c r="C1396" t="s">
        <v>28</v>
      </c>
      <c r="D1396" t="s">
        <v>74</v>
      </c>
      <c r="E1396" t="s">
        <v>108</v>
      </c>
      <c r="F1396" t="s">
        <v>46</v>
      </c>
      <c r="G1396" t="s">
        <v>56</v>
      </c>
      <c r="H1396" t="s">
        <v>33</v>
      </c>
      <c r="I1396" t="s">
        <v>34</v>
      </c>
      <c r="J1396" t="s">
        <v>101</v>
      </c>
      <c r="K1396" s="2">
        <v>33401</v>
      </c>
      <c r="L1396" t="s">
        <v>36</v>
      </c>
      <c r="M1396" t="s">
        <v>37</v>
      </c>
      <c r="N1396" t="s">
        <v>38</v>
      </c>
      <c r="O1396" t="s">
        <v>77</v>
      </c>
      <c r="P1396" t="s">
        <v>40</v>
      </c>
      <c r="Q1396">
        <v>3</v>
      </c>
      <c r="R1396" s="2">
        <v>45024</v>
      </c>
      <c r="S1396">
        <v>3</v>
      </c>
      <c r="T1396">
        <v>4</v>
      </c>
      <c r="U1396">
        <v>3</v>
      </c>
      <c r="V1396" s="1">
        <v>44877</v>
      </c>
      <c r="W1396" t="s">
        <v>92</v>
      </c>
      <c r="X1396" t="s">
        <v>51</v>
      </c>
      <c r="Y1396" t="s">
        <v>73</v>
      </c>
      <c r="Z1396">
        <v>5</v>
      </c>
      <c r="AA1396">
        <v>333.08</v>
      </c>
      <c r="AB1396">
        <v>30</v>
      </c>
    </row>
    <row r="1397" spans="1:28" x14ac:dyDescent="0.2">
      <c r="A1397">
        <v>1912</v>
      </c>
      <c r="B1397" s="1">
        <v>43896</v>
      </c>
      <c r="C1397" t="s">
        <v>106</v>
      </c>
      <c r="D1397" t="s">
        <v>64</v>
      </c>
      <c r="E1397" t="s">
        <v>30</v>
      </c>
      <c r="F1397" t="s">
        <v>46</v>
      </c>
      <c r="G1397" t="s">
        <v>56</v>
      </c>
      <c r="H1397" t="s">
        <v>33</v>
      </c>
      <c r="I1397" t="s">
        <v>34</v>
      </c>
      <c r="J1397" t="s">
        <v>79</v>
      </c>
      <c r="K1397" s="2">
        <v>32066</v>
      </c>
      <c r="L1397" t="s">
        <v>36</v>
      </c>
      <c r="M1397" t="s">
        <v>37</v>
      </c>
      <c r="N1397" t="s">
        <v>84</v>
      </c>
      <c r="O1397" t="s">
        <v>67</v>
      </c>
      <c r="P1397" t="s">
        <v>40</v>
      </c>
      <c r="Q1397">
        <v>3</v>
      </c>
      <c r="R1397" s="2">
        <v>45018</v>
      </c>
      <c r="S1397">
        <v>2</v>
      </c>
      <c r="T1397">
        <v>5</v>
      </c>
      <c r="U1397">
        <v>1</v>
      </c>
      <c r="V1397" s="1">
        <v>45011</v>
      </c>
      <c r="W1397" t="s">
        <v>41</v>
      </c>
      <c r="X1397" t="s">
        <v>51</v>
      </c>
      <c r="Y1397" t="s">
        <v>63</v>
      </c>
      <c r="Z1397">
        <v>1</v>
      </c>
      <c r="AA1397">
        <v>718.38</v>
      </c>
      <c r="AB1397">
        <v>33</v>
      </c>
    </row>
    <row r="1398" spans="1:28" x14ac:dyDescent="0.2">
      <c r="A1398">
        <v>1913</v>
      </c>
      <c r="B1398" s="1">
        <v>44884</v>
      </c>
      <c r="C1398" t="s">
        <v>106</v>
      </c>
      <c r="D1398" t="s">
        <v>94</v>
      </c>
      <c r="E1398" t="s">
        <v>108</v>
      </c>
      <c r="F1398" t="s">
        <v>55</v>
      </c>
      <c r="G1398" t="s">
        <v>56</v>
      </c>
      <c r="H1398" t="s">
        <v>55</v>
      </c>
      <c r="I1398" t="s">
        <v>34</v>
      </c>
      <c r="J1398" t="s">
        <v>65</v>
      </c>
      <c r="K1398" s="2">
        <v>26506</v>
      </c>
      <c r="L1398" t="s">
        <v>36</v>
      </c>
      <c r="M1398" t="s">
        <v>48</v>
      </c>
      <c r="N1398" t="s">
        <v>38</v>
      </c>
      <c r="O1398" t="s">
        <v>67</v>
      </c>
      <c r="P1398" t="s">
        <v>40</v>
      </c>
      <c r="Q1398">
        <v>3</v>
      </c>
      <c r="R1398" s="2">
        <v>44947</v>
      </c>
      <c r="S1398">
        <v>5</v>
      </c>
      <c r="T1398">
        <v>4</v>
      </c>
      <c r="U1398">
        <v>2</v>
      </c>
      <c r="V1398" s="1">
        <v>44959</v>
      </c>
      <c r="W1398" t="s">
        <v>62</v>
      </c>
      <c r="X1398" t="s">
        <v>51</v>
      </c>
      <c r="Y1398" t="s">
        <v>43</v>
      </c>
      <c r="Z1398">
        <v>3</v>
      </c>
      <c r="AA1398">
        <v>195.29</v>
      </c>
      <c r="AB1398">
        <v>50</v>
      </c>
    </row>
    <row r="1399" spans="1:28" x14ac:dyDescent="0.2">
      <c r="A1399">
        <v>1914</v>
      </c>
      <c r="B1399" s="1">
        <v>43539</v>
      </c>
      <c r="C1399" t="s">
        <v>106</v>
      </c>
      <c r="D1399" t="s">
        <v>74</v>
      </c>
      <c r="E1399" t="s">
        <v>108</v>
      </c>
      <c r="F1399" t="s">
        <v>46</v>
      </c>
      <c r="G1399" t="s">
        <v>56</v>
      </c>
      <c r="H1399" t="s">
        <v>55</v>
      </c>
      <c r="I1399" t="s">
        <v>34</v>
      </c>
      <c r="J1399" t="s">
        <v>79</v>
      </c>
      <c r="K1399" s="2">
        <v>29680</v>
      </c>
      <c r="L1399" t="s">
        <v>36</v>
      </c>
      <c r="M1399" t="s">
        <v>37</v>
      </c>
      <c r="N1399" t="s">
        <v>60</v>
      </c>
      <c r="O1399" t="s">
        <v>67</v>
      </c>
      <c r="P1399" t="s">
        <v>40</v>
      </c>
      <c r="Q1399">
        <v>3</v>
      </c>
      <c r="R1399" s="2">
        <v>44980</v>
      </c>
      <c r="S1399">
        <v>4</v>
      </c>
      <c r="T1399">
        <v>4</v>
      </c>
      <c r="U1399">
        <v>5</v>
      </c>
      <c r="V1399" s="1">
        <v>44937</v>
      </c>
      <c r="W1399" t="s">
        <v>41</v>
      </c>
      <c r="X1399" t="s">
        <v>51</v>
      </c>
      <c r="Y1399" t="s">
        <v>73</v>
      </c>
      <c r="Z1399">
        <v>2</v>
      </c>
      <c r="AA1399">
        <v>113.43</v>
      </c>
      <c r="AB1399">
        <v>38</v>
      </c>
    </row>
    <row r="1400" spans="1:28" x14ac:dyDescent="0.2">
      <c r="A1400">
        <v>1917</v>
      </c>
      <c r="B1400" s="1">
        <v>43614</v>
      </c>
      <c r="C1400" t="s">
        <v>28</v>
      </c>
      <c r="D1400" t="s">
        <v>44</v>
      </c>
      <c r="E1400" t="s">
        <v>30</v>
      </c>
      <c r="F1400" t="s">
        <v>31</v>
      </c>
      <c r="G1400" t="s">
        <v>56</v>
      </c>
      <c r="H1400" t="s">
        <v>55</v>
      </c>
      <c r="I1400" t="s">
        <v>34</v>
      </c>
      <c r="J1400" t="s">
        <v>75</v>
      </c>
      <c r="K1400" s="2">
        <v>22223</v>
      </c>
      <c r="L1400" t="s">
        <v>36</v>
      </c>
      <c r="M1400" t="s">
        <v>37</v>
      </c>
      <c r="N1400" t="s">
        <v>72</v>
      </c>
      <c r="O1400" t="s">
        <v>61</v>
      </c>
      <c r="P1400" t="s">
        <v>40</v>
      </c>
      <c r="Q1400">
        <v>3</v>
      </c>
      <c r="R1400" s="2">
        <v>44865</v>
      </c>
      <c r="S1400">
        <v>5</v>
      </c>
      <c r="T1400">
        <v>2</v>
      </c>
      <c r="U1400">
        <v>3</v>
      </c>
      <c r="V1400" s="1">
        <v>44950</v>
      </c>
      <c r="W1400" t="s">
        <v>50</v>
      </c>
      <c r="X1400" t="s">
        <v>42</v>
      </c>
      <c r="Y1400" t="s">
        <v>52</v>
      </c>
      <c r="Z1400">
        <v>3</v>
      </c>
      <c r="AA1400">
        <v>419.83</v>
      </c>
      <c r="AB1400">
        <v>59</v>
      </c>
    </row>
    <row r="1401" spans="1:28" x14ac:dyDescent="0.2">
      <c r="A1401">
        <v>1918</v>
      </c>
      <c r="B1401" s="1">
        <v>44935</v>
      </c>
      <c r="C1401" t="s">
        <v>28</v>
      </c>
      <c r="D1401" t="s">
        <v>87</v>
      </c>
      <c r="E1401" t="s">
        <v>30</v>
      </c>
      <c r="F1401" t="s">
        <v>31</v>
      </c>
      <c r="G1401" t="s">
        <v>56</v>
      </c>
      <c r="H1401" t="s">
        <v>33</v>
      </c>
      <c r="I1401" t="s">
        <v>34</v>
      </c>
      <c r="J1401" t="s">
        <v>70</v>
      </c>
      <c r="K1401" s="2">
        <v>33128</v>
      </c>
      <c r="L1401" t="s">
        <v>36</v>
      </c>
      <c r="M1401" t="s">
        <v>37</v>
      </c>
      <c r="N1401" t="s">
        <v>72</v>
      </c>
      <c r="O1401" t="s">
        <v>61</v>
      </c>
      <c r="P1401" t="s">
        <v>40</v>
      </c>
      <c r="Q1401">
        <v>3</v>
      </c>
      <c r="R1401" s="2">
        <v>44835</v>
      </c>
      <c r="S1401">
        <v>3</v>
      </c>
      <c r="T1401">
        <v>5</v>
      </c>
      <c r="U1401">
        <v>5</v>
      </c>
      <c r="V1401" s="1">
        <v>45141</v>
      </c>
      <c r="W1401" t="s">
        <v>92</v>
      </c>
      <c r="X1401" t="s">
        <v>42</v>
      </c>
      <c r="Y1401" t="s">
        <v>52</v>
      </c>
      <c r="Z1401">
        <v>2</v>
      </c>
      <c r="AA1401">
        <v>226.7</v>
      </c>
      <c r="AB1401">
        <v>33</v>
      </c>
    </row>
    <row r="1402" spans="1:28" x14ac:dyDescent="0.2">
      <c r="A1402">
        <v>1919</v>
      </c>
      <c r="B1402" s="1">
        <v>44682</v>
      </c>
      <c r="C1402" t="s">
        <v>28</v>
      </c>
      <c r="D1402" t="s">
        <v>64</v>
      </c>
      <c r="E1402" t="s">
        <v>108</v>
      </c>
      <c r="F1402" t="s">
        <v>31</v>
      </c>
      <c r="G1402" t="s">
        <v>45</v>
      </c>
      <c r="H1402" t="s">
        <v>55</v>
      </c>
      <c r="I1402" t="s">
        <v>34</v>
      </c>
      <c r="J1402" t="s">
        <v>100</v>
      </c>
      <c r="K1402" s="2">
        <v>33100</v>
      </c>
      <c r="L1402" t="s">
        <v>36</v>
      </c>
      <c r="M1402" t="s">
        <v>37</v>
      </c>
      <c r="N1402" t="s">
        <v>60</v>
      </c>
      <c r="O1402" t="s">
        <v>39</v>
      </c>
      <c r="P1402" t="s">
        <v>40</v>
      </c>
      <c r="Q1402">
        <v>3</v>
      </c>
      <c r="R1402" s="2">
        <v>45068</v>
      </c>
      <c r="S1402">
        <v>2</v>
      </c>
      <c r="T1402">
        <v>3</v>
      </c>
      <c r="U1402">
        <v>3</v>
      </c>
      <c r="V1402" s="1">
        <v>45095</v>
      </c>
      <c r="W1402" t="s">
        <v>41</v>
      </c>
      <c r="X1402" t="s">
        <v>51</v>
      </c>
      <c r="Y1402" t="s">
        <v>43</v>
      </c>
      <c r="Z1402">
        <v>1</v>
      </c>
      <c r="AA1402">
        <v>583.76</v>
      </c>
      <c r="AB1402">
        <v>32</v>
      </c>
    </row>
    <row r="1403" spans="1:28" x14ac:dyDescent="0.2">
      <c r="A1403">
        <v>1920</v>
      </c>
      <c r="B1403" s="1">
        <v>44222</v>
      </c>
      <c r="C1403" t="s">
        <v>28</v>
      </c>
      <c r="D1403" t="s">
        <v>94</v>
      </c>
      <c r="E1403" t="s">
        <v>108</v>
      </c>
      <c r="F1403" t="s">
        <v>55</v>
      </c>
      <c r="G1403" t="s">
        <v>56</v>
      </c>
      <c r="H1403" t="s">
        <v>55</v>
      </c>
      <c r="I1403" t="s">
        <v>34</v>
      </c>
      <c r="J1403" t="s">
        <v>70</v>
      </c>
      <c r="K1403" s="2">
        <v>17748</v>
      </c>
      <c r="L1403" t="s">
        <v>36</v>
      </c>
      <c r="M1403" t="s">
        <v>37</v>
      </c>
      <c r="N1403" t="s">
        <v>49</v>
      </c>
      <c r="O1403" t="s">
        <v>39</v>
      </c>
      <c r="P1403" t="s">
        <v>40</v>
      </c>
      <c r="Q1403">
        <v>3</v>
      </c>
      <c r="R1403" s="2">
        <v>44827</v>
      </c>
      <c r="S1403">
        <v>2</v>
      </c>
      <c r="T1403">
        <v>5</v>
      </c>
      <c r="U1403">
        <v>3</v>
      </c>
      <c r="V1403" s="1">
        <v>45020</v>
      </c>
      <c r="W1403" t="s">
        <v>50</v>
      </c>
      <c r="X1403" t="s">
        <v>42</v>
      </c>
      <c r="Y1403" t="s">
        <v>43</v>
      </c>
      <c r="Z1403">
        <v>3</v>
      </c>
      <c r="AA1403">
        <v>646.65</v>
      </c>
      <c r="AB1403">
        <v>73</v>
      </c>
    </row>
    <row r="1404" spans="1:28" x14ac:dyDescent="0.2">
      <c r="A1404">
        <v>1921</v>
      </c>
      <c r="B1404" s="1">
        <v>44445</v>
      </c>
      <c r="C1404" t="s">
        <v>28</v>
      </c>
      <c r="D1404" t="s">
        <v>74</v>
      </c>
      <c r="E1404" t="s">
        <v>30</v>
      </c>
      <c r="F1404" t="s">
        <v>31</v>
      </c>
      <c r="G1404" t="s">
        <v>32</v>
      </c>
      <c r="H1404" t="s">
        <v>55</v>
      </c>
      <c r="I1404" t="s">
        <v>34</v>
      </c>
      <c r="J1404" t="s">
        <v>79</v>
      </c>
      <c r="K1404" s="2">
        <v>34542</v>
      </c>
      <c r="L1404" t="s">
        <v>36</v>
      </c>
      <c r="M1404" t="s">
        <v>48</v>
      </c>
      <c r="N1404" t="s">
        <v>60</v>
      </c>
      <c r="O1404" t="s">
        <v>67</v>
      </c>
      <c r="P1404" t="s">
        <v>40</v>
      </c>
      <c r="Q1404">
        <v>3</v>
      </c>
      <c r="R1404" s="2">
        <v>44958</v>
      </c>
      <c r="S1404">
        <v>3</v>
      </c>
      <c r="T1404">
        <v>2</v>
      </c>
      <c r="U1404">
        <v>5</v>
      </c>
      <c r="V1404" s="1">
        <v>45074</v>
      </c>
      <c r="W1404" t="s">
        <v>68</v>
      </c>
      <c r="X1404" t="s">
        <v>51</v>
      </c>
      <c r="Y1404" t="s">
        <v>52</v>
      </c>
      <c r="Z1404">
        <v>2</v>
      </c>
      <c r="AA1404">
        <v>813.17</v>
      </c>
      <c r="AB1404">
        <v>27</v>
      </c>
    </row>
    <row r="1405" spans="1:28" x14ac:dyDescent="0.2">
      <c r="A1405">
        <v>1922</v>
      </c>
      <c r="B1405" s="1">
        <v>44041</v>
      </c>
      <c r="C1405" t="s">
        <v>28</v>
      </c>
      <c r="D1405" t="s">
        <v>81</v>
      </c>
      <c r="E1405" t="s">
        <v>30</v>
      </c>
      <c r="F1405" t="s">
        <v>55</v>
      </c>
      <c r="G1405" t="s">
        <v>45</v>
      </c>
      <c r="H1405" t="s">
        <v>46</v>
      </c>
      <c r="I1405" t="s">
        <v>34</v>
      </c>
      <c r="J1405" t="s">
        <v>65</v>
      </c>
      <c r="K1405" s="2">
        <v>21227</v>
      </c>
      <c r="L1405" t="s">
        <v>36</v>
      </c>
      <c r="M1405" t="s">
        <v>48</v>
      </c>
      <c r="N1405" t="s">
        <v>84</v>
      </c>
      <c r="O1405" t="s">
        <v>77</v>
      </c>
      <c r="P1405" t="s">
        <v>40</v>
      </c>
      <c r="Q1405">
        <v>3</v>
      </c>
      <c r="R1405" s="2">
        <v>45045</v>
      </c>
      <c r="S1405">
        <v>1</v>
      </c>
      <c r="T1405">
        <v>1</v>
      </c>
      <c r="U1405">
        <v>3</v>
      </c>
      <c r="V1405" s="1">
        <v>44879</v>
      </c>
      <c r="W1405" t="s">
        <v>68</v>
      </c>
      <c r="X1405" t="s">
        <v>51</v>
      </c>
      <c r="Y1405" t="s">
        <v>73</v>
      </c>
      <c r="Z1405">
        <v>3</v>
      </c>
      <c r="AA1405">
        <v>636.38</v>
      </c>
      <c r="AB1405">
        <v>62</v>
      </c>
    </row>
    <row r="1406" spans="1:28" x14ac:dyDescent="0.2">
      <c r="A1406">
        <v>1923</v>
      </c>
      <c r="B1406" s="1">
        <v>45016</v>
      </c>
      <c r="C1406" t="s">
        <v>28</v>
      </c>
      <c r="D1406" t="s">
        <v>54</v>
      </c>
      <c r="E1406" t="s">
        <v>30</v>
      </c>
      <c r="F1406" t="s">
        <v>55</v>
      </c>
      <c r="G1406" t="s">
        <v>56</v>
      </c>
      <c r="H1406" t="s">
        <v>55</v>
      </c>
      <c r="I1406" t="s">
        <v>34</v>
      </c>
      <c r="J1406" t="s">
        <v>104</v>
      </c>
      <c r="K1406" s="2">
        <v>24416</v>
      </c>
      <c r="L1406" t="s">
        <v>36</v>
      </c>
      <c r="M1406" t="s">
        <v>37</v>
      </c>
      <c r="N1406" t="s">
        <v>60</v>
      </c>
      <c r="O1406" t="s">
        <v>39</v>
      </c>
      <c r="P1406" t="s">
        <v>40</v>
      </c>
      <c r="Q1406">
        <v>3</v>
      </c>
      <c r="R1406" s="2">
        <v>45136</v>
      </c>
      <c r="S1406">
        <v>3</v>
      </c>
      <c r="T1406">
        <v>4</v>
      </c>
      <c r="U1406">
        <v>4</v>
      </c>
      <c r="V1406" s="1">
        <v>44882</v>
      </c>
      <c r="W1406" t="s">
        <v>62</v>
      </c>
      <c r="X1406" t="s">
        <v>51</v>
      </c>
      <c r="Y1406" t="s">
        <v>43</v>
      </c>
      <c r="Z1406">
        <v>3</v>
      </c>
      <c r="AA1406">
        <v>868.74</v>
      </c>
      <c r="AB1406">
        <v>57</v>
      </c>
    </row>
    <row r="1407" spans="1:28" x14ac:dyDescent="0.2">
      <c r="A1407">
        <v>1924</v>
      </c>
      <c r="B1407" s="1">
        <v>45062</v>
      </c>
      <c r="C1407" t="s">
        <v>28</v>
      </c>
      <c r="D1407" t="s">
        <v>69</v>
      </c>
      <c r="E1407" t="s">
        <v>30</v>
      </c>
      <c r="F1407" t="s">
        <v>46</v>
      </c>
      <c r="G1407" t="s">
        <v>56</v>
      </c>
      <c r="H1407" t="s">
        <v>55</v>
      </c>
      <c r="I1407" t="s">
        <v>34</v>
      </c>
      <c r="J1407" t="s">
        <v>70</v>
      </c>
      <c r="K1407" s="2">
        <v>34667</v>
      </c>
      <c r="L1407" t="s">
        <v>36</v>
      </c>
      <c r="M1407" t="s">
        <v>37</v>
      </c>
      <c r="N1407" t="s">
        <v>49</v>
      </c>
      <c r="O1407" t="s">
        <v>67</v>
      </c>
      <c r="P1407" t="s">
        <v>40</v>
      </c>
      <c r="Q1407">
        <v>3</v>
      </c>
      <c r="R1407" s="2">
        <v>44809</v>
      </c>
      <c r="S1407">
        <v>3</v>
      </c>
      <c r="T1407">
        <v>5</v>
      </c>
      <c r="U1407">
        <v>1</v>
      </c>
      <c r="V1407" s="1">
        <v>45121</v>
      </c>
      <c r="W1407" t="s">
        <v>50</v>
      </c>
      <c r="X1407" t="s">
        <v>51</v>
      </c>
      <c r="Y1407" t="s">
        <v>43</v>
      </c>
      <c r="Z1407">
        <v>4</v>
      </c>
      <c r="AA1407">
        <v>250.41</v>
      </c>
      <c r="AB1407">
        <v>29</v>
      </c>
    </row>
    <row r="1408" spans="1:28" x14ac:dyDescent="0.2">
      <c r="A1408">
        <v>1925</v>
      </c>
      <c r="B1408" s="1">
        <v>45045</v>
      </c>
      <c r="C1408" t="s">
        <v>28</v>
      </c>
      <c r="D1408" t="s">
        <v>29</v>
      </c>
      <c r="E1408" t="s">
        <v>30</v>
      </c>
      <c r="F1408" t="s">
        <v>31</v>
      </c>
      <c r="G1408" t="s">
        <v>56</v>
      </c>
      <c r="H1408" t="s">
        <v>55</v>
      </c>
      <c r="I1408" t="s">
        <v>34</v>
      </c>
      <c r="J1408" t="s">
        <v>89</v>
      </c>
      <c r="K1408" s="2">
        <v>29264</v>
      </c>
      <c r="L1408" t="s">
        <v>36</v>
      </c>
      <c r="M1408" t="s">
        <v>48</v>
      </c>
      <c r="N1408" t="s">
        <v>60</v>
      </c>
      <c r="O1408" t="s">
        <v>77</v>
      </c>
      <c r="P1408" t="s">
        <v>40</v>
      </c>
      <c r="Q1408">
        <v>3</v>
      </c>
      <c r="R1408" s="2">
        <v>45037</v>
      </c>
      <c r="S1408">
        <v>1</v>
      </c>
      <c r="T1408">
        <v>5</v>
      </c>
      <c r="U1408">
        <v>3</v>
      </c>
      <c r="V1408" s="1">
        <v>45058</v>
      </c>
      <c r="W1408" t="s">
        <v>92</v>
      </c>
      <c r="X1408" t="s">
        <v>42</v>
      </c>
      <c r="Y1408" t="s">
        <v>63</v>
      </c>
      <c r="Z1408">
        <v>3</v>
      </c>
      <c r="AA1408">
        <v>882.06</v>
      </c>
      <c r="AB1408">
        <v>43</v>
      </c>
    </row>
    <row r="1409" spans="1:28" x14ac:dyDescent="0.2">
      <c r="A1409">
        <v>1926</v>
      </c>
      <c r="B1409" s="1">
        <v>43796</v>
      </c>
      <c r="C1409" t="s">
        <v>28</v>
      </c>
      <c r="D1409" t="s">
        <v>85</v>
      </c>
      <c r="E1409" t="s">
        <v>30</v>
      </c>
      <c r="F1409" t="s">
        <v>31</v>
      </c>
      <c r="G1409" t="s">
        <v>45</v>
      </c>
      <c r="H1409" t="s">
        <v>33</v>
      </c>
      <c r="I1409" t="s">
        <v>34</v>
      </c>
      <c r="J1409" t="s">
        <v>70</v>
      </c>
      <c r="K1409" s="2">
        <v>36527</v>
      </c>
      <c r="L1409" t="s">
        <v>36</v>
      </c>
      <c r="M1409" t="s">
        <v>48</v>
      </c>
      <c r="N1409" t="s">
        <v>72</v>
      </c>
      <c r="O1409" t="s">
        <v>61</v>
      </c>
      <c r="P1409" t="s">
        <v>40</v>
      </c>
      <c r="Q1409">
        <v>3</v>
      </c>
      <c r="R1409" s="2">
        <v>44793</v>
      </c>
      <c r="S1409">
        <v>3</v>
      </c>
      <c r="T1409">
        <v>4</v>
      </c>
      <c r="U1409">
        <v>2</v>
      </c>
      <c r="V1409" s="1">
        <v>45107</v>
      </c>
      <c r="W1409" t="s">
        <v>41</v>
      </c>
      <c r="X1409" t="s">
        <v>42</v>
      </c>
      <c r="Y1409" t="s">
        <v>73</v>
      </c>
      <c r="Z1409">
        <v>1</v>
      </c>
      <c r="AA1409">
        <v>350.88</v>
      </c>
      <c r="AB1409">
        <v>19</v>
      </c>
    </row>
    <row r="1410" spans="1:28" x14ac:dyDescent="0.2">
      <c r="A1410">
        <v>1927</v>
      </c>
      <c r="B1410" s="1">
        <v>44868</v>
      </c>
      <c r="C1410" t="s">
        <v>28</v>
      </c>
      <c r="D1410" t="s">
        <v>44</v>
      </c>
      <c r="E1410" t="s">
        <v>30</v>
      </c>
      <c r="F1410" t="s">
        <v>55</v>
      </c>
      <c r="G1410" t="s">
        <v>32</v>
      </c>
      <c r="H1410" t="s">
        <v>55</v>
      </c>
      <c r="I1410" t="s">
        <v>34</v>
      </c>
      <c r="J1410" t="s">
        <v>70</v>
      </c>
      <c r="K1410" s="2">
        <v>27856</v>
      </c>
      <c r="L1410" t="s">
        <v>36</v>
      </c>
      <c r="M1410" t="s">
        <v>48</v>
      </c>
      <c r="N1410" t="s">
        <v>49</v>
      </c>
      <c r="O1410" t="s">
        <v>67</v>
      </c>
      <c r="P1410" t="s">
        <v>40</v>
      </c>
      <c r="Q1410">
        <v>3</v>
      </c>
      <c r="R1410" s="2">
        <v>44908</v>
      </c>
      <c r="S1410">
        <v>3</v>
      </c>
      <c r="T1410">
        <v>2</v>
      </c>
      <c r="U1410">
        <v>1</v>
      </c>
      <c r="V1410" s="1">
        <v>44980</v>
      </c>
      <c r="W1410" t="s">
        <v>41</v>
      </c>
      <c r="X1410" t="s">
        <v>51</v>
      </c>
      <c r="Y1410" t="s">
        <v>63</v>
      </c>
      <c r="Z1410">
        <v>5</v>
      </c>
      <c r="AA1410">
        <v>571.80999999999995</v>
      </c>
      <c r="AB1410">
        <v>46</v>
      </c>
    </row>
    <row r="1411" spans="1:28" x14ac:dyDescent="0.2">
      <c r="A1411">
        <v>1928</v>
      </c>
      <c r="B1411" s="1">
        <v>44781</v>
      </c>
      <c r="C1411" t="s">
        <v>28</v>
      </c>
      <c r="D1411" t="s">
        <v>87</v>
      </c>
      <c r="E1411" t="s">
        <v>30</v>
      </c>
      <c r="F1411" t="s">
        <v>55</v>
      </c>
      <c r="G1411" t="s">
        <v>45</v>
      </c>
      <c r="H1411" t="s">
        <v>46</v>
      </c>
      <c r="I1411" t="s">
        <v>34</v>
      </c>
      <c r="J1411" t="s">
        <v>65</v>
      </c>
      <c r="K1411" s="2">
        <v>30392</v>
      </c>
      <c r="L1411" t="s">
        <v>36</v>
      </c>
      <c r="M1411" t="s">
        <v>37</v>
      </c>
      <c r="N1411" t="s">
        <v>49</v>
      </c>
      <c r="O1411" t="s">
        <v>39</v>
      </c>
      <c r="P1411" t="s">
        <v>40</v>
      </c>
      <c r="Q1411">
        <v>3</v>
      </c>
      <c r="R1411" s="2">
        <v>44797</v>
      </c>
      <c r="S1411">
        <v>4</v>
      </c>
      <c r="T1411">
        <v>5</v>
      </c>
      <c r="U1411">
        <v>5</v>
      </c>
      <c r="V1411" s="1">
        <v>44980</v>
      </c>
      <c r="W1411" t="s">
        <v>92</v>
      </c>
      <c r="X1411" t="s">
        <v>42</v>
      </c>
      <c r="Y1411" t="s">
        <v>43</v>
      </c>
      <c r="Z1411">
        <v>3</v>
      </c>
      <c r="AA1411">
        <v>900.89</v>
      </c>
      <c r="AB1411">
        <v>39</v>
      </c>
    </row>
    <row r="1412" spans="1:28" x14ac:dyDescent="0.2">
      <c r="A1412">
        <v>1929</v>
      </c>
      <c r="B1412" s="1">
        <v>45134</v>
      </c>
      <c r="C1412" t="s">
        <v>28</v>
      </c>
      <c r="D1412" t="s">
        <v>64</v>
      </c>
      <c r="E1412" t="s">
        <v>30</v>
      </c>
      <c r="F1412" t="s">
        <v>31</v>
      </c>
      <c r="G1412" t="s">
        <v>45</v>
      </c>
      <c r="H1412" t="s">
        <v>55</v>
      </c>
      <c r="I1412" t="s">
        <v>34</v>
      </c>
      <c r="J1412" t="s">
        <v>70</v>
      </c>
      <c r="K1412" s="2">
        <v>32205</v>
      </c>
      <c r="L1412" t="s">
        <v>36</v>
      </c>
      <c r="M1412" t="s">
        <v>37</v>
      </c>
      <c r="N1412" t="s">
        <v>84</v>
      </c>
      <c r="O1412" t="s">
        <v>39</v>
      </c>
      <c r="P1412" t="s">
        <v>40</v>
      </c>
      <c r="Q1412">
        <v>3</v>
      </c>
      <c r="R1412" s="2">
        <v>44904</v>
      </c>
      <c r="S1412">
        <v>4</v>
      </c>
      <c r="T1412">
        <v>1</v>
      </c>
      <c r="U1412">
        <v>3</v>
      </c>
      <c r="V1412" s="1">
        <v>45142</v>
      </c>
      <c r="W1412" t="s">
        <v>50</v>
      </c>
      <c r="X1412" t="s">
        <v>42</v>
      </c>
      <c r="Y1412" t="s">
        <v>43</v>
      </c>
      <c r="Z1412">
        <v>3</v>
      </c>
      <c r="AA1412">
        <v>312.56</v>
      </c>
      <c r="AB1412">
        <v>35</v>
      </c>
    </row>
    <row r="1413" spans="1:28" x14ac:dyDescent="0.2">
      <c r="A1413">
        <v>1930</v>
      </c>
      <c r="B1413" s="1">
        <v>45122</v>
      </c>
      <c r="C1413" t="s">
        <v>28</v>
      </c>
      <c r="D1413" t="s">
        <v>94</v>
      </c>
      <c r="E1413" t="s">
        <v>30</v>
      </c>
      <c r="F1413" t="s">
        <v>55</v>
      </c>
      <c r="G1413" t="s">
        <v>32</v>
      </c>
      <c r="H1413" t="s">
        <v>33</v>
      </c>
      <c r="I1413" t="s">
        <v>34</v>
      </c>
      <c r="J1413" t="s">
        <v>65</v>
      </c>
      <c r="K1413" s="2">
        <v>31650</v>
      </c>
      <c r="L1413" t="s">
        <v>36</v>
      </c>
      <c r="M1413" t="s">
        <v>37</v>
      </c>
      <c r="N1413" t="s">
        <v>84</v>
      </c>
      <c r="O1413" t="s">
        <v>61</v>
      </c>
      <c r="P1413" t="s">
        <v>40</v>
      </c>
      <c r="Q1413">
        <v>3</v>
      </c>
      <c r="R1413" s="2">
        <v>44922</v>
      </c>
      <c r="S1413">
        <v>3</v>
      </c>
      <c r="T1413">
        <v>3</v>
      </c>
      <c r="U1413">
        <v>4</v>
      </c>
      <c r="V1413" s="1">
        <v>45107</v>
      </c>
      <c r="W1413" t="s">
        <v>62</v>
      </c>
      <c r="X1413" t="s">
        <v>51</v>
      </c>
      <c r="Y1413" t="s">
        <v>52</v>
      </c>
      <c r="Z1413">
        <v>5</v>
      </c>
      <c r="AA1413">
        <v>533.55999999999995</v>
      </c>
      <c r="AB1413">
        <v>37</v>
      </c>
    </row>
    <row r="1414" spans="1:28" x14ac:dyDescent="0.2">
      <c r="A1414">
        <v>1931</v>
      </c>
      <c r="B1414" s="1">
        <v>44874</v>
      </c>
      <c r="C1414" t="s">
        <v>28</v>
      </c>
      <c r="D1414" t="s">
        <v>74</v>
      </c>
      <c r="E1414" t="s">
        <v>30</v>
      </c>
      <c r="F1414" t="s">
        <v>55</v>
      </c>
      <c r="G1414" t="s">
        <v>56</v>
      </c>
      <c r="H1414" t="s">
        <v>33</v>
      </c>
      <c r="I1414" t="s">
        <v>34</v>
      </c>
      <c r="J1414" t="s">
        <v>97</v>
      </c>
      <c r="K1414" s="2">
        <v>36516</v>
      </c>
      <c r="L1414" t="s">
        <v>36</v>
      </c>
      <c r="M1414" t="s">
        <v>37</v>
      </c>
      <c r="N1414" t="s">
        <v>38</v>
      </c>
      <c r="O1414" t="s">
        <v>61</v>
      </c>
      <c r="P1414" t="s">
        <v>40</v>
      </c>
      <c r="Q1414">
        <v>3</v>
      </c>
      <c r="R1414" s="2">
        <v>45032</v>
      </c>
      <c r="S1414">
        <v>2</v>
      </c>
      <c r="T1414">
        <v>3</v>
      </c>
      <c r="U1414">
        <v>4</v>
      </c>
      <c r="V1414" s="1">
        <v>45060</v>
      </c>
      <c r="W1414" t="s">
        <v>41</v>
      </c>
      <c r="X1414" t="s">
        <v>42</v>
      </c>
      <c r="Y1414" t="s">
        <v>43</v>
      </c>
      <c r="Z1414">
        <v>5</v>
      </c>
      <c r="AA1414">
        <v>381.36</v>
      </c>
      <c r="AB1414">
        <v>23</v>
      </c>
    </row>
    <row r="1415" spans="1:28" x14ac:dyDescent="0.2">
      <c r="A1415">
        <v>1932</v>
      </c>
      <c r="B1415" s="1">
        <v>43823</v>
      </c>
      <c r="C1415" t="s">
        <v>140</v>
      </c>
      <c r="D1415" t="s">
        <v>69</v>
      </c>
      <c r="E1415" t="s">
        <v>30</v>
      </c>
      <c r="F1415" t="s">
        <v>55</v>
      </c>
      <c r="G1415" t="s">
        <v>45</v>
      </c>
      <c r="H1415" t="s">
        <v>33</v>
      </c>
      <c r="I1415" t="s">
        <v>57</v>
      </c>
      <c r="J1415" t="s">
        <v>58</v>
      </c>
      <c r="K1415" s="2">
        <v>28353</v>
      </c>
      <c r="L1415" t="s">
        <v>36</v>
      </c>
      <c r="M1415" t="s">
        <v>48</v>
      </c>
      <c r="N1415" t="s">
        <v>60</v>
      </c>
      <c r="O1415" t="s">
        <v>39</v>
      </c>
      <c r="P1415" t="s">
        <v>40</v>
      </c>
      <c r="Q1415">
        <v>3</v>
      </c>
      <c r="R1415" s="2">
        <v>44943</v>
      </c>
      <c r="S1415">
        <v>5</v>
      </c>
      <c r="T1415">
        <v>5</v>
      </c>
      <c r="U1415">
        <v>2</v>
      </c>
      <c r="V1415" s="1">
        <v>45004</v>
      </c>
      <c r="W1415" t="s">
        <v>50</v>
      </c>
      <c r="X1415" t="s">
        <v>42</v>
      </c>
      <c r="Y1415" t="s">
        <v>43</v>
      </c>
      <c r="Z1415">
        <v>2</v>
      </c>
      <c r="AA1415">
        <v>754.08</v>
      </c>
      <c r="AB1415">
        <v>42</v>
      </c>
    </row>
    <row r="1416" spans="1:28" x14ac:dyDescent="0.2">
      <c r="A1416">
        <v>1933</v>
      </c>
      <c r="B1416" s="1">
        <v>43532</v>
      </c>
      <c r="C1416" t="s">
        <v>140</v>
      </c>
      <c r="D1416" t="s">
        <v>81</v>
      </c>
      <c r="E1416" t="s">
        <v>30</v>
      </c>
      <c r="F1416" t="s">
        <v>31</v>
      </c>
      <c r="G1416" t="s">
        <v>32</v>
      </c>
      <c r="H1416" t="s">
        <v>46</v>
      </c>
      <c r="I1416" t="s">
        <v>57</v>
      </c>
      <c r="J1416" t="s">
        <v>47</v>
      </c>
      <c r="K1416" s="2">
        <v>32813</v>
      </c>
      <c r="L1416" t="s">
        <v>141</v>
      </c>
      <c r="M1416" t="s">
        <v>37</v>
      </c>
      <c r="N1416" t="s">
        <v>72</v>
      </c>
      <c r="O1416" t="s">
        <v>39</v>
      </c>
      <c r="P1416" t="s">
        <v>40</v>
      </c>
      <c r="Q1416">
        <v>3</v>
      </c>
      <c r="R1416" s="2">
        <v>45070</v>
      </c>
      <c r="S1416">
        <v>2</v>
      </c>
      <c r="T1416">
        <v>4</v>
      </c>
      <c r="U1416">
        <v>5</v>
      </c>
      <c r="V1416" s="1">
        <v>44851</v>
      </c>
      <c r="W1416" t="s">
        <v>50</v>
      </c>
      <c r="X1416" t="s">
        <v>42</v>
      </c>
      <c r="Y1416" t="s">
        <v>52</v>
      </c>
      <c r="Z1416">
        <v>5</v>
      </c>
      <c r="AA1416">
        <v>837.19</v>
      </c>
      <c r="AB1416">
        <v>30</v>
      </c>
    </row>
    <row r="1417" spans="1:28" x14ac:dyDescent="0.2">
      <c r="A1417">
        <v>1934</v>
      </c>
      <c r="B1417" s="1">
        <v>43641</v>
      </c>
      <c r="C1417" t="s">
        <v>140</v>
      </c>
      <c r="D1417" t="s">
        <v>74</v>
      </c>
      <c r="E1417" t="s">
        <v>108</v>
      </c>
      <c r="F1417" t="s">
        <v>31</v>
      </c>
      <c r="G1417" t="s">
        <v>56</v>
      </c>
      <c r="H1417" t="s">
        <v>55</v>
      </c>
      <c r="I1417" t="s">
        <v>57</v>
      </c>
      <c r="J1417" t="s">
        <v>75</v>
      </c>
      <c r="K1417" s="2">
        <v>33510</v>
      </c>
      <c r="L1417" t="s">
        <v>142</v>
      </c>
      <c r="M1417" t="s">
        <v>37</v>
      </c>
      <c r="N1417" t="s">
        <v>60</v>
      </c>
      <c r="O1417" t="s">
        <v>39</v>
      </c>
      <c r="P1417" t="s">
        <v>40</v>
      </c>
      <c r="Q1417">
        <v>3</v>
      </c>
      <c r="R1417" s="2">
        <v>44798</v>
      </c>
      <c r="S1417">
        <v>2</v>
      </c>
      <c r="T1417">
        <v>5</v>
      </c>
      <c r="U1417">
        <v>2</v>
      </c>
      <c r="V1417" s="1">
        <v>45054</v>
      </c>
      <c r="W1417" t="s">
        <v>41</v>
      </c>
      <c r="X1417" t="s">
        <v>51</v>
      </c>
      <c r="Y1417" t="s">
        <v>52</v>
      </c>
      <c r="Z1417">
        <v>2</v>
      </c>
      <c r="AA1417">
        <v>993.7</v>
      </c>
      <c r="AB1417">
        <v>28</v>
      </c>
    </row>
    <row r="1418" spans="1:28" x14ac:dyDescent="0.2">
      <c r="A1418">
        <v>1935</v>
      </c>
      <c r="B1418" s="1">
        <v>43468</v>
      </c>
      <c r="C1418" t="s">
        <v>106</v>
      </c>
      <c r="D1418" t="s">
        <v>64</v>
      </c>
      <c r="E1418" t="s">
        <v>30</v>
      </c>
      <c r="F1418" t="s">
        <v>46</v>
      </c>
      <c r="G1418" t="s">
        <v>45</v>
      </c>
      <c r="H1418" t="s">
        <v>33</v>
      </c>
      <c r="I1418" t="s">
        <v>57</v>
      </c>
      <c r="J1418" t="s">
        <v>105</v>
      </c>
      <c r="K1418" s="2">
        <v>27364</v>
      </c>
      <c r="L1418" t="s">
        <v>36</v>
      </c>
      <c r="M1418" t="s">
        <v>48</v>
      </c>
      <c r="N1418" t="s">
        <v>49</v>
      </c>
      <c r="O1418" t="s">
        <v>77</v>
      </c>
      <c r="P1418" t="s">
        <v>40</v>
      </c>
      <c r="Q1418">
        <v>3</v>
      </c>
      <c r="R1418" s="2">
        <v>45036</v>
      </c>
      <c r="S1418">
        <v>5</v>
      </c>
      <c r="T1418">
        <v>1</v>
      </c>
      <c r="U1418">
        <v>4</v>
      </c>
      <c r="V1418" s="1">
        <v>44820</v>
      </c>
      <c r="W1418" t="s">
        <v>50</v>
      </c>
      <c r="X1418" t="s">
        <v>42</v>
      </c>
      <c r="Y1418" t="s">
        <v>63</v>
      </c>
      <c r="Z1418">
        <v>2</v>
      </c>
      <c r="AA1418">
        <v>505.4</v>
      </c>
      <c r="AB1418">
        <v>45</v>
      </c>
    </row>
    <row r="1419" spans="1:28" x14ac:dyDescent="0.2">
      <c r="A1419">
        <v>1936</v>
      </c>
      <c r="B1419" s="1">
        <v>44959</v>
      </c>
      <c r="C1419" t="s">
        <v>106</v>
      </c>
      <c r="D1419" t="s">
        <v>69</v>
      </c>
      <c r="E1419" t="s">
        <v>30</v>
      </c>
      <c r="F1419" t="s">
        <v>55</v>
      </c>
      <c r="G1419" t="s">
        <v>56</v>
      </c>
      <c r="H1419" t="s">
        <v>46</v>
      </c>
      <c r="I1419" t="s">
        <v>57</v>
      </c>
      <c r="J1419" t="s">
        <v>70</v>
      </c>
      <c r="K1419" s="2">
        <v>33384</v>
      </c>
      <c r="L1419" t="s">
        <v>142</v>
      </c>
      <c r="M1419" t="s">
        <v>37</v>
      </c>
      <c r="N1419" t="s">
        <v>49</v>
      </c>
      <c r="O1419" t="s">
        <v>39</v>
      </c>
      <c r="P1419" t="s">
        <v>40</v>
      </c>
      <c r="Q1419">
        <v>3</v>
      </c>
      <c r="R1419" s="2">
        <v>44845</v>
      </c>
      <c r="S1419">
        <v>3</v>
      </c>
      <c r="T1419">
        <v>3</v>
      </c>
      <c r="U1419">
        <v>5</v>
      </c>
      <c r="V1419" s="1">
        <v>44794</v>
      </c>
      <c r="W1419" t="s">
        <v>41</v>
      </c>
      <c r="X1419" t="s">
        <v>51</v>
      </c>
      <c r="Y1419" t="s">
        <v>43</v>
      </c>
      <c r="Z1419">
        <v>5</v>
      </c>
      <c r="AA1419">
        <v>567.54999999999995</v>
      </c>
      <c r="AB1419">
        <v>32</v>
      </c>
    </row>
    <row r="1420" spans="1:28" x14ac:dyDescent="0.2">
      <c r="A1420">
        <v>1937</v>
      </c>
      <c r="B1420" s="1">
        <v>44650</v>
      </c>
      <c r="C1420" t="s">
        <v>106</v>
      </c>
      <c r="D1420" t="s">
        <v>29</v>
      </c>
      <c r="E1420" t="s">
        <v>108</v>
      </c>
      <c r="F1420" t="s">
        <v>55</v>
      </c>
      <c r="G1420" t="s">
        <v>45</v>
      </c>
      <c r="H1420" t="s">
        <v>33</v>
      </c>
      <c r="I1420" t="s">
        <v>57</v>
      </c>
      <c r="J1420" t="s">
        <v>79</v>
      </c>
      <c r="K1420" s="2">
        <v>20904</v>
      </c>
      <c r="L1420" t="s">
        <v>142</v>
      </c>
      <c r="M1420" t="s">
        <v>37</v>
      </c>
      <c r="N1420" t="s">
        <v>84</v>
      </c>
      <c r="O1420" t="s">
        <v>61</v>
      </c>
      <c r="P1420" t="s">
        <v>40</v>
      </c>
      <c r="Q1420">
        <v>3</v>
      </c>
      <c r="R1420" s="2">
        <v>44784</v>
      </c>
      <c r="S1420">
        <v>4</v>
      </c>
      <c r="T1420">
        <v>5</v>
      </c>
      <c r="U1420">
        <v>4</v>
      </c>
      <c r="V1420" s="1">
        <v>45054</v>
      </c>
      <c r="W1420" t="s">
        <v>41</v>
      </c>
      <c r="X1420" t="s">
        <v>51</v>
      </c>
      <c r="Y1420" t="s">
        <v>63</v>
      </c>
      <c r="Z1420">
        <v>4</v>
      </c>
      <c r="AA1420">
        <v>774.74</v>
      </c>
      <c r="AB1420">
        <v>65</v>
      </c>
    </row>
    <row r="1421" spans="1:28" x14ac:dyDescent="0.2">
      <c r="A1421">
        <v>1938</v>
      </c>
      <c r="B1421" s="1">
        <v>43913</v>
      </c>
      <c r="C1421" t="s">
        <v>106</v>
      </c>
      <c r="D1421" t="s">
        <v>64</v>
      </c>
      <c r="E1421" t="s">
        <v>30</v>
      </c>
      <c r="F1421" t="s">
        <v>46</v>
      </c>
      <c r="G1421" t="s">
        <v>45</v>
      </c>
      <c r="H1421" t="s">
        <v>55</v>
      </c>
      <c r="I1421" t="s">
        <v>57</v>
      </c>
      <c r="J1421" t="s">
        <v>89</v>
      </c>
      <c r="K1421" s="2">
        <v>20897</v>
      </c>
      <c r="L1421" t="s">
        <v>36</v>
      </c>
      <c r="M1421" t="s">
        <v>37</v>
      </c>
      <c r="N1421" t="s">
        <v>60</v>
      </c>
      <c r="O1421" t="s">
        <v>61</v>
      </c>
      <c r="P1421" t="s">
        <v>40</v>
      </c>
      <c r="Q1421">
        <v>3</v>
      </c>
      <c r="R1421" s="2">
        <v>44819</v>
      </c>
      <c r="S1421">
        <v>1</v>
      </c>
      <c r="T1421">
        <v>4</v>
      </c>
      <c r="U1421">
        <v>3</v>
      </c>
      <c r="V1421" s="1">
        <v>44797</v>
      </c>
      <c r="W1421" t="s">
        <v>92</v>
      </c>
      <c r="X1421" t="s">
        <v>51</v>
      </c>
      <c r="Y1421" t="s">
        <v>73</v>
      </c>
      <c r="Z1421">
        <v>5</v>
      </c>
      <c r="AA1421">
        <v>316.61</v>
      </c>
      <c r="AB1421">
        <v>63</v>
      </c>
    </row>
    <row r="1422" spans="1:28" x14ac:dyDescent="0.2">
      <c r="A1422">
        <v>1939</v>
      </c>
      <c r="B1422" s="1">
        <v>43622</v>
      </c>
      <c r="C1422" t="s">
        <v>106</v>
      </c>
      <c r="D1422" t="s">
        <v>94</v>
      </c>
      <c r="E1422" t="s">
        <v>30</v>
      </c>
      <c r="F1422" t="s">
        <v>31</v>
      </c>
      <c r="G1422" t="s">
        <v>32</v>
      </c>
      <c r="H1422" t="s">
        <v>33</v>
      </c>
      <c r="I1422" t="s">
        <v>57</v>
      </c>
      <c r="J1422" t="s">
        <v>70</v>
      </c>
      <c r="K1422" s="2">
        <v>15405</v>
      </c>
      <c r="L1422" t="s">
        <v>142</v>
      </c>
      <c r="M1422" t="s">
        <v>37</v>
      </c>
      <c r="N1422" t="s">
        <v>84</v>
      </c>
      <c r="O1422" t="s">
        <v>67</v>
      </c>
      <c r="P1422" t="s">
        <v>40</v>
      </c>
      <c r="Q1422">
        <v>3</v>
      </c>
      <c r="R1422" s="2">
        <v>45090</v>
      </c>
      <c r="S1422">
        <v>4</v>
      </c>
      <c r="T1422">
        <v>5</v>
      </c>
      <c r="U1422">
        <v>3</v>
      </c>
      <c r="V1422" s="1">
        <v>44861</v>
      </c>
      <c r="W1422" t="s">
        <v>92</v>
      </c>
      <c r="X1422" t="s">
        <v>51</v>
      </c>
      <c r="Y1422" t="s">
        <v>63</v>
      </c>
      <c r="Z1422">
        <v>3</v>
      </c>
      <c r="AA1422">
        <v>531.73</v>
      </c>
      <c r="AB1422">
        <v>77</v>
      </c>
    </row>
    <row r="1423" spans="1:28" x14ac:dyDescent="0.2">
      <c r="A1423">
        <v>1940</v>
      </c>
      <c r="B1423" s="1">
        <v>45074</v>
      </c>
      <c r="C1423" t="s">
        <v>106</v>
      </c>
      <c r="D1423" t="s">
        <v>64</v>
      </c>
      <c r="E1423" t="s">
        <v>30</v>
      </c>
      <c r="F1423" t="s">
        <v>31</v>
      </c>
      <c r="G1423" t="s">
        <v>45</v>
      </c>
      <c r="H1423" t="s">
        <v>33</v>
      </c>
      <c r="I1423" t="s">
        <v>57</v>
      </c>
      <c r="J1423" t="s">
        <v>79</v>
      </c>
      <c r="K1423" s="2">
        <v>15560</v>
      </c>
      <c r="L1423" t="s">
        <v>36</v>
      </c>
      <c r="M1423" t="s">
        <v>37</v>
      </c>
      <c r="N1423" t="s">
        <v>84</v>
      </c>
      <c r="O1423" t="s">
        <v>39</v>
      </c>
      <c r="P1423" t="s">
        <v>40</v>
      </c>
      <c r="Q1423">
        <v>3</v>
      </c>
      <c r="R1423" s="2">
        <v>44793</v>
      </c>
      <c r="S1423">
        <v>3</v>
      </c>
      <c r="T1423">
        <v>4</v>
      </c>
      <c r="U1423">
        <v>5</v>
      </c>
      <c r="V1423" s="1">
        <v>44942</v>
      </c>
      <c r="W1423" t="s">
        <v>92</v>
      </c>
      <c r="X1423" t="s">
        <v>51</v>
      </c>
      <c r="Y1423" t="s">
        <v>43</v>
      </c>
      <c r="Z1423">
        <v>2</v>
      </c>
      <c r="AA1423">
        <v>342.26</v>
      </c>
      <c r="AB1423">
        <v>81</v>
      </c>
    </row>
    <row r="1424" spans="1:28" x14ac:dyDescent="0.2">
      <c r="A1424">
        <v>1941</v>
      </c>
      <c r="B1424" s="1">
        <v>44230</v>
      </c>
      <c r="C1424" t="s">
        <v>106</v>
      </c>
      <c r="D1424" t="s">
        <v>94</v>
      </c>
      <c r="E1424" t="s">
        <v>30</v>
      </c>
      <c r="F1424" t="s">
        <v>31</v>
      </c>
      <c r="G1424" t="s">
        <v>45</v>
      </c>
      <c r="H1424" t="s">
        <v>46</v>
      </c>
      <c r="I1424" t="s">
        <v>57</v>
      </c>
      <c r="J1424" t="s">
        <v>79</v>
      </c>
      <c r="K1424" s="2">
        <v>15255</v>
      </c>
      <c r="L1424" t="s">
        <v>142</v>
      </c>
      <c r="M1424" t="s">
        <v>37</v>
      </c>
      <c r="N1424" t="s">
        <v>49</v>
      </c>
      <c r="O1424" t="s">
        <v>39</v>
      </c>
      <c r="P1424" t="s">
        <v>40</v>
      </c>
      <c r="Q1424">
        <v>3</v>
      </c>
      <c r="R1424" s="2">
        <v>44820</v>
      </c>
      <c r="S1424">
        <v>3</v>
      </c>
      <c r="T1424">
        <v>5</v>
      </c>
      <c r="U1424">
        <v>4</v>
      </c>
      <c r="V1424" s="1">
        <v>44961</v>
      </c>
      <c r="W1424" t="s">
        <v>41</v>
      </c>
      <c r="X1424" t="s">
        <v>51</v>
      </c>
      <c r="Y1424" t="s">
        <v>43</v>
      </c>
      <c r="Z1424">
        <v>3</v>
      </c>
      <c r="AA1424">
        <v>158.79</v>
      </c>
      <c r="AB1424">
        <v>80</v>
      </c>
    </row>
    <row r="1425" spans="1:28" x14ac:dyDescent="0.2">
      <c r="A1425">
        <v>1942</v>
      </c>
      <c r="B1425" s="1">
        <v>43676</v>
      </c>
      <c r="C1425" t="s">
        <v>106</v>
      </c>
      <c r="D1425" t="s">
        <v>64</v>
      </c>
      <c r="E1425" t="s">
        <v>108</v>
      </c>
      <c r="F1425" t="s">
        <v>46</v>
      </c>
      <c r="G1425" t="s">
        <v>45</v>
      </c>
      <c r="H1425" t="s">
        <v>46</v>
      </c>
      <c r="I1425" t="s">
        <v>57</v>
      </c>
      <c r="J1425" t="s">
        <v>101</v>
      </c>
      <c r="K1425" s="2">
        <v>23418</v>
      </c>
      <c r="L1425" t="s">
        <v>36</v>
      </c>
      <c r="M1425" t="s">
        <v>37</v>
      </c>
      <c r="N1425" t="s">
        <v>60</v>
      </c>
      <c r="O1425" t="s">
        <v>39</v>
      </c>
      <c r="P1425" t="s">
        <v>40</v>
      </c>
      <c r="Q1425">
        <v>3</v>
      </c>
      <c r="R1425" s="2">
        <v>44873</v>
      </c>
      <c r="S1425">
        <v>2</v>
      </c>
      <c r="T1425">
        <v>4</v>
      </c>
      <c r="U1425">
        <v>2</v>
      </c>
      <c r="V1425" s="1">
        <v>45031</v>
      </c>
      <c r="W1425" t="s">
        <v>50</v>
      </c>
      <c r="X1425" t="s">
        <v>42</v>
      </c>
      <c r="Y1425" t="s">
        <v>63</v>
      </c>
      <c r="Z1425">
        <v>3</v>
      </c>
      <c r="AA1425">
        <v>250.51</v>
      </c>
      <c r="AB1425">
        <v>55</v>
      </c>
    </row>
    <row r="1426" spans="1:28" x14ac:dyDescent="0.2">
      <c r="A1426">
        <v>1943</v>
      </c>
      <c r="B1426" s="1">
        <v>44689</v>
      </c>
      <c r="C1426" t="s">
        <v>106</v>
      </c>
      <c r="D1426" t="s">
        <v>94</v>
      </c>
      <c r="E1426" t="s">
        <v>108</v>
      </c>
      <c r="F1426" t="s">
        <v>31</v>
      </c>
      <c r="G1426" t="s">
        <v>45</v>
      </c>
      <c r="H1426" t="s">
        <v>46</v>
      </c>
      <c r="I1426" t="s">
        <v>57</v>
      </c>
      <c r="J1426" t="s">
        <v>100</v>
      </c>
      <c r="K1426" s="2">
        <v>20537</v>
      </c>
      <c r="L1426" t="s">
        <v>142</v>
      </c>
      <c r="M1426" t="s">
        <v>37</v>
      </c>
      <c r="N1426" t="s">
        <v>38</v>
      </c>
      <c r="O1426" t="s">
        <v>39</v>
      </c>
      <c r="P1426" t="s">
        <v>40</v>
      </c>
      <c r="Q1426">
        <v>3</v>
      </c>
      <c r="R1426" s="2">
        <v>44826</v>
      </c>
      <c r="S1426">
        <v>5</v>
      </c>
      <c r="T1426">
        <v>5</v>
      </c>
      <c r="U1426">
        <v>4</v>
      </c>
      <c r="V1426" s="1">
        <v>45059</v>
      </c>
      <c r="W1426" t="s">
        <v>68</v>
      </c>
      <c r="X1426" t="s">
        <v>42</v>
      </c>
      <c r="Y1426" t="s">
        <v>73</v>
      </c>
      <c r="Z1426">
        <v>3</v>
      </c>
      <c r="AA1426">
        <v>453.4</v>
      </c>
      <c r="AB1426">
        <v>66</v>
      </c>
    </row>
    <row r="1427" spans="1:28" x14ac:dyDescent="0.2">
      <c r="A1427">
        <v>1944</v>
      </c>
      <c r="B1427" s="1">
        <v>43963</v>
      </c>
      <c r="C1427" t="s">
        <v>106</v>
      </c>
      <c r="D1427" t="s">
        <v>64</v>
      </c>
      <c r="E1427" t="s">
        <v>30</v>
      </c>
      <c r="F1427" t="s">
        <v>46</v>
      </c>
      <c r="G1427" t="s">
        <v>45</v>
      </c>
      <c r="H1427" t="s">
        <v>55</v>
      </c>
      <c r="I1427" t="s">
        <v>57</v>
      </c>
      <c r="J1427" t="s">
        <v>70</v>
      </c>
      <c r="K1427" s="2">
        <v>23243</v>
      </c>
      <c r="L1427" t="s">
        <v>142</v>
      </c>
      <c r="M1427" t="s">
        <v>37</v>
      </c>
      <c r="N1427" t="s">
        <v>84</v>
      </c>
      <c r="O1427" t="s">
        <v>67</v>
      </c>
      <c r="P1427" t="s">
        <v>40</v>
      </c>
      <c r="Q1427">
        <v>3</v>
      </c>
      <c r="R1427" s="2">
        <v>44907</v>
      </c>
      <c r="S1427">
        <v>1</v>
      </c>
      <c r="T1427">
        <v>4</v>
      </c>
      <c r="U1427">
        <v>1</v>
      </c>
      <c r="V1427" s="1">
        <v>44860</v>
      </c>
      <c r="W1427" t="s">
        <v>68</v>
      </c>
      <c r="X1427" t="s">
        <v>51</v>
      </c>
      <c r="Y1427" t="s">
        <v>63</v>
      </c>
      <c r="Z1427">
        <v>5</v>
      </c>
      <c r="AA1427">
        <v>742.31</v>
      </c>
      <c r="AB1427">
        <v>57</v>
      </c>
    </row>
    <row r="1428" spans="1:28" x14ac:dyDescent="0.2">
      <c r="A1428">
        <v>1945</v>
      </c>
      <c r="B1428" s="1">
        <v>43552</v>
      </c>
      <c r="C1428" t="s">
        <v>140</v>
      </c>
      <c r="D1428" t="s">
        <v>64</v>
      </c>
      <c r="E1428" t="s">
        <v>108</v>
      </c>
      <c r="F1428" t="s">
        <v>55</v>
      </c>
      <c r="G1428" t="s">
        <v>45</v>
      </c>
      <c r="H1428" t="s">
        <v>33</v>
      </c>
      <c r="I1428" t="s">
        <v>57</v>
      </c>
      <c r="J1428" t="s">
        <v>79</v>
      </c>
      <c r="K1428" s="2">
        <v>28173</v>
      </c>
      <c r="L1428" t="s">
        <v>36</v>
      </c>
      <c r="M1428" t="s">
        <v>37</v>
      </c>
      <c r="N1428" t="s">
        <v>38</v>
      </c>
      <c r="O1428" t="s">
        <v>67</v>
      </c>
      <c r="P1428" t="s">
        <v>40</v>
      </c>
      <c r="Q1428">
        <v>3</v>
      </c>
      <c r="R1428" s="2">
        <v>44967</v>
      </c>
      <c r="S1428">
        <v>1</v>
      </c>
      <c r="T1428">
        <v>3</v>
      </c>
      <c r="U1428">
        <v>4</v>
      </c>
      <c r="V1428" s="1">
        <v>44938</v>
      </c>
      <c r="W1428" t="s">
        <v>50</v>
      </c>
      <c r="X1428" t="s">
        <v>51</v>
      </c>
      <c r="Y1428" t="s">
        <v>73</v>
      </c>
      <c r="Z1428">
        <v>5</v>
      </c>
      <c r="AA1428">
        <v>341.94</v>
      </c>
      <c r="AB1428">
        <v>42</v>
      </c>
    </row>
    <row r="1429" spans="1:28" x14ac:dyDescent="0.2">
      <c r="A1429">
        <v>1946</v>
      </c>
      <c r="B1429" s="1">
        <v>43668</v>
      </c>
      <c r="C1429" t="s">
        <v>106</v>
      </c>
      <c r="D1429" t="s">
        <v>74</v>
      </c>
      <c r="E1429" t="s">
        <v>30</v>
      </c>
      <c r="F1429" t="s">
        <v>55</v>
      </c>
      <c r="G1429" t="s">
        <v>45</v>
      </c>
      <c r="H1429" t="s">
        <v>55</v>
      </c>
      <c r="I1429" t="s">
        <v>57</v>
      </c>
      <c r="J1429" t="s">
        <v>47</v>
      </c>
      <c r="K1429" s="2">
        <v>20658</v>
      </c>
      <c r="L1429" t="s">
        <v>142</v>
      </c>
      <c r="M1429" t="s">
        <v>37</v>
      </c>
      <c r="N1429" t="s">
        <v>60</v>
      </c>
      <c r="O1429" t="s">
        <v>39</v>
      </c>
      <c r="P1429" t="s">
        <v>40</v>
      </c>
      <c r="Q1429">
        <v>3</v>
      </c>
      <c r="R1429" s="2">
        <v>44931</v>
      </c>
      <c r="S1429">
        <v>3</v>
      </c>
      <c r="T1429">
        <v>5</v>
      </c>
      <c r="U1429">
        <v>1</v>
      </c>
      <c r="V1429" s="1">
        <v>44803</v>
      </c>
      <c r="W1429" t="s">
        <v>50</v>
      </c>
      <c r="X1429" t="s">
        <v>42</v>
      </c>
      <c r="Y1429" t="s">
        <v>63</v>
      </c>
      <c r="Z1429">
        <v>1</v>
      </c>
      <c r="AA1429">
        <v>967.18</v>
      </c>
      <c r="AB1429">
        <v>63</v>
      </c>
    </row>
    <row r="1430" spans="1:28" x14ac:dyDescent="0.2">
      <c r="A1430">
        <v>1947</v>
      </c>
      <c r="B1430" s="1">
        <v>44091</v>
      </c>
      <c r="C1430" t="s">
        <v>140</v>
      </c>
      <c r="D1430" t="s">
        <v>87</v>
      </c>
      <c r="E1430" t="s">
        <v>30</v>
      </c>
      <c r="F1430" t="s">
        <v>46</v>
      </c>
      <c r="G1430" t="s">
        <v>32</v>
      </c>
      <c r="H1430" t="s">
        <v>33</v>
      </c>
      <c r="I1430" t="s">
        <v>57</v>
      </c>
      <c r="J1430" t="s">
        <v>58</v>
      </c>
      <c r="K1430" s="2">
        <v>30153</v>
      </c>
      <c r="L1430" t="s">
        <v>142</v>
      </c>
      <c r="M1430" t="s">
        <v>37</v>
      </c>
      <c r="N1430" t="s">
        <v>38</v>
      </c>
      <c r="O1430" t="s">
        <v>61</v>
      </c>
      <c r="P1430" t="s">
        <v>40</v>
      </c>
      <c r="Q1430">
        <v>3</v>
      </c>
      <c r="R1430" s="2">
        <v>45105</v>
      </c>
      <c r="S1430">
        <v>1</v>
      </c>
      <c r="T1430">
        <v>3</v>
      </c>
      <c r="U1430">
        <v>3</v>
      </c>
      <c r="V1430" s="1">
        <v>44879</v>
      </c>
      <c r="W1430" t="s">
        <v>92</v>
      </c>
      <c r="X1430" t="s">
        <v>51</v>
      </c>
      <c r="Y1430" t="s">
        <v>43</v>
      </c>
      <c r="Z1430">
        <v>3</v>
      </c>
      <c r="AA1430">
        <v>147.4</v>
      </c>
      <c r="AB1430">
        <v>38</v>
      </c>
    </row>
    <row r="1431" spans="1:28" x14ac:dyDescent="0.2">
      <c r="A1431">
        <v>1948</v>
      </c>
      <c r="B1431" s="1">
        <v>44744</v>
      </c>
      <c r="C1431" t="s">
        <v>106</v>
      </c>
      <c r="D1431" t="s">
        <v>64</v>
      </c>
      <c r="E1431" t="s">
        <v>108</v>
      </c>
      <c r="F1431" t="s">
        <v>46</v>
      </c>
      <c r="G1431" t="s">
        <v>56</v>
      </c>
      <c r="H1431" t="s">
        <v>33</v>
      </c>
      <c r="I1431" t="s">
        <v>57</v>
      </c>
      <c r="J1431" t="s">
        <v>89</v>
      </c>
      <c r="K1431" s="2">
        <v>23353</v>
      </c>
      <c r="L1431" t="s">
        <v>142</v>
      </c>
      <c r="M1431" t="s">
        <v>37</v>
      </c>
      <c r="N1431" t="s">
        <v>72</v>
      </c>
      <c r="O1431" t="s">
        <v>67</v>
      </c>
      <c r="P1431" t="s">
        <v>40</v>
      </c>
      <c r="Q1431">
        <v>3</v>
      </c>
      <c r="R1431" s="2">
        <v>45001</v>
      </c>
      <c r="S1431">
        <v>2</v>
      </c>
      <c r="T1431">
        <v>1</v>
      </c>
      <c r="U1431">
        <v>5</v>
      </c>
      <c r="V1431" s="1">
        <v>45069</v>
      </c>
      <c r="W1431" t="s">
        <v>62</v>
      </c>
      <c r="X1431" t="s">
        <v>51</v>
      </c>
      <c r="Y1431" t="s">
        <v>43</v>
      </c>
      <c r="Z1431">
        <v>4</v>
      </c>
      <c r="AA1431">
        <v>884.26</v>
      </c>
      <c r="AB1431">
        <v>59</v>
      </c>
    </row>
    <row r="1432" spans="1:28" x14ac:dyDescent="0.2">
      <c r="A1432">
        <v>1949</v>
      </c>
      <c r="B1432" s="1">
        <v>43799</v>
      </c>
      <c r="C1432" t="s">
        <v>140</v>
      </c>
      <c r="D1432" t="s">
        <v>87</v>
      </c>
      <c r="E1432" t="s">
        <v>30</v>
      </c>
      <c r="F1432" t="s">
        <v>31</v>
      </c>
      <c r="G1432" t="s">
        <v>45</v>
      </c>
      <c r="H1432" t="s">
        <v>46</v>
      </c>
      <c r="I1432" t="s">
        <v>57</v>
      </c>
      <c r="J1432" t="s">
        <v>70</v>
      </c>
      <c r="K1432" s="2">
        <v>18357</v>
      </c>
      <c r="L1432" t="s">
        <v>142</v>
      </c>
      <c r="M1432" t="s">
        <v>37</v>
      </c>
      <c r="N1432" t="s">
        <v>49</v>
      </c>
      <c r="O1432" t="s">
        <v>77</v>
      </c>
      <c r="P1432" t="s">
        <v>40</v>
      </c>
      <c r="Q1432">
        <v>3</v>
      </c>
      <c r="R1432" s="2">
        <v>44811</v>
      </c>
      <c r="S1432">
        <v>5</v>
      </c>
      <c r="T1432">
        <v>3</v>
      </c>
      <c r="U1432">
        <v>4</v>
      </c>
      <c r="V1432" s="1">
        <v>45044</v>
      </c>
      <c r="W1432" t="s">
        <v>50</v>
      </c>
      <c r="X1432" t="s">
        <v>42</v>
      </c>
      <c r="Y1432" t="s">
        <v>52</v>
      </c>
      <c r="Z1432">
        <v>5</v>
      </c>
      <c r="AA1432">
        <v>592.96</v>
      </c>
      <c r="AB1432">
        <v>69</v>
      </c>
    </row>
    <row r="1433" spans="1:28" x14ac:dyDescent="0.2">
      <c r="A1433">
        <v>1950</v>
      </c>
      <c r="B1433" s="1">
        <v>45128</v>
      </c>
      <c r="C1433" t="s">
        <v>106</v>
      </c>
      <c r="D1433" t="s">
        <v>64</v>
      </c>
      <c r="E1433" t="s">
        <v>108</v>
      </c>
      <c r="F1433" t="s">
        <v>31</v>
      </c>
      <c r="G1433" t="s">
        <v>32</v>
      </c>
      <c r="H1433" t="s">
        <v>33</v>
      </c>
      <c r="I1433" t="s">
        <v>34</v>
      </c>
      <c r="J1433" t="s">
        <v>89</v>
      </c>
      <c r="K1433" s="2">
        <v>21268</v>
      </c>
      <c r="L1433" t="s">
        <v>142</v>
      </c>
      <c r="M1433" t="s">
        <v>37</v>
      </c>
      <c r="N1433" t="s">
        <v>84</v>
      </c>
      <c r="O1433" t="s">
        <v>67</v>
      </c>
      <c r="P1433" t="s">
        <v>40</v>
      </c>
      <c r="Q1433">
        <v>3</v>
      </c>
      <c r="R1433" s="2">
        <v>44821</v>
      </c>
      <c r="S1433">
        <v>3</v>
      </c>
      <c r="T1433">
        <v>2</v>
      </c>
      <c r="U1433">
        <v>1</v>
      </c>
      <c r="V1433" s="1">
        <v>44978</v>
      </c>
      <c r="W1433" t="s">
        <v>62</v>
      </c>
      <c r="X1433" t="s">
        <v>51</v>
      </c>
      <c r="Y1433" t="s">
        <v>73</v>
      </c>
      <c r="Z1433">
        <v>2</v>
      </c>
      <c r="AA1433">
        <v>801.28</v>
      </c>
      <c r="AB1433">
        <v>65</v>
      </c>
    </row>
    <row r="1434" spans="1:28" x14ac:dyDescent="0.2">
      <c r="A1434">
        <v>1951</v>
      </c>
      <c r="B1434" s="1">
        <v>44069</v>
      </c>
      <c r="C1434" t="s">
        <v>140</v>
      </c>
      <c r="D1434" t="s">
        <v>85</v>
      </c>
      <c r="E1434" t="s">
        <v>108</v>
      </c>
      <c r="F1434" t="s">
        <v>55</v>
      </c>
      <c r="G1434" t="s">
        <v>45</v>
      </c>
      <c r="H1434" t="s">
        <v>33</v>
      </c>
      <c r="I1434" t="s">
        <v>57</v>
      </c>
      <c r="J1434" t="s">
        <v>47</v>
      </c>
      <c r="K1434" s="2">
        <v>22198</v>
      </c>
      <c r="L1434" t="s">
        <v>36</v>
      </c>
      <c r="M1434" t="s">
        <v>37</v>
      </c>
      <c r="N1434" t="s">
        <v>84</v>
      </c>
      <c r="O1434" t="s">
        <v>67</v>
      </c>
      <c r="P1434" t="s">
        <v>40</v>
      </c>
      <c r="Q1434">
        <v>3</v>
      </c>
      <c r="R1434" s="2">
        <v>45036</v>
      </c>
      <c r="S1434">
        <v>4</v>
      </c>
      <c r="T1434">
        <v>1</v>
      </c>
      <c r="U1434">
        <v>3</v>
      </c>
      <c r="V1434" s="1">
        <v>45045</v>
      </c>
      <c r="W1434" t="s">
        <v>41</v>
      </c>
      <c r="X1434" t="s">
        <v>42</v>
      </c>
      <c r="Y1434" t="s">
        <v>52</v>
      </c>
      <c r="Z1434">
        <v>2</v>
      </c>
      <c r="AA1434">
        <v>717.95</v>
      </c>
      <c r="AB1434">
        <v>60</v>
      </c>
    </row>
    <row r="1435" spans="1:28" x14ac:dyDescent="0.2">
      <c r="A1435">
        <v>1952</v>
      </c>
      <c r="B1435" s="1">
        <v>43967</v>
      </c>
      <c r="C1435" t="s">
        <v>140</v>
      </c>
      <c r="D1435" t="s">
        <v>64</v>
      </c>
      <c r="E1435" t="s">
        <v>30</v>
      </c>
      <c r="F1435" t="s">
        <v>55</v>
      </c>
      <c r="G1435" t="s">
        <v>45</v>
      </c>
      <c r="H1435" t="s">
        <v>55</v>
      </c>
      <c r="I1435" t="s">
        <v>57</v>
      </c>
      <c r="J1435" t="s">
        <v>111</v>
      </c>
      <c r="K1435" s="2">
        <v>32720</v>
      </c>
      <c r="L1435" t="s">
        <v>142</v>
      </c>
      <c r="M1435" t="s">
        <v>37</v>
      </c>
      <c r="N1435" t="s">
        <v>60</v>
      </c>
      <c r="O1435" t="s">
        <v>77</v>
      </c>
      <c r="P1435" t="s">
        <v>40</v>
      </c>
      <c r="Q1435">
        <v>3</v>
      </c>
      <c r="R1435" s="2">
        <v>45086</v>
      </c>
      <c r="S1435">
        <v>2</v>
      </c>
      <c r="T1435">
        <v>5</v>
      </c>
      <c r="U1435">
        <v>2</v>
      </c>
      <c r="V1435" s="1">
        <v>44990</v>
      </c>
      <c r="W1435" t="s">
        <v>41</v>
      </c>
      <c r="X1435" t="s">
        <v>42</v>
      </c>
      <c r="Y1435" t="s">
        <v>73</v>
      </c>
      <c r="Z1435">
        <v>1</v>
      </c>
      <c r="AA1435">
        <v>846.22</v>
      </c>
      <c r="AB1435">
        <v>31</v>
      </c>
    </row>
    <row r="1436" spans="1:28" x14ac:dyDescent="0.2">
      <c r="A1436">
        <v>1953</v>
      </c>
      <c r="B1436" s="1">
        <v>45022</v>
      </c>
      <c r="C1436" t="s">
        <v>28</v>
      </c>
      <c r="D1436" t="s">
        <v>54</v>
      </c>
      <c r="E1436" t="s">
        <v>30</v>
      </c>
      <c r="F1436" t="s">
        <v>55</v>
      </c>
      <c r="G1436" t="s">
        <v>56</v>
      </c>
      <c r="H1436" t="s">
        <v>55</v>
      </c>
      <c r="I1436" t="s">
        <v>34</v>
      </c>
      <c r="J1436" t="s">
        <v>35</v>
      </c>
      <c r="K1436" s="2">
        <v>27810</v>
      </c>
      <c r="L1436" t="s">
        <v>36</v>
      </c>
      <c r="M1436" t="s">
        <v>37</v>
      </c>
      <c r="N1436" t="s">
        <v>84</v>
      </c>
      <c r="O1436" t="s">
        <v>77</v>
      </c>
      <c r="P1436" t="s">
        <v>40</v>
      </c>
      <c r="Q1436">
        <v>3</v>
      </c>
      <c r="R1436" s="2">
        <v>45023</v>
      </c>
      <c r="S1436">
        <v>4</v>
      </c>
      <c r="T1436">
        <v>5</v>
      </c>
      <c r="U1436">
        <v>4</v>
      </c>
      <c r="V1436" s="1">
        <v>44786</v>
      </c>
      <c r="W1436" t="s">
        <v>41</v>
      </c>
      <c r="X1436" t="s">
        <v>51</v>
      </c>
      <c r="Y1436" t="s">
        <v>73</v>
      </c>
      <c r="Z1436">
        <v>4</v>
      </c>
      <c r="AA1436">
        <v>275.62</v>
      </c>
      <c r="AB1436">
        <v>47</v>
      </c>
    </row>
    <row r="1437" spans="1:28" x14ac:dyDescent="0.2">
      <c r="A1437">
        <v>1954</v>
      </c>
      <c r="B1437" s="1">
        <v>43514</v>
      </c>
      <c r="C1437" t="s">
        <v>106</v>
      </c>
      <c r="D1437" t="s">
        <v>85</v>
      </c>
      <c r="E1437" t="s">
        <v>108</v>
      </c>
      <c r="F1437" t="s">
        <v>46</v>
      </c>
      <c r="G1437" t="s">
        <v>32</v>
      </c>
      <c r="H1437" t="s">
        <v>33</v>
      </c>
      <c r="I1437" t="s">
        <v>34</v>
      </c>
      <c r="J1437" t="s">
        <v>35</v>
      </c>
      <c r="K1437" s="2">
        <v>25041</v>
      </c>
      <c r="L1437" t="s">
        <v>36</v>
      </c>
      <c r="M1437" t="s">
        <v>37</v>
      </c>
      <c r="N1437" t="s">
        <v>60</v>
      </c>
      <c r="O1437" t="s">
        <v>77</v>
      </c>
      <c r="P1437" t="s">
        <v>40</v>
      </c>
      <c r="Q1437">
        <v>3</v>
      </c>
      <c r="R1437" s="2">
        <v>45001</v>
      </c>
      <c r="S1437">
        <v>1</v>
      </c>
      <c r="T1437">
        <v>1</v>
      </c>
      <c r="U1437">
        <v>5</v>
      </c>
      <c r="V1437" s="1">
        <v>44787</v>
      </c>
      <c r="W1437" t="s">
        <v>50</v>
      </c>
      <c r="X1437" t="s">
        <v>51</v>
      </c>
      <c r="Y1437" t="s">
        <v>73</v>
      </c>
      <c r="Z1437">
        <v>5</v>
      </c>
      <c r="AA1437">
        <v>837.05</v>
      </c>
      <c r="AB1437">
        <v>51</v>
      </c>
    </row>
    <row r="1438" spans="1:28" x14ac:dyDescent="0.2">
      <c r="A1438">
        <v>1955</v>
      </c>
      <c r="B1438" s="1">
        <v>44114</v>
      </c>
      <c r="C1438" t="s">
        <v>28</v>
      </c>
      <c r="D1438" t="s">
        <v>87</v>
      </c>
      <c r="E1438" t="s">
        <v>30</v>
      </c>
      <c r="F1438" t="s">
        <v>55</v>
      </c>
      <c r="G1438" t="s">
        <v>45</v>
      </c>
      <c r="H1438" t="s">
        <v>33</v>
      </c>
      <c r="I1438" t="s">
        <v>34</v>
      </c>
      <c r="J1438" t="s">
        <v>70</v>
      </c>
      <c r="K1438" s="2">
        <v>35889</v>
      </c>
      <c r="L1438" t="s">
        <v>36</v>
      </c>
      <c r="M1438" t="s">
        <v>48</v>
      </c>
      <c r="N1438" t="s">
        <v>38</v>
      </c>
      <c r="O1438" t="s">
        <v>67</v>
      </c>
      <c r="P1438" t="s">
        <v>40</v>
      </c>
      <c r="Q1438">
        <v>3</v>
      </c>
      <c r="R1438" s="2">
        <v>44800</v>
      </c>
      <c r="S1438">
        <v>2</v>
      </c>
      <c r="T1438">
        <v>3</v>
      </c>
      <c r="U1438">
        <v>4</v>
      </c>
      <c r="V1438" s="1">
        <v>45129</v>
      </c>
      <c r="W1438" t="s">
        <v>41</v>
      </c>
      <c r="X1438" t="s">
        <v>42</v>
      </c>
      <c r="Y1438" t="s">
        <v>52</v>
      </c>
      <c r="Z1438">
        <v>3</v>
      </c>
      <c r="AA1438">
        <v>202.35</v>
      </c>
      <c r="AB1438">
        <v>22</v>
      </c>
    </row>
    <row r="1439" spans="1:28" x14ac:dyDescent="0.2">
      <c r="A1439">
        <v>1956</v>
      </c>
      <c r="B1439" s="1">
        <v>44331</v>
      </c>
      <c r="C1439" t="s">
        <v>28</v>
      </c>
      <c r="D1439" t="s">
        <v>54</v>
      </c>
      <c r="E1439" t="s">
        <v>30</v>
      </c>
      <c r="F1439" t="s">
        <v>46</v>
      </c>
      <c r="G1439" t="s">
        <v>45</v>
      </c>
      <c r="H1439" t="s">
        <v>55</v>
      </c>
      <c r="I1439" t="s">
        <v>34</v>
      </c>
      <c r="J1439" t="s">
        <v>109</v>
      </c>
      <c r="K1439" s="2">
        <v>21537</v>
      </c>
      <c r="L1439" t="s">
        <v>36</v>
      </c>
      <c r="M1439" t="s">
        <v>37</v>
      </c>
      <c r="N1439" t="s">
        <v>72</v>
      </c>
      <c r="O1439" t="s">
        <v>67</v>
      </c>
      <c r="P1439" t="s">
        <v>40</v>
      </c>
      <c r="Q1439">
        <v>3</v>
      </c>
      <c r="R1439" s="2">
        <v>44949</v>
      </c>
      <c r="S1439">
        <v>1</v>
      </c>
      <c r="T1439">
        <v>5</v>
      </c>
      <c r="U1439">
        <v>4</v>
      </c>
      <c r="V1439" s="1">
        <v>45082</v>
      </c>
      <c r="W1439" t="s">
        <v>92</v>
      </c>
      <c r="X1439" t="s">
        <v>51</v>
      </c>
      <c r="Y1439" t="s">
        <v>73</v>
      </c>
      <c r="Z1439">
        <v>4</v>
      </c>
      <c r="AA1439">
        <v>590.97</v>
      </c>
      <c r="AB1439">
        <v>63</v>
      </c>
    </row>
    <row r="1440" spans="1:28" x14ac:dyDescent="0.2">
      <c r="A1440">
        <v>1957</v>
      </c>
      <c r="B1440" s="1">
        <v>43598</v>
      </c>
      <c r="C1440" t="s">
        <v>28</v>
      </c>
      <c r="D1440" t="s">
        <v>64</v>
      </c>
      <c r="E1440" t="s">
        <v>108</v>
      </c>
      <c r="F1440" t="s">
        <v>46</v>
      </c>
      <c r="G1440" t="s">
        <v>32</v>
      </c>
      <c r="H1440" t="s">
        <v>55</v>
      </c>
      <c r="I1440" t="s">
        <v>34</v>
      </c>
      <c r="J1440" t="s">
        <v>70</v>
      </c>
      <c r="K1440" s="2">
        <v>27440</v>
      </c>
      <c r="L1440" t="s">
        <v>36</v>
      </c>
      <c r="M1440" t="s">
        <v>37</v>
      </c>
      <c r="N1440" t="s">
        <v>84</v>
      </c>
      <c r="O1440" t="s">
        <v>39</v>
      </c>
      <c r="P1440" t="s">
        <v>40</v>
      </c>
      <c r="Q1440">
        <v>3</v>
      </c>
      <c r="R1440" s="2">
        <v>45002</v>
      </c>
      <c r="S1440">
        <v>5</v>
      </c>
      <c r="T1440">
        <v>2</v>
      </c>
      <c r="U1440">
        <v>2</v>
      </c>
      <c r="V1440" s="1">
        <v>45030</v>
      </c>
      <c r="W1440" t="s">
        <v>50</v>
      </c>
      <c r="X1440" t="s">
        <v>51</v>
      </c>
      <c r="Y1440" t="s">
        <v>43</v>
      </c>
      <c r="Z1440">
        <v>5</v>
      </c>
      <c r="AA1440">
        <v>744.55</v>
      </c>
      <c r="AB1440">
        <v>44</v>
      </c>
    </row>
    <row r="1441" spans="1:28" x14ac:dyDescent="0.2">
      <c r="A1441">
        <v>1958</v>
      </c>
      <c r="B1441" s="1">
        <v>43650</v>
      </c>
      <c r="C1441" t="s">
        <v>28</v>
      </c>
      <c r="D1441" t="s">
        <v>94</v>
      </c>
      <c r="E1441" t="s">
        <v>30</v>
      </c>
      <c r="F1441" t="s">
        <v>31</v>
      </c>
      <c r="G1441" t="s">
        <v>56</v>
      </c>
      <c r="H1441" t="s">
        <v>55</v>
      </c>
      <c r="I1441" t="s">
        <v>34</v>
      </c>
      <c r="J1441" t="s">
        <v>118</v>
      </c>
      <c r="K1441" s="2">
        <v>33164</v>
      </c>
      <c r="L1441" t="s">
        <v>36</v>
      </c>
      <c r="M1441" t="s">
        <v>37</v>
      </c>
      <c r="N1441" t="s">
        <v>60</v>
      </c>
      <c r="O1441" t="s">
        <v>67</v>
      </c>
      <c r="P1441" t="s">
        <v>40</v>
      </c>
      <c r="Q1441">
        <v>3</v>
      </c>
      <c r="R1441" s="2">
        <v>44839</v>
      </c>
      <c r="S1441">
        <v>4</v>
      </c>
      <c r="T1441">
        <v>2</v>
      </c>
      <c r="U1441">
        <v>5</v>
      </c>
      <c r="V1441" s="1">
        <v>45069</v>
      </c>
      <c r="W1441" t="s">
        <v>92</v>
      </c>
      <c r="X1441" t="s">
        <v>42</v>
      </c>
      <c r="Y1441" t="s">
        <v>52</v>
      </c>
      <c r="Z1441">
        <v>2</v>
      </c>
      <c r="AA1441">
        <v>141.91</v>
      </c>
      <c r="AB1441">
        <v>29</v>
      </c>
    </row>
    <row r="1442" spans="1:28" x14ac:dyDescent="0.2">
      <c r="A1442">
        <v>1959</v>
      </c>
      <c r="B1442" s="1">
        <v>44652</v>
      </c>
      <c r="C1442" t="s">
        <v>28</v>
      </c>
      <c r="D1442" t="s">
        <v>29</v>
      </c>
      <c r="E1442" t="s">
        <v>30</v>
      </c>
      <c r="F1442" t="s">
        <v>46</v>
      </c>
      <c r="G1442" t="s">
        <v>56</v>
      </c>
      <c r="H1442" t="s">
        <v>33</v>
      </c>
      <c r="I1442" t="s">
        <v>34</v>
      </c>
      <c r="J1442" t="s">
        <v>96</v>
      </c>
      <c r="K1442" s="2">
        <v>32722</v>
      </c>
      <c r="L1442" t="s">
        <v>36</v>
      </c>
      <c r="M1442" t="s">
        <v>37</v>
      </c>
      <c r="N1442" t="s">
        <v>84</v>
      </c>
      <c r="O1442" t="s">
        <v>67</v>
      </c>
      <c r="P1442" t="s">
        <v>40</v>
      </c>
      <c r="Q1442">
        <v>3</v>
      </c>
      <c r="R1442" s="2">
        <v>44930</v>
      </c>
      <c r="S1442">
        <v>5</v>
      </c>
      <c r="T1442">
        <v>3</v>
      </c>
      <c r="U1442">
        <v>4</v>
      </c>
      <c r="V1442" s="1">
        <v>44817</v>
      </c>
      <c r="W1442" t="s">
        <v>62</v>
      </c>
      <c r="X1442" t="s">
        <v>51</v>
      </c>
      <c r="Y1442" t="s">
        <v>63</v>
      </c>
      <c r="Z1442">
        <v>2</v>
      </c>
      <c r="AA1442">
        <v>883.34</v>
      </c>
      <c r="AB1442">
        <v>33</v>
      </c>
    </row>
    <row r="1443" spans="1:28" x14ac:dyDescent="0.2">
      <c r="A1443">
        <v>1960</v>
      </c>
      <c r="B1443" s="1">
        <v>43407</v>
      </c>
      <c r="C1443" t="s">
        <v>28</v>
      </c>
      <c r="D1443" t="s">
        <v>94</v>
      </c>
      <c r="E1443" t="s">
        <v>30</v>
      </c>
      <c r="F1443" t="s">
        <v>55</v>
      </c>
      <c r="G1443" t="s">
        <v>45</v>
      </c>
      <c r="H1443" t="s">
        <v>46</v>
      </c>
      <c r="I1443" t="s">
        <v>34</v>
      </c>
      <c r="J1443" t="s">
        <v>47</v>
      </c>
      <c r="K1443" s="2">
        <v>17679</v>
      </c>
      <c r="L1443" t="s">
        <v>36</v>
      </c>
      <c r="M1443" t="s">
        <v>48</v>
      </c>
      <c r="N1443" t="s">
        <v>38</v>
      </c>
      <c r="O1443" t="s">
        <v>77</v>
      </c>
      <c r="P1443" t="s">
        <v>40</v>
      </c>
      <c r="Q1443">
        <v>3</v>
      </c>
      <c r="R1443" s="2">
        <v>44932</v>
      </c>
      <c r="S1443">
        <v>3</v>
      </c>
      <c r="T1443">
        <v>4</v>
      </c>
      <c r="U1443">
        <v>1</v>
      </c>
      <c r="V1443" s="1">
        <v>45044</v>
      </c>
      <c r="W1443" t="s">
        <v>41</v>
      </c>
      <c r="X1443" t="s">
        <v>42</v>
      </c>
      <c r="Y1443" t="s">
        <v>73</v>
      </c>
      <c r="Z1443">
        <v>4</v>
      </c>
      <c r="AA1443">
        <v>176.82</v>
      </c>
      <c r="AB1443">
        <v>70</v>
      </c>
    </row>
    <row r="1444" spans="1:28" x14ac:dyDescent="0.2">
      <c r="A1444">
        <v>1961</v>
      </c>
      <c r="B1444" s="1">
        <v>43384</v>
      </c>
      <c r="C1444" t="s">
        <v>28</v>
      </c>
      <c r="D1444" t="s">
        <v>64</v>
      </c>
      <c r="E1444" t="s">
        <v>108</v>
      </c>
      <c r="F1444" t="s">
        <v>46</v>
      </c>
      <c r="G1444" t="s">
        <v>45</v>
      </c>
      <c r="H1444" t="s">
        <v>55</v>
      </c>
      <c r="I1444" t="s">
        <v>34</v>
      </c>
      <c r="J1444" t="s">
        <v>75</v>
      </c>
      <c r="K1444" s="2">
        <v>16635</v>
      </c>
      <c r="L1444" t="s">
        <v>36</v>
      </c>
      <c r="M1444" t="s">
        <v>37</v>
      </c>
      <c r="N1444" t="s">
        <v>72</v>
      </c>
      <c r="O1444" t="s">
        <v>67</v>
      </c>
      <c r="P1444" t="s">
        <v>40</v>
      </c>
      <c r="Q1444">
        <v>3</v>
      </c>
      <c r="R1444" s="2">
        <v>44916</v>
      </c>
      <c r="S1444">
        <v>2</v>
      </c>
      <c r="T1444">
        <v>3</v>
      </c>
      <c r="U1444">
        <v>1</v>
      </c>
      <c r="V1444" s="1">
        <v>45041</v>
      </c>
      <c r="W1444" t="s">
        <v>50</v>
      </c>
      <c r="X1444" t="s">
        <v>51</v>
      </c>
      <c r="Y1444" t="s">
        <v>43</v>
      </c>
      <c r="Z1444">
        <v>1</v>
      </c>
      <c r="AA1444">
        <v>767.22</v>
      </c>
      <c r="AB1444">
        <v>73</v>
      </c>
    </row>
    <row r="1445" spans="1:28" x14ac:dyDescent="0.2">
      <c r="A1445">
        <v>1962</v>
      </c>
      <c r="B1445" s="1">
        <v>45102</v>
      </c>
      <c r="C1445" t="s">
        <v>106</v>
      </c>
      <c r="D1445" t="s">
        <v>29</v>
      </c>
      <c r="E1445" t="s">
        <v>30</v>
      </c>
      <c r="F1445" t="s">
        <v>31</v>
      </c>
      <c r="G1445" t="s">
        <v>32</v>
      </c>
      <c r="H1445" t="s">
        <v>46</v>
      </c>
      <c r="I1445" t="s">
        <v>34</v>
      </c>
      <c r="J1445" t="s">
        <v>65</v>
      </c>
      <c r="K1445" s="2">
        <v>18677</v>
      </c>
      <c r="L1445" t="s">
        <v>36</v>
      </c>
      <c r="M1445" t="s">
        <v>37</v>
      </c>
      <c r="N1445" t="s">
        <v>60</v>
      </c>
      <c r="O1445" t="s">
        <v>77</v>
      </c>
      <c r="P1445" t="s">
        <v>40</v>
      </c>
      <c r="Q1445">
        <v>3</v>
      </c>
      <c r="R1445" s="2">
        <v>44809</v>
      </c>
      <c r="S1445">
        <v>2</v>
      </c>
      <c r="T1445">
        <v>4</v>
      </c>
      <c r="U1445">
        <v>1</v>
      </c>
      <c r="V1445" s="1">
        <v>44836</v>
      </c>
      <c r="W1445" t="s">
        <v>41</v>
      </c>
      <c r="X1445" t="s">
        <v>51</v>
      </c>
      <c r="Y1445" t="s">
        <v>63</v>
      </c>
      <c r="Z1445">
        <v>5</v>
      </c>
      <c r="AA1445">
        <v>555.6</v>
      </c>
      <c r="AB1445">
        <v>72</v>
      </c>
    </row>
    <row r="1446" spans="1:28" x14ac:dyDescent="0.2">
      <c r="A1446">
        <v>1963</v>
      </c>
      <c r="B1446" s="1">
        <v>44088</v>
      </c>
      <c r="C1446" t="s">
        <v>28</v>
      </c>
      <c r="D1446" t="s">
        <v>29</v>
      </c>
      <c r="E1446" t="s">
        <v>108</v>
      </c>
      <c r="F1446" t="s">
        <v>31</v>
      </c>
      <c r="G1446" t="s">
        <v>56</v>
      </c>
      <c r="H1446" t="s">
        <v>55</v>
      </c>
      <c r="I1446" t="s">
        <v>34</v>
      </c>
      <c r="J1446" t="s">
        <v>65</v>
      </c>
      <c r="K1446" s="2">
        <v>26427</v>
      </c>
      <c r="L1446" t="s">
        <v>36</v>
      </c>
      <c r="M1446" t="s">
        <v>37</v>
      </c>
      <c r="N1446" t="s">
        <v>60</v>
      </c>
      <c r="O1446" t="s">
        <v>67</v>
      </c>
      <c r="P1446" t="s">
        <v>40</v>
      </c>
      <c r="Q1446">
        <v>3</v>
      </c>
      <c r="R1446" s="2">
        <v>44796</v>
      </c>
      <c r="S1446">
        <v>2</v>
      </c>
      <c r="T1446">
        <v>5</v>
      </c>
      <c r="U1446">
        <v>3</v>
      </c>
      <c r="V1446" s="1">
        <v>45090</v>
      </c>
      <c r="W1446" t="s">
        <v>68</v>
      </c>
      <c r="X1446" t="s">
        <v>42</v>
      </c>
      <c r="Y1446" t="s">
        <v>52</v>
      </c>
      <c r="Z1446">
        <v>2</v>
      </c>
      <c r="AA1446">
        <v>316.02999999999997</v>
      </c>
      <c r="AB1446">
        <v>48</v>
      </c>
    </row>
    <row r="1447" spans="1:28" x14ac:dyDescent="0.2">
      <c r="A1447">
        <v>1964</v>
      </c>
      <c r="B1447" s="1">
        <v>44915</v>
      </c>
      <c r="C1447" t="s">
        <v>28</v>
      </c>
      <c r="D1447" t="s">
        <v>44</v>
      </c>
      <c r="E1447" t="s">
        <v>108</v>
      </c>
      <c r="F1447" t="s">
        <v>46</v>
      </c>
      <c r="G1447" t="s">
        <v>56</v>
      </c>
      <c r="H1447" t="s">
        <v>46</v>
      </c>
      <c r="I1447" t="s">
        <v>34</v>
      </c>
      <c r="J1447" t="s">
        <v>82</v>
      </c>
      <c r="K1447" s="2">
        <v>25289</v>
      </c>
      <c r="L1447" t="s">
        <v>36</v>
      </c>
      <c r="M1447" t="s">
        <v>37</v>
      </c>
      <c r="N1447" t="s">
        <v>60</v>
      </c>
      <c r="O1447" t="s">
        <v>67</v>
      </c>
      <c r="P1447" t="s">
        <v>40</v>
      </c>
      <c r="Q1447">
        <v>3</v>
      </c>
      <c r="R1447" s="2">
        <v>44886</v>
      </c>
      <c r="S1447">
        <v>5</v>
      </c>
      <c r="T1447">
        <v>5</v>
      </c>
      <c r="U1447">
        <v>5</v>
      </c>
      <c r="V1447" s="1">
        <v>45068</v>
      </c>
      <c r="W1447" t="s">
        <v>50</v>
      </c>
      <c r="X1447" t="s">
        <v>42</v>
      </c>
      <c r="Y1447" t="s">
        <v>43</v>
      </c>
      <c r="Z1447">
        <v>1</v>
      </c>
      <c r="AA1447">
        <v>540.96</v>
      </c>
      <c r="AB1447">
        <v>53</v>
      </c>
    </row>
    <row r="1448" spans="1:28" x14ac:dyDescent="0.2">
      <c r="A1448">
        <v>1965</v>
      </c>
      <c r="B1448" s="1">
        <v>44615</v>
      </c>
      <c r="C1448" t="s">
        <v>106</v>
      </c>
      <c r="D1448" t="s">
        <v>29</v>
      </c>
      <c r="E1448" t="s">
        <v>30</v>
      </c>
      <c r="F1448" t="s">
        <v>55</v>
      </c>
      <c r="G1448" t="s">
        <v>45</v>
      </c>
      <c r="H1448" t="s">
        <v>33</v>
      </c>
      <c r="I1448" t="s">
        <v>34</v>
      </c>
      <c r="J1448" t="s">
        <v>65</v>
      </c>
      <c r="K1448" s="2">
        <v>18110</v>
      </c>
      <c r="L1448" t="s">
        <v>36</v>
      </c>
      <c r="M1448" t="s">
        <v>37</v>
      </c>
      <c r="N1448" t="s">
        <v>38</v>
      </c>
      <c r="O1448" t="s">
        <v>39</v>
      </c>
      <c r="P1448" t="s">
        <v>40</v>
      </c>
      <c r="Q1448">
        <v>3</v>
      </c>
      <c r="R1448" s="2">
        <v>44972</v>
      </c>
      <c r="S1448">
        <v>3</v>
      </c>
      <c r="T1448">
        <v>1</v>
      </c>
      <c r="U1448">
        <v>1</v>
      </c>
      <c r="V1448" s="1">
        <v>44850</v>
      </c>
      <c r="W1448" t="s">
        <v>41</v>
      </c>
      <c r="X1448" t="s">
        <v>51</v>
      </c>
      <c r="Y1448" t="s">
        <v>43</v>
      </c>
      <c r="Z1448">
        <v>3</v>
      </c>
      <c r="AA1448">
        <v>444.23</v>
      </c>
      <c r="AB1448">
        <v>73</v>
      </c>
    </row>
    <row r="1449" spans="1:28" x14ac:dyDescent="0.2">
      <c r="A1449">
        <v>1966</v>
      </c>
      <c r="B1449" s="1">
        <v>43616</v>
      </c>
      <c r="C1449" t="s">
        <v>106</v>
      </c>
      <c r="D1449" t="s">
        <v>64</v>
      </c>
      <c r="E1449" t="s">
        <v>30</v>
      </c>
      <c r="F1449" t="s">
        <v>55</v>
      </c>
      <c r="G1449" t="s">
        <v>32</v>
      </c>
      <c r="H1449" t="s">
        <v>46</v>
      </c>
      <c r="I1449" t="s">
        <v>34</v>
      </c>
      <c r="J1449" t="s">
        <v>65</v>
      </c>
      <c r="K1449" s="2">
        <v>25996</v>
      </c>
      <c r="L1449" t="s">
        <v>36</v>
      </c>
      <c r="M1449" t="s">
        <v>37</v>
      </c>
      <c r="N1449" t="s">
        <v>60</v>
      </c>
      <c r="O1449" t="s">
        <v>39</v>
      </c>
      <c r="P1449" t="s">
        <v>40</v>
      </c>
      <c r="Q1449">
        <v>3</v>
      </c>
      <c r="R1449" s="2">
        <v>44863</v>
      </c>
      <c r="S1449">
        <v>4</v>
      </c>
      <c r="T1449">
        <v>3</v>
      </c>
      <c r="U1449">
        <v>2</v>
      </c>
      <c r="V1449" s="1">
        <v>45065</v>
      </c>
      <c r="W1449" t="s">
        <v>92</v>
      </c>
      <c r="X1449" t="s">
        <v>42</v>
      </c>
      <c r="Y1449" t="s">
        <v>43</v>
      </c>
      <c r="Z1449">
        <v>5</v>
      </c>
      <c r="AA1449">
        <v>497.54</v>
      </c>
      <c r="AB1449">
        <v>48</v>
      </c>
    </row>
    <row r="1450" spans="1:28" x14ac:dyDescent="0.2">
      <c r="A1450">
        <v>1967</v>
      </c>
      <c r="B1450" s="1">
        <v>43494</v>
      </c>
      <c r="C1450" t="s">
        <v>28</v>
      </c>
      <c r="D1450" t="s">
        <v>54</v>
      </c>
      <c r="E1450" t="s">
        <v>30</v>
      </c>
      <c r="F1450" t="s">
        <v>46</v>
      </c>
      <c r="G1450" t="s">
        <v>45</v>
      </c>
      <c r="H1450" t="s">
        <v>46</v>
      </c>
      <c r="I1450" t="s">
        <v>34</v>
      </c>
      <c r="J1450" t="s">
        <v>65</v>
      </c>
      <c r="K1450" s="2">
        <v>34679</v>
      </c>
      <c r="L1450" t="s">
        <v>36</v>
      </c>
      <c r="M1450" t="s">
        <v>37</v>
      </c>
      <c r="N1450" t="s">
        <v>60</v>
      </c>
      <c r="O1450" t="s">
        <v>61</v>
      </c>
      <c r="P1450" t="s">
        <v>40</v>
      </c>
      <c r="Q1450">
        <v>3</v>
      </c>
      <c r="R1450" s="2">
        <v>44983</v>
      </c>
      <c r="S1450">
        <v>4</v>
      </c>
      <c r="T1450">
        <v>2</v>
      </c>
      <c r="U1450">
        <v>4</v>
      </c>
      <c r="V1450" s="1">
        <v>45130</v>
      </c>
      <c r="W1450" t="s">
        <v>50</v>
      </c>
      <c r="X1450" t="s">
        <v>42</v>
      </c>
      <c r="Y1450" t="s">
        <v>52</v>
      </c>
      <c r="Z1450">
        <v>4</v>
      </c>
      <c r="AA1450">
        <v>300.95</v>
      </c>
      <c r="AB1450">
        <v>25</v>
      </c>
    </row>
    <row r="1451" spans="1:28" x14ac:dyDescent="0.2">
      <c r="A1451">
        <v>1968</v>
      </c>
      <c r="B1451" s="1">
        <v>43709</v>
      </c>
      <c r="C1451" t="s">
        <v>28</v>
      </c>
      <c r="D1451" t="s">
        <v>81</v>
      </c>
      <c r="E1451" t="s">
        <v>30</v>
      </c>
      <c r="F1451" t="s">
        <v>55</v>
      </c>
      <c r="G1451" t="s">
        <v>56</v>
      </c>
      <c r="H1451" t="s">
        <v>33</v>
      </c>
      <c r="I1451" t="s">
        <v>34</v>
      </c>
      <c r="J1451" t="s">
        <v>65</v>
      </c>
      <c r="K1451" s="2">
        <v>20269</v>
      </c>
      <c r="L1451" t="s">
        <v>36</v>
      </c>
      <c r="M1451" t="s">
        <v>37</v>
      </c>
      <c r="N1451" t="s">
        <v>84</v>
      </c>
      <c r="O1451" t="s">
        <v>39</v>
      </c>
      <c r="P1451" t="s">
        <v>40</v>
      </c>
      <c r="Q1451">
        <v>3</v>
      </c>
      <c r="R1451" s="2">
        <v>44922</v>
      </c>
      <c r="S1451">
        <v>1</v>
      </c>
      <c r="T1451">
        <v>4</v>
      </c>
      <c r="U1451">
        <v>2</v>
      </c>
      <c r="V1451" s="1">
        <v>44890</v>
      </c>
      <c r="W1451" t="s">
        <v>50</v>
      </c>
      <c r="X1451" t="s">
        <v>42</v>
      </c>
      <c r="Y1451" t="s">
        <v>52</v>
      </c>
      <c r="Z1451">
        <v>2</v>
      </c>
      <c r="AA1451">
        <v>283.06</v>
      </c>
      <c r="AB1451">
        <v>64</v>
      </c>
    </row>
    <row r="1452" spans="1:28" x14ac:dyDescent="0.2">
      <c r="A1452">
        <v>1970</v>
      </c>
      <c r="B1452" s="1">
        <v>44672</v>
      </c>
      <c r="C1452" t="s">
        <v>28</v>
      </c>
      <c r="D1452" t="s">
        <v>94</v>
      </c>
      <c r="E1452" t="s">
        <v>30</v>
      </c>
      <c r="F1452" t="s">
        <v>46</v>
      </c>
      <c r="G1452" t="s">
        <v>32</v>
      </c>
      <c r="H1452" t="s">
        <v>33</v>
      </c>
      <c r="I1452" t="s">
        <v>34</v>
      </c>
      <c r="J1452" t="s">
        <v>70</v>
      </c>
      <c r="K1452" s="2">
        <v>19101</v>
      </c>
      <c r="L1452" t="s">
        <v>36</v>
      </c>
      <c r="M1452" t="s">
        <v>37</v>
      </c>
      <c r="N1452" t="s">
        <v>60</v>
      </c>
      <c r="O1452" t="s">
        <v>61</v>
      </c>
      <c r="P1452" t="s">
        <v>40</v>
      </c>
      <c r="Q1452">
        <v>3</v>
      </c>
      <c r="R1452" s="2">
        <v>44991</v>
      </c>
      <c r="S1452">
        <v>5</v>
      </c>
      <c r="T1452">
        <v>4</v>
      </c>
      <c r="U1452">
        <v>4</v>
      </c>
      <c r="V1452" s="1">
        <v>45012</v>
      </c>
      <c r="W1452" t="s">
        <v>41</v>
      </c>
      <c r="X1452" t="s">
        <v>51</v>
      </c>
      <c r="Y1452" t="s">
        <v>43</v>
      </c>
      <c r="Z1452">
        <v>1</v>
      </c>
      <c r="AA1452">
        <v>398.23</v>
      </c>
      <c r="AB1452">
        <v>70</v>
      </c>
    </row>
    <row r="1453" spans="1:28" x14ac:dyDescent="0.2">
      <c r="A1453">
        <v>1971</v>
      </c>
      <c r="B1453" s="1">
        <v>43358</v>
      </c>
      <c r="C1453" t="s">
        <v>106</v>
      </c>
      <c r="D1453" t="s">
        <v>87</v>
      </c>
      <c r="E1453" t="s">
        <v>108</v>
      </c>
      <c r="F1453" t="s">
        <v>46</v>
      </c>
      <c r="G1453" t="s">
        <v>32</v>
      </c>
      <c r="H1453" t="s">
        <v>55</v>
      </c>
      <c r="I1453" t="s">
        <v>34</v>
      </c>
      <c r="J1453" t="s">
        <v>65</v>
      </c>
      <c r="K1453" s="2">
        <v>34375</v>
      </c>
      <c r="L1453" t="s">
        <v>36</v>
      </c>
      <c r="M1453" t="s">
        <v>37</v>
      </c>
      <c r="N1453" t="s">
        <v>60</v>
      </c>
      <c r="O1453" t="s">
        <v>77</v>
      </c>
      <c r="P1453" t="s">
        <v>40</v>
      </c>
      <c r="Q1453">
        <v>3</v>
      </c>
      <c r="R1453" s="2">
        <v>45073</v>
      </c>
      <c r="S1453">
        <v>3</v>
      </c>
      <c r="T1453">
        <v>2</v>
      </c>
      <c r="U1453">
        <v>1</v>
      </c>
      <c r="V1453" s="1">
        <v>44915</v>
      </c>
      <c r="W1453" t="s">
        <v>41</v>
      </c>
      <c r="X1453" t="s">
        <v>51</v>
      </c>
      <c r="Y1453" t="s">
        <v>52</v>
      </c>
      <c r="Z1453">
        <v>1</v>
      </c>
      <c r="AA1453">
        <v>331.8</v>
      </c>
      <c r="AB1453">
        <v>24</v>
      </c>
    </row>
    <row r="1454" spans="1:28" x14ac:dyDescent="0.2">
      <c r="A1454">
        <v>1972</v>
      </c>
      <c r="B1454" s="1">
        <v>44534</v>
      </c>
      <c r="C1454" t="s">
        <v>106</v>
      </c>
      <c r="D1454" t="s">
        <v>44</v>
      </c>
      <c r="E1454" t="s">
        <v>30</v>
      </c>
      <c r="F1454" t="s">
        <v>31</v>
      </c>
      <c r="G1454" t="s">
        <v>45</v>
      </c>
      <c r="H1454" t="s">
        <v>33</v>
      </c>
      <c r="I1454" t="s">
        <v>34</v>
      </c>
      <c r="J1454" t="s">
        <v>70</v>
      </c>
      <c r="K1454" s="2">
        <v>35087</v>
      </c>
      <c r="L1454" t="s">
        <v>36</v>
      </c>
      <c r="M1454" t="s">
        <v>48</v>
      </c>
      <c r="N1454" t="s">
        <v>84</v>
      </c>
      <c r="O1454" t="s">
        <v>61</v>
      </c>
      <c r="P1454" t="s">
        <v>40</v>
      </c>
      <c r="Q1454">
        <v>3</v>
      </c>
      <c r="R1454" s="2">
        <v>45000</v>
      </c>
      <c r="S1454">
        <v>2</v>
      </c>
      <c r="T1454">
        <v>2</v>
      </c>
      <c r="U1454">
        <v>3</v>
      </c>
      <c r="V1454" s="1">
        <v>45042</v>
      </c>
      <c r="W1454" t="s">
        <v>41</v>
      </c>
      <c r="X1454" t="s">
        <v>51</v>
      </c>
      <c r="Y1454" t="s">
        <v>52</v>
      </c>
      <c r="Z1454">
        <v>4</v>
      </c>
      <c r="AA1454">
        <v>349.48</v>
      </c>
      <c r="AB1454">
        <v>25</v>
      </c>
    </row>
    <row r="1455" spans="1:28" x14ac:dyDescent="0.2">
      <c r="A1455">
        <v>1973</v>
      </c>
      <c r="B1455" s="1">
        <v>43783</v>
      </c>
      <c r="C1455" t="s">
        <v>106</v>
      </c>
      <c r="D1455" t="s">
        <v>69</v>
      </c>
      <c r="E1455" t="s">
        <v>30</v>
      </c>
      <c r="F1455" t="s">
        <v>55</v>
      </c>
      <c r="G1455" t="s">
        <v>56</v>
      </c>
      <c r="H1455" t="s">
        <v>55</v>
      </c>
      <c r="I1455" t="s">
        <v>34</v>
      </c>
      <c r="J1455" t="s">
        <v>65</v>
      </c>
      <c r="K1455" s="2">
        <v>33521</v>
      </c>
      <c r="L1455" t="s">
        <v>36</v>
      </c>
      <c r="M1455" t="s">
        <v>37</v>
      </c>
      <c r="N1455" t="s">
        <v>72</v>
      </c>
      <c r="O1455" t="s">
        <v>67</v>
      </c>
      <c r="P1455" t="s">
        <v>40</v>
      </c>
      <c r="Q1455">
        <v>3</v>
      </c>
      <c r="R1455" s="2">
        <v>44803</v>
      </c>
      <c r="S1455">
        <v>4</v>
      </c>
      <c r="T1455">
        <v>2</v>
      </c>
      <c r="U1455">
        <v>3</v>
      </c>
      <c r="V1455" s="1">
        <v>45017</v>
      </c>
      <c r="W1455" t="s">
        <v>92</v>
      </c>
      <c r="X1455" t="s">
        <v>51</v>
      </c>
      <c r="Y1455" t="s">
        <v>43</v>
      </c>
      <c r="Z1455">
        <v>1</v>
      </c>
      <c r="AA1455">
        <v>596.48</v>
      </c>
      <c r="AB1455">
        <v>28</v>
      </c>
    </row>
    <row r="1456" spans="1:28" x14ac:dyDescent="0.2">
      <c r="A1456">
        <v>1974</v>
      </c>
      <c r="B1456" s="1">
        <v>44300</v>
      </c>
      <c r="C1456" t="s">
        <v>28</v>
      </c>
      <c r="D1456" t="s">
        <v>81</v>
      </c>
      <c r="E1456" t="s">
        <v>30</v>
      </c>
      <c r="F1456" t="s">
        <v>46</v>
      </c>
      <c r="G1456" t="s">
        <v>45</v>
      </c>
      <c r="H1456" t="s">
        <v>33</v>
      </c>
      <c r="I1456" t="s">
        <v>34</v>
      </c>
      <c r="J1456" t="s">
        <v>47</v>
      </c>
      <c r="K1456" s="2">
        <v>25201</v>
      </c>
      <c r="L1456" t="s">
        <v>36</v>
      </c>
      <c r="M1456" t="s">
        <v>37</v>
      </c>
      <c r="N1456" t="s">
        <v>38</v>
      </c>
      <c r="O1456" t="s">
        <v>39</v>
      </c>
      <c r="P1456" t="s">
        <v>40</v>
      </c>
      <c r="Q1456">
        <v>3</v>
      </c>
      <c r="R1456" s="2">
        <v>44943</v>
      </c>
      <c r="S1456">
        <v>4</v>
      </c>
      <c r="T1456">
        <v>1</v>
      </c>
      <c r="U1456">
        <v>3</v>
      </c>
      <c r="V1456" s="1">
        <v>44842</v>
      </c>
      <c r="W1456" t="s">
        <v>62</v>
      </c>
      <c r="X1456" t="s">
        <v>42</v>
      </c>
      <c r="Y1456" t="s">
        <v>52</v>
      </c>
      <c r="Z1456">
        <v>2</v>
      </c>
      <c r="AA1456">
        <v>677.45</v>
      </c>
      <c r="AB1456">
        <v>53</v>
      </c>
    </row>
    <row r="1457" spans="1:28" x14ac:dyDescent="0.2">
      <c r="A1457">
        <v>1975</v>
      </c>
      <c r="B1457" s="1">
        <v>43569</v>
      </c>
      <c r="C1457" t="s">
        <v>28</v>
      </c>
      <c r="D1457" t="s">
        <v>85</v>
      </c>
      <c r="E1457" t="s">
        <v>30</v>
      </c>
      <c r="F1457" t="s">
        <v>31</v>
      </c>
      <c r="G1457" t="s">
        <v>45</v>
      </c>
      <c r="H1457" t="s">
        <v>33</v>
      </c>
      <c r="I1457" t="s">
        <v>34</v>
      </c>
      <c r="J1457" t="s">
        <v>96</v>
      </c>
      <c r="K1457" s="2">
        <v>15280</v>
      </c>
      <c r="L1457" t="s">
        <v>36</v>
      </c>
      <c r="M1457" t="s">
        <v>37</v>
      </c>
      <c r="N1457" t="s">
        <v>60</v>
      </c>
      <c r="O1457" t="s">
        <v>77</v>
      </c>
      <c r="P1457" t="s">
        <v>40</v>
      </c>
      <c r="Q1457">
        <v>3</v>
      </c>
      <c r="R1457" s="2">
        <v>45009</v>
      </c>
      <c r="S1457">
        <v>4</v>
      </c>
      <c r="T1457">
        <v>4</v>
      </c>
      <c r="U1457">
        <v>3</v>
      </c>
      <c r="V1457" s="1">
        <v>44997</v>
      </c>
      <c r="W1457" t="s">
        <v>50</v>
      </c>
      <c r="X1457" t="s">
        <v>42</v>
      </c>
      <c r="Y1457" t="s">
        <v>43</v>
      </c>
      <c r="Z1457">
        <v>5</v>
      </c>
      <c r="AA1457">
        <v>664.61</v>
      </c>
      <c r="AB1457">
        <v>78</v>
      </c>
    </row>
    <row r="1458" spans="1:28" x14ac:dyDescent="0.2">
      <c r="A1458">
        <v>1976</v>
      </c>
      <c r="B1458" s="1">
        <v>44205</v>
      </c>
      <c r="C1458" t="s">
        <v>28</v>
      </c>
      <c r="D1458" t="s">
        <v>44</v>
      </c>
      <c r="E1458" t="s">
        <v>30</v>
      </c>
      <c r="F1458" t="s">
        <v>55</v>
      </c>
      <c r="G1458" t="s">
        <v>32</v>
      </c>
      <c r="H1458" t="s">
        <v>55</v>
      </c>
      <c r="I1458" t="s">
        <v>34</v>
      </c>
      <c r="J1458" t="s">
        <v>35</v>
      </c>
      <c r="K1458" s="2">
        <v>16484</v>
      </c>
      <c r="L1458" t="s">
        <v>36</v>
      </c>
      <c r="M1458" t="s">
        <v>37</v>
      </c>
      <c r="N1458" t="s">
        <v>38</v>
      </c>
      <c r="O1458" t="s">
        <v>61</v>
      </c>
      <c r="P1458" t="s">
        <v>40</v>
      </c>
      <c r="Q1458">
        <v>3</v>
      </c>
      <c r="R1458" s="2">
        <v>45041</v>
      </c>
      <c r="S1458">
        <v>1</v>
      </c>
      <c r="T1458">
        <v>5</v>
      </c>
      <c r="U1458">
        <v>1</v>
      </c>
      <c r="V1458" s="1">
        <v>44881</v>
      </c>
      <c r="W1458" t="s">
        <v>92</v>
      </c>
      <c r="X1458" t="s">
        <v>51</v>
      </c>
      <c r="Y1458" t="s">
        <v>63</v>
      </c>
      <c r="Z1458">
        <v>5</v>
      </c>
      <c r="AA1458">
        <v>405.13</v>
      </c>
      <c r="AB1458">
        <v>76</v>
      </c>
    </row>
    <row r="1459" spans="1:28" x14ac:dyDescent="0.2">
      <c r="A1459">
        <v>1977</v>
      </c>
      <c r="B1459" s="1">
        <v>44921</v>
      </c>
      <c r="C1459" t="s">
        <v>28</v>
      </c>
      <c r="D1459" t="s">
        <v>87</v>
      </c>
      <c r="E1459" t="s">
        <v>108</v>
      </c>
      <c r="F1459" t="s">
        <v>31</v>
      </c>
      <c r="G1459" t="s">
        <v>56</v>
      </c>
      <c r="H1459" t="s">
        <v>55</v>
      </c>
      <c r="I1459" t="s">
        <v>34</v>
      </c>
      <c r="J1459" t="s">
        <v>70</v>
      </c>
      <c r="K1459" s="2">
        <v>19259</v>
      </c>
      <c r="L1459" t="s">
        <v>36</v>
      </c>
      <c r="M1459" t="s">
        <v>37</v>
      </c>
      <c r="N1459" t="s">
        <v>38</v>
      </c>
      <c r="O1459" t="s">
        <v>61</v>
      </c>
      <c r="P1459" t="s">
        <v>40</v>
      </c>
      <c r="Q1459">
        <v>3</v>
      </c>
      <c r="R1459" s="2">
        <v>45003</v>
      </c>
      <c r="S1459">
        <v>2</v>
      </c>
      <c r="T1459">
        <v>5</v>
      </c>
      <c r="U1459">
        <v>4</v>
      </c>
      <c r="V1459" s="1">
        <v>45072</v>
      </c>
      <c r="W1459" t="s">
        <v>41</v>
      </c>
      <c r="X1459" t="s">
        <v>42</v>
      </c>
      <c r="Y1459" t="s">
        <v>52</v>
      </c>
      <c r="Z1459">
        <v>5</v>
      </c>
      <c r="AA1459">
        <v>781.27</v>
      </c>
      <c r="AB1459">
        <v>70</v>
      </c>
    </row>
    <row r="1460" spans="1:28" x14ac:dyDescent="0.2">
      <c r="A1460">
        <v>1978</v>
      </c>
      <c r="B1460" s="1">
        <v>44474</v>
      </c>
      <c r="C1460" t="s">
        <v>28</v>
      </c>
      <c r="D1460" t="s">
        <v>64</v>
      </c>
      <c r="E1460" t="s">
        <v>108</v>
      </c>
      <c r="F1460" t="s">
        <v>55</v>
      </c>
      <c r="G1460" t="s">
        <v>56</v>
      </c>
      <c r="H1460" t="s">
        <v>46</v>
      </c>
      <c r="I1460" t="s">
        <v>34</v>
      </c>
      <c r="J1460" t="s">
        <v>35</v>
      </c>
      <c r="K1460" s="2">
        <v>28116</v>
      </c>
      <c r="L1460" t="s">
        <v>36</v>
      </c>
      <c r="M1460" t="s">
        <v>37</v>
      </c>
      <c r="N1460" t="s">
        <v>60</v>
      </c>
      <c r="O1460" t="s">
        <v>77</v>
      </c>
      <c r="P1460" t="s">
        <v>40</v>
      </c>
      <c r="Q1460">
        <v>3</v>
      </c>
      <c r="R1460" s="2">
        <v>45085</v>
      </c>
      <c r="S1460">
        <v>3</v>
      </c>
      <c r="T1460">
        <v>5</v>
      </c>
      <c r="U1460">
        <v>1</v>
      </c>
      <c r="V1460" s="1">
        <v>44944</v>
      </c>
      <c r="W1460" t="s">
        <v>41</v>
      </c>
      <c r="X1460" t="s">
        <v>42</v>
      </c>
      <c r="Y1460" t="s">
        <v>43</v>
      </c>
      <c r="Z1460">
        <v>5</v>
      </c>
      <c r="AA1460">
        <v>983.61</v>
      </c>
      <c r="AB1460">
        <v>45</v>
      </c>
    </row>
    <row r="1461" spans="1:28" x14ac:dyDescent="0.2">
      <c r="A1461">
        <v>1979</v>
      </c>
      <c r="B1461" s="1">
        <v>44829</v>
      </c>
      <c r="C1461" t="s">
        <v>28</v>
      </c>
      <c r="D1461" t="s">
        <v>94</v>
      </c>
      <c r="E1461" t="s">
        <v>30</v>
      </c>
      <c r="F1461" t="s">
        <v>46</v>
      </c>
      <c r="G1461" t="s">
        <v>56</v>
      </c>
      <c r="H1461" t="s">
        <v>33</v>
      </c>
      <c r="I1461" t="s">
        <v>34</v>
      </c>
      <c r="J1461" t="s">
        <v>79</v>
      </c>
      <c r="K1461" s="2">
        <v>26383</v>
      </c>
      <c r="L1461" t="s">
        <v>36</v>
      </c>
      <c r="M1461" t="s">
        <v>37</v>
      </c>
      <c r="N1461" t="s">
        <v>84</v>
      </c>
      <c r="O1461" t="s">
        <v>61</v>
      </c>
      <c r="P1461" t="s">
        <v>40</v>
      </c>
      <c r="Q1461">
        <v>3</v>
      </c>
      <c r="R1461" s="2">
        <v>45124</v>
      </c>
      <c r="S1461">
        <v>1</v>
      </c>
      <c r="T1461">
        <v>4</v>
      </c>
      <c r="U1461">
        <v>5</v>
      </c>
      <c r="V1461" s="1">
        <v>45065</v>
      </c>
      <c r="W1461" t="s">
        <v>92</v>
      </c>
      <c r="X1461" t="s">
        <v>42</v>
      </c>
      <c r="Y1461" t="s">
        <v>43</v>
      </c>
      <c r="Z1461">
        <v>1</v>
      </c>
      <c r="AA1461">
        <v>656.46</v>
      </c>
      <c r="AB1461">
        <v>50</v>
      </c>
    </row>
    <row r="1462" spans="1:28" x14ac:dyDescent="0.2">
      <c r="A1462">
        <v>1980</v>
      </c>
      <c r="B1462" s="1">
        <v>44510</v>
      </c>
      <c r="C1462" t="s">
        <v>28</v>
      </c>
      <c r="D1462" t="s">
        <v>74</v>
      </c>
      <c r="E1462" t="s">
        <v>30</v>
      </c>
      <c r="F1462" t="s">
        <v>46</v>
      </c>
      <c r="G1462" t="s">
        <v>32</v>
      </c>
      <c r="H1462" t="s">
        <v>55</v>
      </c>
      <c r="I1462" t="s">
        <v>34</v>
      </c>
      <c r="J1462" t="s">
        <v>65</v>
      </c>
      <c r="K1462" s="2">
        <v>33040</v>
      </c>
      <c r="L1462" t="s">
        <v>36</v>
      </c>
      <c r="M1462" t="s">
        <v>37</v>
      </c>
      <c r="N1462" t="s">
        <v>49</v>
      </c>
      <c r="O1462" t="s">
        <v>67</v>
      </c>
      <c r="P1462" t="s">
        <v>40</v>
      </c>
      <c r="Q1462">
        <v>3</v>
      </c>
      <c r="R1462" s="2">
        <v>45063</v>
      </c>
      <c r="S1462">
        <v>5</v>
      </c>
      <c r="T1462">
        <v>4</v>
      </c>
      <c r="U1462">
        <v>5</v>
      </c>
      <c r="V1462" s="1">
        <v>45010</v>
      </c>
      <c r="W1462" t="s">
        <v>62</v>
      </c>
      <c r="X1462" t="s">
        <v>51</v>
      </c>
      <c r="Y1462" t="s">
        <v>43</v>
      </c>
      <c r="Z1462">
        <v>1</v>
      </c>
      <c r="AA1462">
        <v>446.07</v>
      </c>
      <c r="AB1462">
        <v>31</v>
      </c>
    </row>
    <row r="1463" spans="1:28" x14ac:dyDescent="0.2">
      <c r="A1463">
        <v>1981</v>
      </c>
      <c r="B1463" s="1">
        <v>44294</v>
      </c>
      <c r="C1463" t="s">
        <v>28</v>
      </c>
      <c r="D1463" t="s">
        <v>81</v>
      </c>
      <c r="E1463" t="s">
        <v>30</v>
      </c>
      <c r="F1463" t="s">
        <v>31</v>
      </c>
      <c r="G1463" t="s">
        <v>45</v>
      </c>
      <c r="H1463" t="s">
        <v>33</v>
      </c>
      <c r="I1463" t="s">
        <v>34</v>
      </c>
      <c r="J1463" t="s">
        <v>65</v>
      </c>
      <c r="K1463" s="2">
        <v>34287</v>
      </c>
      <c r="L1463" t="s">
        <v>36</v>
      </c>
      <c r="M1463" t="s">
        <v>48</v>
      </c>
      <c r="N1463" t="s">
        <v>72</v>
      </c>
      <c r="O1463" t="s">
        <v>77</v>
      </c>
      <c r="P1463" t="s">
        <v>40</v>
      </c>
      <c r="Q1463">
        <v>3</v>
      </c>
      <c r="R1463" s="2">
        <v>45008</v>
      </c>
      <c r="S1463">
        <v>5</v>
      </c>
      <c r="T1463">
        <v>4</v>
      </c>
      <c r="U1463">
        <v>3</v>
      </c>
      <c r="V1463" s="1">
        <v>44783</v>
      </c>
      <c r="W1463" t="s">
        <v>41</v>
      </c>
      <c r="X1463" t="s">
        <v>42</v>
      </c>
      <c r="Y1463" t="s">
        <v>73</v>
      </c>
      <c r="Z1463">
        <v>1</v>
      </c>
      <c r="AA1463">
        <v>676.42</v>
      </c>
      <c r="AB1463">
        <v>28</v>
      </c>
    </row>
    <row r="1464" spans="1:28" x14ac:dyDescent="0.2">
      <c r="A1464">
        <v>1982</v>
      </c>
      <c r="B1464" s="1">
        <v>43418</v>
      </c>
      <c r="C1464" t="s">
        <v>28</v>
      </c>
      <c r="D1464" t="s">
        <v>54</v>
      </c>
      <c r="E1464" t="s">
        <v>30</v>
      </c>
      <c r="F1464" t="s">
        <v>55</v>
      </c>
      <c r="G1464" t="s">
        <v>32</v>
      </c>
      <c r="H1464" t="s">
        <v>33</v>
      </c>
      <c r="I1464" t="s">
        <v>34</v>
      </c>
      <c r="J1464" t="s">
        <v>58</v>
      </c>
      <c r="K1464" s="2">
        <v>29365</v>
      </c>
      <c r="L1464" t="s">
        <v>36</v>
      </c>
      <c r="M1464" t="s">
        <v>37</v>
      </c>
      <c r="N1464" t="s">
        <v>49</v>
      </c>
      <c r="O1464" t="s">
        <v>67</v>
      </c>
      <c r="P1464" t="s">
        <v>40</v>
      </c>
      <c r="Q1464">
        <v>3</v>
      </c>
      <c r="R1464" s="2">
        <v>45101</v>
      </c>
      <c r="S1464">
        <v>3</v>
      </c>
      <c r="T1464">
        <v>5</v>
      </c>
      <c r="U1464">
        <v>5</v>
      </c>
      <c r="V1464" s="1">
        <v>44955</v>
      </c>
      <c r="W1464" t="s">
        <v>41</v>
      </c>
      <c r="X1464" t="s">
        <v>42</v>
      </c>
      <c r="Y1464" t="s">
        <v>73</v>
      </c>
      <c r="Z1464">
        <v>5</v>
      </c>
      <c r="AA1464">
        <v>861.83</v>
      </c>
      <c r="AB1464">
        <v>38</v>
      </c>
    </row>
    <row r="1465" spans="1:28" x14ac:dyDescent="0.2">
      <c r="A1465">
        <v>1983</v>
      </c>
      <c r="B1465" s="1">
        <v>43904</v>
      </c>
      <c r="C1465" t="s">
        <v>28</v>
      </c>
      <c r="D1465" t="s">
        <v>69</v>
      </c>
      <c r="E1465" t="s">
        <v>30</v>
      </c>
      <c r="F1465" t="s">
        <v>46</v>
      </c>
      <c r="G1465" t="s">
        <v>32</v>
      </c>
      <c r="H1465" t="s">
        <v>55</v>
      </c>
      <c r="I1465" t="s">
        <v>34</v>
      </c>
      <c r="J1465" t="s">
        <v>65</v>
      </c>
      <c r="K1465" s="2">
        <v>20785</v>
      </c>
      <c r="L1465" t="s">
        <v>36</v>
      </c>
      <c r="M1465" t="s">
        <v>37</v>
      </c>
      <c r="N1465" t="s">
        <v>84</v>
      </c>
      <c r="O1465" t="s">
        <v>39</v>
      </c>
      <c r="P1465" t="s">
        <v>40</v>
      </c>
      <c r="Q1465">
        <v>3</v>
      </c>
      <c r="R1465" s="2">
        <v>44789</v>
      </c>
      <c r="S1465">
        <v>2</v>
      </c>
      <c r="T1465">
        <v>5</v>
      </c>
      <c r="U1465">
        <v>1</v>
      </c>
      <c r="V1465" s="1">
        <v>44923</v>
      </c>
      <c r="W1465" t="s">
        <v>50</v>
      </c>
      <c r="X1465" t="s">
        <v>42</v>
      </c>
      <c r="Y1465" t="s">
        <v>43</v>
      </c>
      <c r="Z1465">
        <v>5</v>
      </c>
      <c r="AA1465">
        <v>769.23</v>
      </c>
      <c r="AB1465">
        <v>64</v>
      </c>
    </row>
    <row r="1466" spans="1:28" x14ac:dyDescent="0.2">
      <c r="A1466">
        <v>1984</v>
      </c>
      <c r="B1466" s="1">
        <v>44006</v>
      </c>
      <c r="C1466" t="s">
        <v>28</v>
      </c>
      <c r="D1466" t="s">
        <v>29</v>
      </c>
      <c r="E1466" t="s">
        <v>30</v>
      </c>
      <c r="F1466" t="s">
        <v>55</v>
      </c>
      <c r="G1466" t="s">
        <v>56</v>
      </c>
      <c r="H1466" t="s">
        <v>33</v>
      </c>
      <c r="I1466" t="s">
        <v>34</v>
      </c>
      <c r="J1466" t="s">
        <v>102</v>
      </c>
      <c r="K1466" s="2">
        <v>17574</v>
      </c>
      <c r="L1466" t="s">
        <v>36</v>
      </c>
      <c r="M1466" t="s">
        <v>37</v>
      </c>
      <c r="N1466" t="s">
        <v>72</v>
      </c>
      <c r="O1466" t="s">
        <v>61</v>
      </c>
      <c r="P1466" t="s">
        <v>40</v>
      </c>
      <c r="Q1466">
        <v>3</v>
      </c>
      <c r="R1466" s="2">
        <v>44780</v>
      </c>
      <c r="S1466">
        <v>5</v>
      </c>
      <c r="T1466">
        <v>2</v>
      </c>
      <c r="U1466">
        <v>2</v>
      </c>
      <c r="V1466" s="1">
        <v>44791</v>
      </c>
      <c r="W1466" t="s">
        <v>41</v>
      </c>
      <c r="X1466" t="s">
        <v>42</v>
      </c>
      <c r="Y1466" t="s">
        <v>43</v>
      </c>
      <c r="Z1466">
        <v>4</v>
      </c>
      <c r="AA1466">
        <v>983.02</v>
      </c>
      <c r="AB1466">
        <v>72</v>
      </c>
    </row>
    <row r="1467" spans="1:28" x14ac:dyDescent="0.2">
      <c r="A1467">
        <v>1985</v>
      </c>
      <c r="B1467" s="1">
        <v>45004</v>
      </c>
      <c r="C1467" t="s">
        <v>28</v>
      </c>
      <c r="D1467" t="s">
        <v>85</v>
      </c>
      <c r="E1467" t="s">
        <v>30</v>
      </c>
      <c r="F1467" t="s">
        <v>31</v>
      </c>
      <c r="G1467" t="s">
        <v>56</v>
      </c>
      <c r="H1467" t="s">
        <v>33</v>
      </c>
      <c r="I1467" t="s">
        <v>34</v>
      </c>
      <c r="J1467" t="s">
        <v>65</v>
      </c>
      <c r="K1467" s="2">
        <v>23324</v>
      </c>
      <c r="L1467" t="s">
        <v>36</v>
      </c>
      <c r="M1467" t="s">
        <v>37</v>
      </c>
      <c r="N1467" t="s">
        <v>38</v>
      </c>
      <c r="O1467" t="s">
        <v>39</v>
      </c>
      <c r="P1467" t="s">
        <v>40</v>
      </c>
      <c r="Q1467">
        <v>3</v>
      </c>
      <c r="R1467" s="2">
        <v>44989</v>
      </c>
      <c r="S1467">
        <v>5</v>
      </c>
      <c r="T1467">
        <v>5</v>
      </c>
      <c r="U1467">
        <v>2</v>
      </c>
      <c r="V1467" s="1">
        <v>44832</v>
      </c>
      <c r="W1467" t="s">
        <v>92</v>
      </c>
      <c r="X1467" t="s">
        <v>42</v>
      </c>
      <c r="Y1467" t="s">
        <v>52</v>
      </c>
      <c r="Z1467">
        <v>3</v>
      </c>
      <c r="AA1467">
        <v>474.95</v>
      </c>
      <c r="AB1467">
        <v>60</v>
      </c>
    </row>
    <row r="1468" spans="1:28" x14ac:dyDescent="0.2">
      <c r="A1468">
        <v>1986</v>
      </c>
      <c r="B1468" s="1">
        <v>44788</v>
      </c>
      <c r="C1468" t="s">
        <v>28</v>
      </c>
      <c r="D1468" t="s">
        <v>44</v>
      </c>
      <c r="E1468" t="s">
        <v>30</v>
      </c>
      <c r="F1468" t="s">
        <v>31</v>
      </c>
      <c r="G1468" t="s">
        <v>32</v>
      </c>
      <c r="H1468" t="s">
        <v>55</v>
      </c>
      <c r="I1468" t="s">
        <v>34</v>
      </c>
      <c r="J1468" t="s">
        <v>82</v>
      </c>
      <c r="K1468" s="2">
        <v>17947</v>
      </c>
      <c r="L1468" t="s">
        <v>36</v>
      </c>
      <c r="M1468" t="s">
        <v>37</v>
      </c>
      <c r="N1468" t="s">
        <v>72</v>
      </c>
      <c r="O1468" t="s">
        <v>77</v>
      </c>
      <c r="P1468" t="s">
        <v>40</v>
      </c>
      <c r="Q1468">
        <v>3</v>
      </c>
      <c r="R1468" s="2">
        <v>44821</v>
      </c>
      <c r="S1468">
        <v>1</v>
      </c>
      <c r="T1468">
        <v>4</v>
      </c>
      <c r="U1468">
        <v>2</v>
      </c>
      <c r="V1468" s="1">
        <v>44978</v>
      </c>
      <c r="W1468" t="s">
        <v>92</v>
      </c>
      <c r="X1468" t="s">
        <v>42</v>
      </c>
      <c r="Y1468" t="s">
        <v>43</v>
      </c>
      <c r="Z1468">
        <v>3</v>
      </c>
      <c r="AA1468">
        <v>800.81</v>
      </c>
      <c r="AB1468">
        <v>73</v>
      </c>
    </row>
    <row r="1469" spans="1:28" x14ac:dyDescent="0.2">
      <c r="A1469">
        <v>1987</v>
      </c>
      <c r="B1469" s="1">
        <v>43413</v>
      </c>
      <c r="C1469" t="s">
        <v>28</v>
      </c>
      <c r="D1469" t="s">
        <v>87</v>
      </c>
      <c r="E1469" t="s">
        <v>30</v>
      </c>
      <c r="F1469" t="s">
        <v>55</v>
      </c>
      <c r="G1469" t="s">
        <v>32</v>
      </c>
      <c r="H1469" t="s">
        <v>46</v>
      </c>
      <c r="I1469" t="s">
        <v>34</v>
      </c>
      <c r="J1469" t="s">
        <v>58</v>
      </c>
      <c r="K1469" s="2">
        <v>24619</v>
      </c>
      <c r="L1469" t="s">
        <v>36</v>
      </c>
      <c r="M1469" t="s">
        <v>37</v>
      </c>
      <c r="N1469" t="s">
        <v>38</v>
      </c>
      <c r="O1469" t="s">
        <v>61</v>
      </c>
      <c r="P1469" t="s">
        <v>40</v>
      </c>
      <c r="Q1469">
        <v>3</v>
      </c>
      <c r="R1469" s="2">
        <v>45125</v>
      </c>
      <c r="S1469">
        <v>5</v>
      </c>
      <c r="T1469">
        <v>1</v>
      </c>
      <c r="U1469">
        <v>3</v>
      </c>
      <c r="V1469" s="1">
        <v>45104</v>
      </c>
      <c r="W1469" t="s">
        <v>92</v>
      </c>
      <c r="X1469" t="s">
        <v>42</v>
      </c>
      <c r="Y1469" t="s">
        <v>43</v>
      </c>
      <c r="Z1469">
        <v>2</v>
      </c>
      <c r="AA1469">
        <v>844.93</v>
      </c>
      <c r="AB1469">
        <v>51</v>
      </c>
    </row>
    <row r="1470" spans="1:28" x14ac:dyDescent="0.2">
      <c r="A1470">
        <v>1988</v>
      </c>
      <c r="B1470" s="1">
        <v>43427</v>
      </c>
      <c r="C1470" t="s">
        <v>28</v>
      </c>
      <c r="D1470" t="s">
        <v>64</v>
      </c>
      <c r="E1470" t="s">
        <v>30</v>
      </c>
      <c r="F1470" t="s">
        <v>31</v>
      </c>
      <c r="G1470" t="s">
        <v>45</v>
      </c>
      <c r="H1470" t="s">
        <v>33</v>
      </c>
      <c r="I1470" t="s">
        <v>34</v>
      </c>
      <c r="J1470" t="s">
        <v>70</v>
      </c>
      <c r="K1470" s="2">
        <v>32807</v>
      </c>
      <c r="L1470" t="s">
        <v>36</v>
      </c>
      <c r="M1470" t="s">
        <v>37</v>
      </c>
      <c r="N1470" t="s">
        <v>72</v>
      </c>
      <c r="O1470" t="s">
        <v>61</v>
      </c>
      <c r="P1470" t="s">
        <v>40</v>
      </c>
      <c r="Q1470">
        <v>3</v>
      </c>
      <c r="R1470" s="2">
        <v>44967</v>
      </c>
      <c r="S1470">
        <v>1</v>
      </c>
      <c r="T1470">
        <v>3</v>
      </c>
      <c r="U1470">
        <v>5</v>
      </c>
      <c r="V1470" s="1">
        <v>45064</v>
      </c>
      <c r="W1470" t="s">
        <v>62</v>
      </c>
      <c r="X1470" t="s">
        <v>51</v>
      </c>
      <c r="Y1470" t="s">
        <v>63</v>
      </c>
      <c r="Z1470">
        <v>4</v>
      </c>
      <c r="AA1470">
        <v>903.8</v>
      </c>
      <c r="AB1470">
        <v>29</v>
      </c>
    </row>
    <row r="1471" spans="1:28" x14ac:dyDescent="0.2">
      <c r="A1471">
        <v>1989</v>
      </c>
      <c r="B1471" s="1">
        <v>43886</v>
      </c>
      <c r="C1471" t="s">
        <v>106</v>
      </c>
      <c r="D1471" t="s">
        <v>54</v>
      </c>
      <c r="E1471" t="s">
        <v>30</v>
      </c>
      <c r="F1471" t="s">
        <v>55</v>
      </c>
      <c r="G1471" t="s">
        <v>45</v>
      </c>
      <c r="H1471" t="s">
        <v>33</v>
      </c>
      <c r="I1471" t="s">
        <v>34</v>
      </c>
      <c r="J1471" t="s">
        <v>70</v>
      </c>
      <c r="K1471" s="2">
        <v>36691</v>
      </c>
      <c r="L1471" t="s">
        <v>36</v>
      </c>
      <c r="M1471" t="s">
        <v>37</v>
      </c>
      <c r="N1471" t="s">
        <v>60</v>
      </c>
      <c r="O1471" t="s">
        <v>67</v>
      </c>
      <c r="P1471" t="s">
        <v>40</v>
      </c>
      <c r="Q1471">
        <v>3</v>
      </c>
      <c r="R1471" s="2">
        <v>45050</v>
      </c>
      <c r="S1471">
        <v>4</v>
      </c>
      <c r="T1471">
        <v>2</v>
      </c>
      <c r="U1471">
        <v>5</v>
      </c>
      <c r="V1471" s="1">
        <v>44899</v>
      </c>
      <c r="W1471" t="s">
        <v>41</v>
      </c>
      <c r="X1471" t="s">
        <v>51</v>
      </c>
      <c r="Y1471" t="s">
        <v>52</v>
      </c>
      <c r="Z1471">
        <v>4</v>
      </c>
      <c r="AA1471">
        <v>329.3</v>
      </c>
      <c r="AB1471">
        <v>20</v>
      </c>
    </row>
    <row r="1472" spans="1:28" x14ac:dyDescent="0.2">
      <c r="A1472">
        <v>1990</v>
      </c>
      <c r="B1472" s="1">
        <v>43967</v>
      </c>
      <c r="C1472" t="s">
        <v>106</v>
      </c>
      <c r="D1472" t="s">
        <v>69</v>
      </c>
      <c r="E1472" t="s">
        <v>30</v>
      </c>
      <c r="F1472" t="s">
        <v>55</v>
      </c>
      <c r="G1472" t="s">
        <v>32</v>
      </c>
      <c r="H1472" t="s">
        <v>33</v>
      </c>
      <c r="I1472" t="s">
        <v>34</v>
      </c>
      <c r="J1472" t="s">
        <v>70</v>
      </c>
      <c r="K1472" s="2">
        <v>17428</v>
      </c>
      <c r="L1472" t="s">
        <v>36</v>
      </c>
      <c r="M1472" t="s">
        <v>37</v>
      </c>
      <c r="N1472" t="s">
        <v>72</v>
      </c>
      <c r="O1472" t="s">
        <v>77</v>
      </c>
      <c r="P1472" t="s">
        <v>40</v>
      </c>
      <c r="Q1472">
        <v>3</v>
      </c>
      <c r="R1472" s="2">
        <v>44804</v>
      </c>
      <c r="S1472">
        <v>3</v>
      </c>
      <c r="T1472">
        <v>1</v>
      </c>
      <c r="U1472">
        <v>1</v>
      </c>
      <c r="V1472" s="1">
        <v>44822</v>
      </c>
      <c r="W1472" t="s">
        <v>41</v>
      </c>
      <c r="X1472" t="s">
        <v>42</v>
      </c>
      <c r="Y1472" t="s">
        <v>52</v>
      </c>
      <c r="Z1472">
        <v>1</v>
      </c>
      <c r="AA1472">
        <v>332.51</v>
      </c>
      <c r="AB1472">
        <v>73</v>
      </c>
    </row>
    <row r="1473" spans="1:28" x14ac:dyDescent="0.2">
      <c r="A1473">
        <v>1991</v>
      </c>
      <c r="B1473" s="1">
        <v>43634</v>
      </c>
      <c r="C1473" t="s">
        <v>106</v>
      </c>
      <c r="D1473" t="s">
        <v>29</v>
      </c>
      <c r="E1473" t="s">
        <v>30</v>
      </c>
      <c r="F1473" t="s">
        <v>31</v>
      </c>
      <c r="G1473" t="s">
        <v>56</v>
      </c>
      <c r="H1473" t="s">
        <v>33</v>
      </c>
      <c r="I1473" t="s">
        <v>34</v>
      </c>
      <c r="J1473" t="s">
        <v>65</v>
      </c>
      <c r="K1473" s="2">
        <v>17899</v>
      </c>
      <c r="L1473" t="s">
        <v>36</v>
      </c>
      <c r="M1473" t="s">
        <v>37</v>
      </c>
      <c r="N1473" t="s">
        <v>60</v>
      </c>
      <c r="O1473" t="s">
        <v>67</v>
      </c>
      <c r="P1473" t="s">
        <v>40</v>
      </c>
      <c r="Q1473">
        <v>3</v>
      </c>
      <c r="R1473" s="2">
        <v>44952</v>
      </c>
      <c r="S1473">
        <v>2</v>
      </c>
      <c r="T1473">
        <v>1</v>
      </c>
      <c r="U1473">
        <v>3</v>
      </c>
      <c r="V1473" s="1">
        <v>44950</v>
      </c>
      <c r="W1473" t="s">
        <v>68</v>
      </c>
      <c r="X1473" t="s">
        <v>51</v>
      </c>
      <c r="Y1473" t="s">
        <v>43</v>
      </c>
      <c r="Z1473">
        <v>2</v>
      </c>
      <c r="AA1473">
        <v>643.63</v>
      </c>
      <c r="AB1473">
        <v>70</v>
      </c>
    </row>
    <row r="1474" spans="1:28" x14ac:dyDescent="0.2">
      <c r="A1474">
        <v>1992</v>
      </c>
      <c r="B1474" s="1">
        <v>43605</v>
      </c>
      <c r="C1474" t="s">
        <v>106</v>
      </c>
      <c r="D1474" t="s">
        <v>85</v>
      </c>
      <c r="E1474" t="s">
        <v>30</v>
      </c>
      <c r="F1474" t="s">
        <v>31</v>
      </c>
      <c r="G1474" t="s">
        <v>45</v>
      </c>
      <c r="H1474" t="s">
        <v>46</v>
      </c>
      <c r="I1474" t="s">
        <v>34</v>
      </c>
      <c r="J1474" t="s">
        <v>65</v>
      </c>
      <c r="K1474" s="2">
        <v>18319</v>
      </c>
      <c r="L1474" t="s">
        <v>36</v>
      </c>
      <c r="M1474" t="s">
        <v>37</v>
      </c>
      <c r="N1474" t="s">
        <v>38</v>
      </c>
      <c r="O1474" t="s">
        <v>77</v>
      </c>
      <c r="P1474" t="s">
        <v>40</v>
      </c>
      <c r="Q1474">
        <v>3</v>
      </c>
      <c r="R1474" s="2">
        <v>44963</v>
      </c>
      <c r="S1474">
        <v>4</v>
      </c>
      <c r="T1474">
        <v>3</v>
      </c>
      <c r="U1474">
        <v>3</v>
      </c>
      <c r="V1474" s="1">
        <v>44815</v>
      </c>
      <c r="W1474" t="s">
        <v>92</v>
      </c>
      <c r="X1474" t="s">
        <v>42</v>
      </c>
      <c r="Y1474" t="s">
        <v>43</v>
      </c>
      <c r="Z1474">
        <v>2</v>
      </c>
      <c r="AA1474">
        <v>827.05</v>
      </c>
      <c r="AB1474">
        <v>69</v>
      </c>
    </row>
    <row r="1475" spans="1:28" x14ac:dyDescent="0.2">
      <c r="A1475">
        <v>1993</v>
      </c>
      <c r="B1475" s="1">
        <v>44120</v>
      </c>
      <c r="C1475" t="s">
        <v>106</v>
      </c>
      <c r="D1475" t="s">
        <v>44</v>
      </c>
      <c r="E1475" t="s">
        <v>30</v>
      </c>
      <c r="F1475" t="s">
        <v>55</v>
      </c>
      <c r="G1475" t="s">
        <v>45</v>
      </c>
      <c r="H1475" t="s">
        <v>55</v>
      </c>
      <c r="I1475" t="s">
        <v>34</v>
      </c>
      <c r="J1475" t="s">
        <v>70</v>
      </c>
      <c r="K1475" s="2">
        <v>26501</v>
      </c>
      <c r="L1475" t="s">
        <v>36</v>
      </c>
      <c r="M1475" t="s">
        <v>37</v>
      </c>
      <c r="N1475" t="s">
        <v>49</v>
      </c>
      <c r="O1475" t="s">
        <v>77</v>
      </c>
      <c r="P1475" t="s">
        <v>40</v>
      </c>
      <c r="Q1475">
        <v>3</v>
      </c>
      <c r="R1475" s="2">
        <v>44905</v>
      </c>
      <c r="S1475">
        <v>5</v>
      </c>
      <c r="T1475">
        <v>2</v>
      </c>
      <c r="U1475">
        <v>4</v>
      </c>
      <c r="V1475" s="1">
        <v>45048</v>
      </c>
      <c r="W1475" t="s">
        <v>50</v>
      </c>
      <c r="X1475" t="s">
        <v>51</v>
      </c>
      <c r="Y1475" t="s">
        <v>43</v>
      </c>
      <c r="Z1475">
        <v>3</v>
      </c>
      <c r="AA1475">
        <v>995.42</v>
      </c>
      <c r="AB1475">
        <v>48</v>
      </c>
    </row>
    <row r="1476" spans="1:28" x14ac:dyDescent="0.2">
      <c r="A1476">
        <v>1994</v>
      </c>
      <c r="B1476" s="1">
        <v>44743</v>
      </c>
      <c r="C1476" t="s">
        <v>106</v>
      </c>
      <c r="D1476" t="s">
        <v>87</v>
      </c>
      <c r="E1476" t="s">
        <v>30</v>
      </c>
      <c r="F1476" t="s">
        <v>55</v>
      </c>
      <c r="G1476" t="s">
        <v>45</v>
      </c>
      <c r="H1476" t="s">
        <v>55</v>
      </c>
      <c r="I1476" t="s">
        <v>34</v>
      </c>
      <c r="J1476" t="s">
        <v>65</v>
      </c>
      <c r="K1476" s="2">
        <v>32506</v>
      </c>
      <c r="L1476" t="s">
        <v>36</v>
      </c>
      <c r="M1476" t="s">
        <v>37</v>
      </c>
      <c r="N1476" t="s">
        <v>60</v>
      </c>
      <c r="O1476" t="s">
        <v>61</v>
      </c>
      <c r="P1476" t="s">
        <v>40</v>
      </c>
      <c r="Q1476">
        <v>3</v>
      </c>
      <c r="R1476" s="2">
        <v>44838</v>
      </c>
      <c r="S1476">
        <v>5</v>
      </c>
      <c r="T1476">
        <v>5</v>
      </c>
      <c r="U1476">
        <v>1</v>
      </c>
      <c r="V1476" s="1">
        <v>45036</v>
      </c>
      <c r="W1476" t="s">
        <v>68</v>
      </c>
      <c r="X1476" t="s">
        <v>51</v>
      </c>
      <c r="Y1476" t="s">
        <v>73</v>
      </c>
      <c r="Z1476">
        <v>4</v>
      </c>
      <c r="AA1476">
        <v>360.61</v>
      </c>
      <c r="AB1476">
        <v>34</v>
      </c>
    </row>
    <row r="1477" spans="1:28" x14ac:dyDescent="0.2">
      <c r="A1477">
        <v>1995</v>
      </c>
      <c r="B1477" s="1">
        <v>44912</v>
      </c>
      <c r="C1477" t="s">
        <v>106</v>
      </c>
      <c r="D1477" t="s">
        <v>64</v>
      </c>
      <c r="E1477" t="s">
        <v>30</v>
      </c>
      <c r="F1477" t="s">
        <v>31</v>
      </c>
      <c r="G1477" t="s">
        <v>45</v>
      </c>
      <c r="H1477" t="s">
        <v>55</v>
      </c>
      <c r="I1477" t="s">
        <v>34</v>
      </c>
      <c r="J1477" t="s">
        <v>70</v>
      </c>
      <c r="K1477" s="2">
        <v>28708</v>
      </c>
      <c r="L1477" t="s">
        <v>36</v>
      </c>
      <c r="M1477" t="s">
        <v>37</v>
      </c>
      <c r="N1477" t="s">
        <v>60</v>
      </c>
      <c r="O1477" t="s">
        <v>67</v>
      </c>
      <c r="P1477" t="s">
        <v>40</v>
      </c>
      <c r="Q1477">
        <v>3</v>
      </c>
      <c r="R1477" s="2">
        <v>45039</v>
      </c>
      <c r="S1477">
        <v>4</v>
      </c>
      <c r="T1477">
        <v>3</v>
      </c>
      <c r="U1477">
        <v>1</v>
      </c>
      <c r="V1477" s="1">
        <v>44796</v>
      </c>
      <c r="W1477" t="s">
        <v>92</v>
      </c>
      <c r="X1477" t="s">
        <v>51</v>
      </c>
      <c r="Y1477" t="s">
        <v>73</v>
      </c>
      <c r="Z1477">
        <v>3</v>
      </c>
      <c r="AA1477">
        <v>658.54</v>
      </c>
      <c r="AB1477">
        <v>44</v>
      </c>
    </row>
    <row r="1478" spans="1:28" x14ac:dyDescent="0.2">
      <c r="A1478">
        <v>1996</v>
      </c>
      <c r="B1478" s="1">
        <v>44493</v>
      </c>
      <c r="C1478" t="s">
        <v>106</v>
      </c>
      <c r="D1478" t="s">
        <v>94</v>
      </c>
      <c r="E1478" t="s">
        <v>30</v>
      </c>
      <c r="F1478" t="s">
        <v>46</v>
      </c>
      <c r="G1478" t="s">
        <v>45</v>
      </c>
      <c r="H1478" t="s">
        <v>33</v>
      </c>
      <c r="I1478" t="s">
        <v>34</v>
      </c>
      <c r="J1478" t="s">
        <v>47</v>
      </c>
      <c r="K1478" s="2">
        <v>33795</v>
      </c>
      <c r="L1478" t="s">
        <v>36</v>
      </c>
      <c r="M1478" t="s">
        <v>37</v>
      </c>
      <c r="N1478" t="s">
        <v>38</v>
      </c>
      <c r="O1478" t="s">
        <v>61</v>
      </c>
      <c r="P1478" t="s">
        <v>40</v>
      </c>
      <c r="Q1478">
        <v>3</v>
      </c>
      <c r="R1478" s="2">
        <v>45139</v>
      </c>
      <c r="S1478">
        <v>3</v>
      </c>
      <c r="T1478">
        <v>5</v>
      </c>
      <c r="U1478">
        <v>2</v>
      </c>
      <c r="V1478" s="1">
        <v>44911</v>
      </c>
      <c r="W1478" t="s">
        <v>92</v>
      </c>
      <c r="X1478" t="s">
        <v>42</v>
      </c>
      <c r="Y1478" t="s">
        <v>43</v>
      </c>
      <c r="Z1478">
        <v>5</v>
      </c>
      <c r="AA1478">
        <v>250.11</v>
      </c>
      <c r="AB1478">
        <v>29</v>
      </c>
    </row>
    <row r="1479" spans="1:28" x14ac:dyDescent="0.2">
      <c r="A1479">
        <v>1997</v>
      </c>
      <c r="B1479" s="1">
        <v>43524</v>
      </c>
      <c r="C1479" t="s">
        <v>106</v>
      </c>
      <c r="D1479" t="s">
        <v>74</v>
      </c>
      <c r="E1479" t="s">
        <v>30</v>
      </c>
      <c r="F1479" t="s">
        <v>46</v>
      </c>
      <c r="G1479" t="s">
        <v>56</v>
      </c>
      <c r="H1479" t="s">
        <v>55</v>
      </c>
      <c r="I1479" t="s">
        <v>34</v>
      </c>
      <c r="J1479" t="s">
        <v>101</v>
      </c>
      <c r="K1479" s="2">
        <v>33033</v>
      </c>
      <c r="L1479" t="s">
        <v>36</v>
      </c>
      <c r="M1479" t="s">
        <v>37</v>
      </c>
      <c r="N1479" t="s">
        <v>84</v>
      </c>
      <c r="O1479" t="s">
        <v>77</v>
      </c>
      <c r="P1479" t="s">
        <v>40</v>
      </c>
      <c r="Q1479">
        <v>3</v>
      </c>
      <c r="R1479" s="2">
        <v>44973</v>
      </c>
      <c r="S1479">
        <v>3</v>
      </c>
      <c r="T1479">
        <v>3</v>
      </c>
      <c r="U1479">
        <v>2</v>
      </c>
      <c r="V1479" s="1">
        <v>45045</v>
      </c>
      <c r="W1479" t="s">
        <v>62</v>
      </c>
      <c r="X1479" t="s">
        <v>42</v>
      </c>
      <c r="Y1479" t="s">
        <v>43</v>
      </c>
      <c r="Z1479">
        <v>4</v>
      </c>
      <c r="AA1479">
        <v>819.65</v>
      </c>
      <c r="AB1479">
        <v>29</v>
      </c>
    </row>
    <row r="1480" spans="1:28" x14ac:dyDescent="0.2">
      <c r="A1480">
        <v>1998</v>
      </c>
      <c r="B1480" s="1">
        <v>44644</v>
      </c>
      <c r="C1480" t="s">
        <v>106</v>
      </c>
      <c r="D1480" t="s">
        <v>81</v>
      </c>
      <c r="E1480" t="s">
        <v>30</v>
      </c>
      <c r="F1480" t="s">
        <v>55</v>
      </c>
      <c r="G1480" t="s">
        <v>32</v>
      </c>
      <c r="H1480" t="s">
        <v>46</v>
      </c>
      <c r="I1480" t="s">
        <v>34</v>
      </c>
      <c r="J1480" t="s">
        <v>65</v>
      </c>
      <c r="K1480" s="2">
        <v>36212</v>
      </c>
      <c r="L1480" t="s">
        <v>36</v>
      </c>
      <c r="M1480" t="s">
        <v>37</v>
      </c>
      <c r="N1480" t="s">
        <v>72</v>
      </c>
      <c r="O1480" t="s">
        <v>39</v>
      </c>
      <c r="P1480" t="s">
        <v>40</v>
      </c>
      <c r="Q1480">
        <v>3</v>
      </c>
      <c r="R1480" s="2">
        <v>44811</v>
      </c>
      <c r="S1480">
        <v>2</v>
      </c>
      <c r="T1480">
        <v>4</v>
      </c>
      <c r="U1480">
        <v>3</v>
      </c>
      <c r="V1480" s="1">
        <v>44896</v>
      </c>
      <c r="W1480" t="s">
        <v>68</v>
      </c>
      <c r="X1480" t="s">
        <v>42</v>
      </c>
      <c r="Y1480" t="s">
        <v>63</v>
      </c>
      <c r="Z1480">
        <v>2</v>
      </c>
      <c r="AA1480">
        <v>186.77</v>
      </c>
      <c r="AB1480">
        <v>23</v>
      </c>
    </row>
    <row r="1481" spans="1:28" x14ac:dyDescent="0.2">
      <c r="A1481">
        <v>1999</v>
      </c>
      <c r="B1481" s="1">
        <v>44486</v>
      </c>
      <c r="C1481" t="s">
        <v>106</v>
      </c>
      <c r="D1481" t="s">
        <v>54</v>
      </c>
      <c r="E1481" t="s">
        <v>30</v>
      </c>
      <c r="F1481" t="s">
        <v>31</v>
      </c>
      <c r="G1481" t="s">
        <v>45</v>
      </c>
      <c r="H1481" t="s">
        <v>33</v>
      </c>
      <c r="I1481" t="s">
        <v>34</v>
      </c>
      <c r="J1481" t="s">
        <v>70</v>
      </c>
      <c r="K1481" s="2">
        <v>15879</v>
      </c>
      <c r="L1481" t="s">
        <v>36</v>
      </c>
      <c r="M1481" t="s">
        <v>37</v>
      </c>
      <c r="N1481" t="s">
        <v>60</v>
      </c>
      <c r="O1481" t="s">
        <v>39</v>
      </c>
      <c r="P1481" t="s">
        <v>40</v>
      </c>
      <c r="Q1481">
        <v>3</v>
      </c>
      <c r="R1481" s="2">
        <v>45119</v>
      </c>
      <c r="S1481">
        <v>3</v>
      </c>
      <c r="T1481">
        <v>2</v>
      </c>
      <c r="U1481">
        <v>2</v>
      </c>
      <c r="V1481" s="1">
        <v>45054</v>
      </c>
      <c r="W1481" t="s">
        <v>68</v>
      </c>
      <c r="X1481" t="s">
        <v>51</v>
      </c>
      <c r="Y1481" t="s">
        <v>73</v>
      </c>
      <c r="Z1481">
        <v>4</v>
      </c>
      <c r="AA1481">
        <v>633.66999999999996</v>
      </c>
      <c r="AB1481">
        <v>78</v>
      </c>
    </row>
    <row r="1482" spans="1:28" x14ac:dyDescent="0.2">
      <c r="A1482">
        <v>2000</v>
      </c>
      <c r="B1482" s="1">
        <v>44694</v>
      </c>
      <c r="C1482" t="s">
        <v>28</v>
      </c>
      <c r="D1482" t="s">
        <v>94</v>
      </c>
      <c r="E1482" t="s">
        <v>30</v>
      </c>
      <c r="F1482" t="s">
        <v>55</v>
      </c>
      <c r="G1482" t="s">
        <v>45</v>
      </c>
      <c r="H1482" t="s">
        <v>46</v>
      </c>
      <c r="I1482" t="s">
        <v>34</v>
      </c>
      <c r="J1482" t="s">
        <v>65</v>
      </c>
      <c r="K1482" s="2">
        <v>23199</v>
      </c>
      <c r="L1482" t="s">
        <v>36</v>
      </c>
      <c r="M1482" t="s">
        <v>37</v>
      </c>
      <c r="N1482" t="s">
        <v>72</v>
      </c>
      <c r="O1482" t="s">
        <v>39</v>
      </c>
      <c r="P1482" t="s">
        <v>40</v>
      </c>
      <c r="Q1482">
        <v>3</v>
      </c>
      <c r="R1482" s="2">
        <v>44859</v>
      </c>
      <c r="S1482">
        <v>1</v>
      </c>
      <c r="T1482">
        <v>3</v>
      </c>
      <c r="U1482">
        <v>3</v>
      </c>
      <c r="V1482" s="1">
        <v>45005</v>
      </c>
      <c r="W1482" t="s">
        <v>68</v>
      </c>
      <c r="X1482" t="s">
        <v>42</v>
      </c>
      <c r="Y1482" t="s">
        <v>52</v>
      </c>
      <c r="Z1482">
        <v>3</v>
      </c>
      <c r="AA1482">
        <v>236.34</v>
      </c>
      <c r="AB1482">
        <v>59</v>
      </c>
    </row>
    <row r="1483" spans="1:28" x14ac:dyDescent="0.2">
      <c r="A1483">
        <v>2001</v>
      </c>
      <c r="B1483" s="1">
        <v>43747</v>
      </c>
      <c r="C1483" t="s">
        <v>28</v>
      </c>
      <c r="D1483" t="s">
        <v>85</v>
      </c>
      <c r="E1483" t="s">
        <v>108</v>
      </c>
      <c r="F1483" t="s">
        <v>31</v>
      </c>
      <c r="G1483" t="s">
        <v>56</v>
      </c>
      <c r="H1483" t="s">
        <v>55</v>
      </c>
      <c r="I1483" t="s">
        <v>34</v>
      </c>
      <c r="J1483" t="s">
        <v>105</v>
      </c>
      <c r="K1483" s="2">
        <v>28354</v>
      </c>
      <c r="L1483" t="s">
        <v>36</v>
      </c>
      <c r="M1483" t="s">
        <v>37</v>
      </c>
      <c r="N1483" t="s">
        <v>38</v>
      </c>
      <c r="O1483" t="s">
        <v>39</v>
      </c>
      <c r="P1483" t="s">
        <v>40</v>
      </c>
      <c r="Q1483">
        <v>3</v>
      </c>
      <c r="R1483" s="2">
        <v>44966</v>
      </c>
      <c r="S1483">
        <v>5</v>
      </c>
      <c r="T1483">
        <v>3</v>
      </c>
      <c r="U1483">
        <v>5</v>
      </c>
      <c r="V1483" s="1">
        <v>45050</v>
      </c>
      <c r="W1483" t="s">
        <v>41</v>
      </c>
      <c r="X1483" t="s">
        <v>42</v>
      </c>
      <c r="Y1483" t="s">
        <v>52</v>
      </c>
      <c r="Z1483">
        <v>4</v>
      </c>
      <c r="AA1483">
        <v>504.62</v>
      </c>
      <c r="AB1483">
        <v>42</v>
      </c>
    </row>
    <row r="1484" spans="1:28" x14ac:dyDescent="0.2">
      <c r="A1484">
        <v>2002</v>
      </c>
      <c r="B1484" s="1">
        <v>43385</v>
      </c>
      <c r="C1484" t="s">
        <v>28</v>
      </c>
      <c r="D1484" t="s">
        <v>64</v>
      </c>
      <c r="E1484" t="s">
        <v>108</v>
      </c>
      <c r="F1484" t="s">
        <v>31</v>
      </c>
      <c r="G1484" t="s">
        <v>56</v>
      </c>
      <c r="H1484" t="s">
        <v>33</v>
      </c>
      <c r="I1484" t="s">
        <v>34</v>
      </c>
      <c r="J1484" t="s">
        <v>65</v>
      </c>
      <c r="K1484" s="2">
        <v>33018</v>
      </c>
      <c r="L1484" t="s">
        <v>36</v>
      </c>
      <c r="M1484" t="s">
        <v>37</v>
      </c>
      <c r="N1484" t="s">
        <v>38</v>
      </c>
      <c r="O1484" t="s">
        <v>67</v>
      </c>
      <c r="P1484" t="s">
        <v>40</v>
      </c>
      <c r="Q1484">
        <v>3</v>
      </c>
      <c r="R1484" s="2">
        <v>44996</v>
      </c>
      <c r="S1484">
        <v>1</v>
      </c>
      <c r="T1484">
        <v>4</v>
      </c>
      <c r="U1484">
        <v>2</v>
      </c>
      <c r="V1484" s="1">
        <v>44860</v>
      </c>
      <c r="W1484" t="s">
        <v>62</v>
      </c>
      <c r="X1484" t="s">
        <v>51</v>
      </c>
      <c r="Y1484" t="s">
        <v>52</v>
      </c>
      <c r="Z1484">
        <v>1</v>
      </c>
      <c r="AA1484">
        <v>217.86</v>
      </c>
      <c r="AB1484">
        <v>28</v>
      </c>
    </row>
    <row r="1485" spans="1:28" x14ac:dyDescent="0.2">
      <c r="A1485">
        <v>2003</v>
      </c>
      <c r="B1485" s="1">
        <v>43934</v>
      </c>
      <c r="C1485" t="s">
        <v>28</v>
      </c>
      <c r="D1485" t="s">
        <v>74</v>
      </c>
      <c r="E1485" t="s">
        <v>108</v>
      </c>
      <c r="F1485" t="s">
        <v>31</v>
      </c>
      <c r="G1485" t="s">
        <v>56</v>
      </c>
      <c r="H1485" t="s">
        <v>46</v>
      </c>
      <c r="I1485" t="s">
        <v>34</v>
      </c>
      <c r="J1485" t="s">
        <v>100</v>
      </c>
      <c r="K1485" s="2">
        <v>31229</v>
      </c>
      <c r="L1485" t="s">
        <v>36</v>
      </c>
      <c r="M1485" t="s">
        <v>37</v>
      </c>
      <c r="N1485" t="s">
        <v>60</v>
      </c>
      <c r="O1485" t="s">
        <v>67</v>
      </c>
      <c r="P1485" t="s">
        <v>40</v>
      </c>
      <c r="Q1485">
        <v>3</v>
      </c>
      <c r="R1485" s="2">
        <v>45096</v>
      </c>
      <c r="S1485">
        <v>5</v>
      </c>
      <c r="T1485">
        <v>5</v>
      </c>
      <c r="U1485">
        <v>1</v>
      </c>
      <c r="V1485" s="1">
        <v>44907</v>
      </c>
      <c r="W1485" t="s">
        <v>68</v>
      </c>
      <c r="X1485" t="s">
        <v>51</v>
      </c>
      <c r="Y1485" t="s">
        <v>63</v>
      </c>
      <c r="Z1485">
        <v>4</v>
      </c>
      <c r="AA1485">
        <v>148.97</v>
      </c>
      <c r="AB1485">
        <v>35</v>
      </c>
    </row>
    <row r="1486" spans="1:28" x14ac:dyDescent="0.2">
      <c r="A1486">
        <v>2004</v>
      </c>
      <c r="B1486" s="1">
        <v>44311</v>
      </c>
      <c r="C1486" t="s">
        <v>28</v>
      </c>
      <c r="D1486" t="s">
        <v>94</v>
      </c>
      <c r="E1486" t="s">
        <v>30</v>
      </c>
      <c r="F1486" t="s">
        <v>31</v>
      </c>
      <c r="G1486" t="s">
        <v>56</v>
      </c>
      <c r="H1486" t="s">
        <v>55</v>
      </c>
      <c r="I1486" t="s">
        <v>34</v>
      </c>
      <c r="J1486" t="s">
        <v>79</v>
      </c>
      <c r="K1486" s="2">
        <v>36986</v>
      </c>
      <c r="L1486" t="s">
        <v>36</v>
      </c>
      <c r="M1486" t="s">
        <v>37</v>
      </c>
      <c r="N1486" t="s">
        <v>60</v>
      </c>
      <c r="O1486" t="s">
        <v>77</v>
      </c>
      <c r="P1486" t="s">
        <v>40</v>
      </c>
      <c r="Q1486">
        <v>3</v>
      </c>
      <c r="R1486" s="2">
        <v>45051</v>
      </c>
      <c r="S1486">
        <v>3</v>
      </c>
      <c r="T1486">
        <v>3</v>
      </c>
      <c r="U1486">
        <v>4</v>
      </c>
      <c r="V1486" s="1">
        <v>44984</v>
      </c>
      <c r="W1486" t="s">
        <v>41</v>
      </c>
      <c r="X1486" t="s">
        <v>42</v>
      </c>
      <c r="Y1486" t="s">
        <v>63</v>
      </c>
      <c r="Z1486">
        <v>1</v>
      </c>
      <c r="AA1486">
        <v>628.83000000000004</v>
      </c>
      <c r="AB1486">
        <v>20</v>
      </c>
    </row>
    <row r="1487" spans="1:28" x14ac:dyDescent="0.2">
      <c r="A1487">
        <v>2005</v>
      </c>
      <c r="B1487" s="1">
        <v>43455</v>
      </c>
      <c r="C1487" t="s">
        <v>28</v>
      </c>
      <c r="D1487" t="s">
        <v>74</v>
      </c>
      <c r="E1487" t="s">
        <v>30</v>
      </c>
      <c r="F1487" t="s">
        <v>46</v>
      </c>
      <c r="G1487" t="s">
        <v>56</v>
      </c>
      <c r="H1487" t="s">
        <v>46</v>
      </c>
      <c r="I1487" t="s">
        <v>34</v>
      </c>
      <c r="J1487" t="s">
        <v>89</v>
      </c>
      <c r="K1487" s="2">
        <v>17235</v>
      </c>
      <c r="L1487" t="s">
        <v>36</v>
      </c>
      <c r="M1487" t="s">
        <v>37</v>
      </c>
      <c r="N1487" t="s">
        <v>84</v>
      </c>
      <c r="O1487" t="s">
        <v>39</v>
      </c>
      <c r="P1487" t="s">
        <v>40</v>
      </c>
      <c r="Q1487">
        <v>3</v>
      </c>
      <c r="R1487" s="2">
        <v>44869</v>
      </c>
      <c r="S1487">
        <v>2</v>
      </c>
      <c r="T1487">
        <v>1</v>
      </c>
      <c r="U1487">
        <v>2</v>
      </c>
      <c r="V1487" s="1">
        <v>45038</v>
      </c>
      <c r="W1487" t="s">
        <v>41</v>
      </c>
      <c r="X1487" t="s">
        <v>42</v>
      </c>
      <c r="Y1487" t="s">
        <v>63</v>
      </c>
      <c r="Z1487">
        <v>2</v>
      </c>
      <c r="AA1487">
        <v>458.78</v>
      </c>
      <c r="AB1487">
        <v>71</v>
      </c>
    </row>
    <row r="1488" spans="1:28" x14ac:dyDescent="0.2">
      <c r="A1488">
        <v>2006</v>
      </c>
      <c r="B1488" s="1">
        <v>44458</v>
      </c>
      <c r="C1488" t="s">
        <v>28</v>
      </c>
      <c r="D1488" t="s">
        <v>81</v>
      </c>
      <c r="E1488" t="s">
        <v>30</v>
      </c>
      <c r="F1488" t="s">
        <v>31</v>
      </c>
      <c r="G1488" t="s">
        <v>32</v>
      </c>
      <c r="H1488" t="s">
        <v>33</v>
      </c>
      <c r="I1488" t="s">
        <v>34</v>
      </c>
      <c r="J1488" t="s">
        <v>82</v>
      </c>
      <c r="K1488" s="2">
        <v>26960</v>
      </c>
      <c r="L1488" t="s">
        <v>36</v>
      </c>
      <c r="M1488" t="s">
        <v>48</v>
      </c>
      <c r="N1488" t="s">
        <v>60</v>
      </c>
      <c r="O1488" t="s">
        <v>67</v>
      </c>
      <c r="P1488" t="s">
        <v>40</v>
      </c>
      <c r="Q1488">
        <v>3</v>
      </c>
      <c r="R1488" s="2">
        <v>44855</v>
      </c>
      <c r="S1488">
        <v>5</v>
      </c>
      <c r="T1488">
        <v>5</v>
      </c>
      <c r="U1488">
        <v>2</v>
      </c>
      <c r="V1488" s="1">
        <v>44917</v>
      </c>
      <c r="W1488" t="s">
        <v>92</v>
      </c>
      <c r="X1488" t="s">
        <v>51</v>
      </c>
      <c r="Y1488" t="s">
        <v>63</v>
      </c>
      <c r="Z1488">
        <v>2</v>
      </c>
      <c r="AA1488">
        <v>892.65</v>
      </c>
      <c r="AB1488">
        <v>48</v>
      </c>
    </row>
    <row r="1489" spans="1:28" x14ac:dyDescent="0.2">
      <c r="A1489">
        <v>2007</v>
      </c>
      <c r="B1489" s="1">
        <v>44180</v>
      </c>
      <c r="C1489" t="s">
        <v>28</v>
      </c>
      <c r="D1489" t="s">
        <v>54</v>
      </c>
      <c r="E1489" t="s">
        <v>30</v>
      </c>
      <c r="F1489" t="s">
        <v>55</v>
      </c>
      <c r="G1489" t="s">
        <v>32</v>
      </c>
      <c r="H1489" t="s">
        <v>33</v>
      </c>
      <c r="I1489" t="s">
        <v>34</v>
      </c>
      <c r="J1489" t="s">
        <v>89</v>
      </c>
      <c r="K1489" s="2">
        <v>28980</v>
      </c>
      <c r="L1489" t="s">
        <v>36</v>
      </c>
      <c r="M1489" t="s">
        <v>37</v>
      </c>
      <c r="N1489" t="s">
        <v>72</v>
      </c>
      <c r="O1489" t="s">
        <v>39</v>
      </c>
      <c r="P1489" t="s">
        <v>40</v>
      </c>
      <c r="Q1489">
        <v>3</v>
      </c>
      <c r="R1489" s="2">
        <v>45135</v>
      </c>
      <c r="S1489">
        <v>4</v>
      </c>
      <c r="T1489">
        <v>1</v>
      </c>
      <c r="U1489">
        <v>5</v>
      </c>
      <c r="V1489" s="1">
        <v>44985</v>
      </c>
      <c r="W1489" t="s">
        <v>92</v>
      </c>
      <c r="X1489" t="s">
        <v>51</v>
      </c>
      <c r="Y1489" t="s">
        <v>73</v>
      </c>
      <c r="Z1489">
        <v>1</v>
      </c>
      <c r="AA1489">
        <v>211.17</v>
      </c>
      <c r="AB1489">
        <v>41</v>
      </c>
    </row>
    <row r="1490" spans="1:28" x14ac:dyDescent="0.2">
      <c r="A1490">
        <v>2008</v>
      </c>
      <c r="B1490" s="1">
        <v>43661</v>
      </c>
      <c r="C1490" t="s">
        <v>28</v>
      </c>
      <c r="D1490" t="s">
        <v>69</v>
      </c>
      <c r="E1490" t="s">
        <v>30</v>
      </c>
      <c r="F1490" t="s">
        <v>46</v>
      </c>
      <c r="G1490" t="s">
        <v>45</v>
      </c>
      <c r="H1490" t="s">
        <v>33</v>
      </c>
      <c r="I1490" t="s">
        <v>34</v>
      </c>
      <c r="J1490" t="s">
        <v>70</v>
      </c>
      <c r="K1490" s="2">
        <v>15222</v>
      </c>
      <c r="L1490" t="s">
        <v>36</v>
      </c>
      <c r="M1490" t="s">
        <v>37</v>
      </c>
      <c r="N1490" t="s">
        <v>84</v>
      </c>
      <c r="O1490" t="s">
        <v>39</v>
      </c>
      <c r="P1490" t="s">
        <v>40</v>
      </c>
      <c r="Q1490">
        <v>3</v>
      </c>
      <c r="R1490" s="2">
        <v>45002</v>
      </c>
      <c r="S1490">
        <v>1</v>
      </c>
      <c r="T1490">
        <v>2</v>
      </c>
      <c r="U1490">
        <v>2</v>
      </c>
      <c r="V1490" s="1">
        <v>44858</v>
      </c>
      <c r="W1490" t="s">
        <v>62</v>
      </c>
      <c r="X1490" t="s">
        <v>51</v>
      </c>
      <c r="Y1490" t="s">
        <v>73</v>
      </c>
      <c r="Z1490">
        <v>2</v>
      </c>
      <c r="AA1490">
        <v>478.95</v>
      </c>
      <c r="AB1490">
        <v>78</v>
      </c>
    </row>
    <row r="1491" spans="1:28" x14ac:dyDescent="0.2">
      <c r="A1491">
        <v>2009</v>
      </c>
      <c r="B1491" s="1">
        <v>44517</v>
      </c>
      <c r="C1491" t="s">
        <v>28</v>
      </c>
      <c r="D1491" t="s">
        <v>29</v>
      </c>
      <c r="E1491" t="s">
        <v>30</v>
      </c>
      <c r="F1491" t="s">
        <v>31</v>
      </c>
      <c r="G1491" t="s">
        <v>32</v>
      </c>
      <c r="H1491" t="s">
        <v>33</v>
      </c>
      <c r="I1491" t="s">
        <v>34</v>
      </c>
      <c r="J1491" t="s">
        <v>96</v>
      </c>
      <c r="K1491" s="2">
        <v>35704</v>
      </c>
      <c r="L1491" t="s">
        <v>36</v>
      </c>
      <c r="M1491" t="s">
        <v>37</v>
      </c>
      <c r="N1491" t="s">
        <v>38</v>
      </c>
      <c r="O1491" t="s">
        <v>39</v>
      </c>
      <c r="P1491" t="s">
        <v>40</v>
      </c>
      <c r="Q1491">
        <v>3</v>
      </c>
      <c r="R1491" s="2">
        <v>44984</v>
      </c>
      <c r="S1491">
        <v>5</v>
      </c>
      <c r="T1491">
        <v>2</v>
      </c>
      <c r="U1491">
        <v>2</v>
      </c>
      <c r="V1491" s="1">
        <v>44946</v>
      </c>
      <c r="W1491" t="s">
        <v>50</v>
      </c>
      <c r="X1491" t="s">
        <v>42</v>
      </c>
      <c r="Y1491" t="s">
        <v>52</v>
      </c>
      <c r="Z1491">
        <v>1</v>
      </c>
      <c r="AA1491">
        <v>319.94</v>
      </c>
      <c r="AB1491">
        <v>24</v>
      </c>
    </row>
    <row r="1492" spans="1:28" x14ac:dyDescent="0.2">
      <c r="A1492">
        <v>2010</v>
      </c>
      <c r="B1492" s="1">
        <v>44961</v>
      </c>
      <c r="C1492" t="s">
        <v>28</v>
      </c>
      <c r="D1492" t="s">
        <v>85</v>
      </c>
      <c r="E1492" t="s">
        <v>30</v>
      </c>
      <c r="F1492" t="s">
        <v>46</v>
      </c>
      <c r="G1492" t="s">
        <v>56</v>
      </c>
      <c r="H1492" t="s">
        <v>46</v>
      </c>
      <c r="I1492" t="s">
        <v>34</v>
      </c>
      <c r="J1492" t="s">
        <v>102</v>
      </c>
      <c r="K1492" s="2">
        <v>17964</v>
      </c>
      <c r="L1492" t="s">
        <v>36</v>
      </c>
      <c r="M1492" t="s">
        <v>37</v>
      </c>
      <c r="N1492" t="s">
        <v>49</v>
      </c>
      <c r="O1492" t="s">
        <v>67</v>
      </c>
      <c r="P1492" t="s">
        <v>40</v>
      </c>
      <c r="Q1492">
        <v>3</v>
      </c>
      <c r="R1492" s="2">
        <v>44974</v>
      </c>
      <c r="S1492">
        <v>4</v>
      </c>
      <c r="T1492">
        <v>4</v>
      </c>
      <c r="U1492">
        <v>4</v>
      </c>
      <c r="V1492" s="1">
        <v>44795</v>
      </c>
      <c r="W1492" t="s">
        <v>92</v>
      </c>
      <c r="X1492" t="s">
        <v>42</v>
      </c>
      <c r="Y1492" t="s">
        <v>73</v>
      </c>
      <c r="Z1492">
        <v>2</v>
      </c>
      <c r="AA1492">
        <v>601.66</v>
      </c>
      <c r="AB1492">
        <v>74</v>
      </c>
    </row>
    <row r="1493" spans="1:28" x14ac:dyDescent="0.2">
      <c r="A1493">
        <v>2011</v>
      </c>
      <c r="B1493" s="1">
        <v>44745</v>
      </c>
      <c r="C1493" t="s">
        <v>28</v>
      </c>
      <c r="D1493" t="s">
        <v>44</v>
      </c>
      <c r="E1493" t="s">
        <v>30</v>
      </c>
      <c r="F1493" t="s">
        <v>31</v>
      </c>
      <c r="G1493" t="s">
        <v>56</v>
      </c>
      <c r="H1493" t="s">
        <v>33</v>
      </c>
      <c r="I1493" t="s">
        <v>34</v>
      </c>
      <c r="J1493" t="s">
        <v>35</v>
      </c>
      <c r="K1493" s="2">
        <v>34552</v>
      </c>
      <c r="L1493" t="s">
        <v>36</v>
      </c>
      <c r="M1493" t="s">
        <v>37</v>
      </c>
      <c r="N1493" t="s">
        <v>84</v>
      </c>
      <c r="O1493" t="s">
        <v>67</v>
      </c>
      <c r="P1493" t="s">
        <v>40</v>
      </c>
      <c r="Q1493">
        <v>3</v>
      </c>
      <c r="R1493" s="2">
        <v>44953</v>
      </c>
      <c r="S1493">
        <v>3</v>
      </c>
      <c r="T1493">
        <v>2</v>
      </c>
      <c r="U1493">
        <v>2</v>
      </c>
      <c r="V1493" s="1">
        <v>45046</v>
      </c>
      <c r="W1493" t="s">
        <v>41</v>
      </c>
      <c r="X1493" t="s">
        <v>42</v>
      </c>
      <c r="Y1493" t="s">
        <v>63</v>
      </c>
      <c r="Z1493">
        <v>1</v>
      </c>
      <c r="AA1493">
        <v>999.96</v>
      </c>
      <c r="AB1493">
        <v>28</v>
      </c>
    </row>
    <row r="1494" spans="1:28" x14ac:dyDescent="0.2">
      <c r="A1494">
        <v>2012</v>
      </c>
      <c r="B1494" s="1">
        <v>43854</v>
      </c>
      <c r="C1494" t="s">
        <v>28</v>
      </c>
      <c r="D1494" t="s">
        <v>87</v>
      </c>
      <c r="E1494" t="s">
        <v>30</v>
      </c>
      <c r="F1494" t="s">
        <v>31</v>
      </c>
      <c r="G1494" t="s">
        <v>56</v>
      </c>
      <c r="H1494" t="s">
        <v>55</v>
      </c>
      <c r="I1494" t="s">
        <v>34</v>
      </c>
      <c r="J1494" t="s">
        <v>58</v>
      </c>
      <c r="K1494" s="2">
        <v>30839</v>
      </c>
      <c r="L1494" t="s">
        <v>36</v>
      </c>
      <c r="M1494" t="s">
        <v>37</v>
      </c>
      <c r="N1494" t="s">
        <v>38</v>
      </c>
      <c r="O1494" t="s">
        <v>61</v>
      </c>
      <c r="P1494" t="s">
        <v>40</v>
      </c>
      <c r="Q1494">
        <v>3</v>
      </c>
      <c r="R1494" s="2">
        <v>45133</v>
      </c>
      <c r="S1494">
        <v>2</v>
      </c>
      <c r="T1494">
        <v>3</v>
      </c>
      <c r="U1494">
        <v>2</v>
      </c>
      <c r="V1494" s="1">
        <v>44822</v>
      </c>
      <c r="W1494" t="s">
        <v>92</v>
      </c>
      <c r="X1494" t="s">
        <v>51</v>
      </c>
      <c r="Y1494" t="s">
        <v>52</v>
      </c>
      <c r="Z1494">
        <v>2</v>
      </c>
      <c r="AA1494">
        <v>138.66999999999999</v>
      </c>
      <c r="AB1494">
        <v>36</v>
      </c>
    </row>
    <row r="1495" spans="1:28" x14ac:dyDescent="0.2">
      <c r="A1495">
        <v>2013</v>
      </c>
      <c r="B1495" s="1">
        <v>43653</v>
      </c>
      <c r="C1495" t="s">
        <v>28</v>
      </c>
      <c r="D1495" t="s">
        <v>64</v>
      </c>
      <c r="E1495" t="s">
        <v>30</v>
      </c>
      <c r="F1495" t="s">
        <v>31</v>
      </c>
      <c r="G1495" t="s">
        <v>45</v>
      </c>
      <c r="H1495" t="s">
        <v>33</v>
      </c>
      <c r="I1495" t="s">
        <v>34</v>
      </c>
      <c r="J1495" t="s">
        <v>65</v>
      </c>
      <c r="K1495" s="2">
        <v>19092</v>
      </c>
      <c r="L1495" t="s">
        <v>36</v>
      </c>
      <c r="M1495" t="s">
        <v>37</v>
      </c>
      <c r="N1495" t="s">
        <v>72</v>
      </c>
      <c r="O1495" t="s">
        <v>39</v>
      </c>
      <c r="P1495" t="s">
        <v>40</v>
      </c>
      <c r="Q1495">
        <v>3</v>
      </c>
      <c r="R1495" s="2">
        <v>44992</v>
      </c>
      <c r="S1495">
        <v>4</v>
      </c>
      <c r="T1495">
        <v>5</v>
      </c>
      <c r="U1495">
        <v>4</v>
      </c>
      <c r="V1495" s="1">
        <v>44978</v>
      </c>
      <c r="W1495" t="s">
        <v>41</v>
      </c>
      <c r="X1495" t="s">
        <v>51</v>
      </c>
      <c r="Y1495" t="s">
        <v>43</v>
      </c>
      <c r="Z1495">
        <v>2</v>
      </c>
      <c r="AA1495">
        <v>962.76</v>
      </c>
      <c r="AB1495">
        <v>67</v>
      </c>
    </row>
    <row r="1496" spans="1:28" x14ac:dyDescent="0.2">
      <c r="A1496">
        <v>2014</v>
      </c>
      <c r="B1496" s="1">
        <v>44633</v>
      </c>
      <c r="C1496" t="s">
        <v>106</v>
      </c>
      <c r="D1496" t="s">
        <v>44</v>
      </c>
      <c r="E1496" t="s">
        <v>30</v>
      </c>
      <c r="F1496" t="s">
        <v>46</v>
      </c>
      <c r="G1496" t="s">
        <v>56</v>
      </c>
      <c r="H1496" t="s">
        <v>33</v>
      </c>
      <c r="I1496" t="s">
        <v>34</v>
      </c>
      <c r="J1496" t="s">
        <v>89</v>
      </c>
      <c r="K1496" s="2">
        <v>30997</v>
      </c>
      <c r="L1496" t="s">
        <v>36</v>
      </c>
      <c r="M1496" t="s">
        <v>37</v>
      </c>
      <c r="N1496" t="s">
        <v>84</v>
      </c>
      <c r="O1496" t="s">
        <v>77</v>
      </c>
      <c r="P1496" t="s">
        <v>40</v>
      </c>
      <c r="Q1496">
        <v>3</v>
      </c>
      <c r="R1496" s="2">
        <v>44780</v>
      </c>
      <c r="S1496">
        <v>2</v>
      </c>
      <c r="T1496">
        <v>5</v>
      </c>
      <c r="U1496">
        <v>4</v>
      </c>
      <c r="V1496" s="1">
        <v>44987</v>
      </c>
      <c r="W1496" t="s">
        <v>68</v>
      </c>
      <c r="X1496" t="s">
        <v>51</v>
      </c>
      <c r="Y1496" t="s">
        <v>52</v>
      </c>
      <c r="Z1496">
        <v>4</v>
      </c>
      <c r="AA1496">
        <v>106.88</v>
      </c>
      <c r="AB1496">
        <v>38</v>
      </c>
    </row>
    <row r="1497" spans="1:28" x14ac:dyDescent="0.2">
      <c r="A1497">
        <v>2015</v>
      </c>
      <c r="B1497" s="1">
        <v>45079</v>
      </c>
      <c r="C1497" t="s">
        <v>106</v>
      </c>
      <c r="D1497" t="s">
        <v>87</v>
      </c>
      <c r="E1497" t="s">
        <v>30</v>
      </c>
      <c r="F1497" t="s">
        <v>46</v>
      </c>
      <c r="G1497" t="s">
        <v>56</v>
      </c>
      <c r="H1497" t="s">
        <v>46</v>
      </c>
      <c r="I1497" t="s">
        <v>34</v>
      </c>
      <c r="J1497" t="s">
        <v>79</v>
      </c>
      <c r="K1497" s="2">
        <v>33668</v>
      </c>
      <c r="L1497" t="s">
        <v>36</v>
      </c>
      <c r="M1497" t="s">
        <v>37</v>
      </c>
      <c r="N1497" t="s">
        <v>38</v>
      </c>
      <c r="O1497" t="s">
        <v>39</v>
      </c>
      <c r="P1497" t="s">
        <v>40</v>
      </c>
      <c r="Q1497">
        <v>3</v>
      </c>
      <c r="R1497" s="2">
        <v>44786</v>
      </c>
      <c r="S1497">
        <v>4</v>
      </c>
      <c r="T1497">
        <v>3</v>
      </c>
      <c r="U1497">
        <v>1</v>
      </c>
      <c r="V1497" s="1">
        <v>44834</v>
      </c>
      <c r="W1497" t="s">
        <v>41</v>
      </c>
      <c r="X1497" t="s">
        <v>42</v>
      </c>
      <c r="Y1497" t="s">
        <v>73</v>
      </c>
      <c r="Z1497">
        <v>1</v>
      </c>
      <c r="AA1497">
        <v>561.89</v>
      </c>
      <c r="AB1497">
        <v>31</v>
      </c>
    </row>
    <row r="1498" spans="1:28" x14ac:dyDescent="0.2">
      <c r="A1498">
        <v>2016</v>
      </c>
      <c r="B1498" s="1">
        <v>44294</v>
      </c>
      <c r="C1498" t="s">
        <v>106</v>
      </c>
      <c r="D1498" t="s">
        <v>81</v>
      </c>
      <c r="E1498" t="s">
        <v>30</v>
      </c>
      <c r="F1498" t="s">
        <v>31</v>
      </c>
      <c r="G1498" t="s">
        <v>32</v>
      </c>
      <c r="H1498" t="s">
        <v>55</v>
      </c>
      <c r="I1498" t="s">
        <v>34</v>
      </c>
      <c r="J1498" t="s">
        <v>70</v>
      </c>
      <c r="K1498" s="2">
        <v>21459</v>
      </c>
      <c r="L1498" t="s">
        <v>36</v>
      </c>
      <c r="M1498" t="s">
        <v>37</v>
      </c>
      <c r="N1498" t="s">
        <v>38</v>
      </c>
      <c r="O1498" t="s">
        <v>39</v>
      </c>
      <c r="P1498" t="s">
        <v>40</v>
      </c>
      <c r="Q1498">
        <v>3</v>
      </c>
      <c r="R1498" s="2">
        <v>45077</v>
      </c>
      <c r="S1498">
        <v>1</v>
      </c>
      <c r="T1498">
        <v>3</v>
      </c>
      <c r="U1498">
        <v>5</v>
      </c>
      <c r="V1498" s="1">
        <v>44817</v>
      </c>
      <c r="W1498" t="s">
        <v>68</v>
      </c>
      <c r="X1498" t="s">
        <v>42</v>
      </c>
      <c r="Y1498" t="s">
        <v>52</v>
      </c>
      <c r="Z1498">
        <v>5</v>
      </c>
      <c r="AA1498">
        <v>775.52</v>
      </c>
      <c r="AB1498">
        <v>63</v>
      </c>
    </row>
    <row r="1499" spans="1:28" x14ac:dyDescent="0.2">
      <c r="A1499">
        <v>2017</v>
      </c>
      <c r="B1499" s="1">
        <v>43801</v>
      </c>
      <c r="C1499" t="s">
        <v>106</v>
      </c>
      <c r="D1499" t="s">
        <v>54</v>
      </c>
      <c r="E1499" t="s">
        <v>30</v>
      </c>
      <c r="F1499" t="s">
        <v>55</v>
      </c>
      <c r="G1499" t="s">
        <v>56</v>
      </c>
      <c r="H1499" t="s">
        <v>46</v>
      </c>
      <c r="I1499" t="s">
        <v>34</v>
      </c>
      <c r="J1499" t="s">
        <v>47</v>
      </c>
      <c r="K1499" s="2">
        <v>26040</v>
      </c>
      <c r="L1499" t="s">
        <v>36</v>
      </c>
      <c r="M1499" t="s">
        <v>37</v>
      </c>
      <c r="N1499" t="s">
        <v>72</v>
      </c>
      <c r="O1499" t="s">
        <v>61</v>
      </c>
      <c r="P1499" t="s">
        <v>40</v>
      </c>
      <c r="Q1499">
        <v>3</v>
      </c>
      <c r="R1499" s="2">
        <v>45118</v>
      </c>
      <c r="S1499">
        <v>2</v>
      </c>
      <c r="T1499">
        <v>5</v>
      </c>
      <c r="U1499">
        <v>4</v>
      </c>
      <c r="V1499" s="1">
        <v>44898</v>
      </c>
      <c r="W1499" t="s">
        <v>92</v>
      </c>
      <c r="X1499" t="s">
        <v>51</v>
      </c>
      <c r="Y1499" t="s">
        <v>52</v>
      </c>
      <c r="Z1499">
        <v>4</v>
      </c>
      <c r="AA1499">
        <v>397.01</v>
      </c>
      <c r="AB1499">
        <v>48</v>
      </c>
    </row>
    <row r="1500" spans="1:28" x14ac:dyDescent="0.2">
      <c r="A1500">
        <v>2018</v>
      </c>
      <c r="B1500" s="1">
        <v>44629</v>
      </c>
      <c r="C1500" t="s">
        <v>106</v>
      </c>
      <c r="D1500" t="s">
        <v>94</v>
      </c>
      <c r="E1500" t="s">
        <v>30</v>
      </c>
      <c r="F1500" t="s">
        <v>31</v>
      </c>
      <c r="G1500" t="s">
        <v>32</v>
      </c>
      <c r="H1500" t="s">
        <v>33</v>
      </c>
      <c r="I1500" t="s">
        <v>34</v>
      </c>
      <c r="J1500" t="s">
        <v>105</v>
      </c>
      <c r="K1500" s="2">
        <v>31439</v>
      </c>
      <c r="L1500" t="s">
        <v>36</v>
      </c>
      <c r="M1500" t="s">
        <v>37</v>
      </c>
      <c r="N1500" t="s">
        <v>84</v>
      </c>
      <c r="O1500" t="s">
        <v>77</v>
      </c>
      <c r="P1500" t="s">
        <v>40</v>
      </c>
      <c r="Q1500">
        <v>3</v>
      </c>
      <c r="R1500" s="2">
        <v>44865</v>
      </c>
      <c r="S1500">
        <v>5</v>
      </c>
      <c r="T1500">
        <v>2</v>
      </c>
      <c r="U1500">
        <v>1</v>
      </c>
      <c r="V1500" s="1">
        <v>44794</v>
      </c>
      <c r="W1500" t="s">
        <v>50</v>
      </c>
      <c r="X1500" t="s">
        <v>51</v>
      </c>
      <c r="Y1500" t="s">
        <v>52</v>
      </c>
      <c r="Z1500">
        <v>5</v>
      </c>
      <c r="AA1500">
        <v>739.74</v>
      </c>
      <c r="AB1500">
        <v>36</v>
      </c>
    </row>
    <row r="1501" spans="1:28" x14ac:dyDescent="0.2">
      <c r="A1501">
        <v>2019</v>
      </c>
      <c r="B1501" s="1">
        <v>44646</v>
      </c>
      <c r="C1501" t="s">
        <v>106</v>
      </c>
      <c r="D1501" t="s">
        <v>85</v>
      </c>
      <c r="E1501" t="s">
        <v>30</v>
      </c>
      <c r="F1501" t="s">
        <v>55</v>
      </c>
      <c r="G1501" t="s">
        <v>32</v>
      </c>
      <c r="H1501" t="s">
        <v>33</v>
      </c>
      <c r="I1501" t="s">
        <v>34</v>
      </c>
      <c r="J1501" t="s">
        <v>70</v>
      </c>
      <c r="K1501" s="2">
        <v>28133</v>
      </c>
      <c r="L1501" t="s">
        <v>36</v>
      </c>
      <c r="M1501" t="s">
        <v>37</v>
      </c>
      <c r="N1501" t="s">
        <v>38</v>
      </c>
      <c r="O1501" t="s">
        <v>39</v>
      </c>
      <c r="P1501" t="s">
        <v>40</v>
      </c>
      <c r="Q1501">
        <v>3</v>
      </c>
      <c r="R1501" s="2">
        <v>45006</v>
      </c>
      <c r="S1501">
        <v>2</v>
      </c>
      <c r="T1501">
        <v>1</v>
      </c>
      <c r="U1501">
        <v>4</v>
      </c>
      <c r="V1501" s="1">
        <v>44840</v>
      </c>
      <c r="W1501" t="s">
        <v>68</v>
      </c>
      <c r="X1501" t="s">
        <v>51</v>
      </c>
      <c r="Y1501" t="s">
        <v>63</v>
      </c>
      <c r="Z1501">
        <v>2</v>
      </c>
      <c r="AA1501">
        <v>789.2</v>
      </c>
      <c r="AB1501">
        <v>45</v>
      </c>
    </row>
    <row r="1502" spans="1:28" x14ac:dyDescent="0.2">
      <c r="A1502">
        <v>2020</v>
      </c>
      <c r="B1502" s="1">
        <v>44324</v>
      </c>
      <c r="C1502" t="s">
        <v>106</v>
      </c>
      <c r="D1502" t="s">
        <v>64</v>
      </c>
      <c r="E1502" t="s">
        <v>30</v>
      </c>
      <c r="F1502" t="s">
        <v>46</v>
      </c>
      <c r="G1502" t="s">
        <v>45</v>
      </c>
      <c r="H1502" t="s">
        <v>55</v>
      </c>
      <c r="I1502" t="s">
        <v>34</v>
      </c>
      <c r="J1502" t="s">
        <v>101</v>
      </c>
      <c r="K1502" s="2">
        <v>16847</v>
      </c>
      <c r="L1502" t="s">
        <v>36</v>
      </c>
      <c r="M1502" t="s">
        <v>37</v>
      </c>
      <c r="N1502" t="s">
        <v>72</v>
      </c>
      <c r="O1502" t="s">
        <v>39</v>
      </c>
      <c r="P1502" t="s">
        <v>40</v>
      </c>
      <c r="Q1502">
        <v>3</v>
      </c>
      <c r="R1502" s="2">
        <v>44893</v>
      </c>
      <c r="S1502">
        <v>2</v>
      </c>
      <c r="T1502">
        <v>1</v>
      </c>
      <c r="U1502">
        <v>4</v>
      </c>
      <c r="V1502" s="1">
        <v>44791</v>
      </c>
      <c r="W1502" t="s">
        <v>41</v>
      </c>
      <c r="X1502" t="s">
        <v>42</v>
      </c>
      <c r="Y1502" t="s">
        <v>43</v>
      </c>
      <c r="Z1502">
        <v>3</v>
      </c>
      <c r="AA1502">
        <v>428.51</v>
      </c>
      <c r="AB1502">
        <v>75</v>
      </c>
    </row>
    <row r="1503" spans="1:28" x14ac:dyDescent="0.2">
      <c r="A1503">
        <v>2021</v>
      </c>
      <c r="B1503" s="1">
        <v>44894</v>
      </c>
      <c r="C1503" t="s">
        <v>106</v>
      </c>
      <c r="D1503" t="s">
        <v>74</v>
      </c>
      <c r="E1503" t="s">
        <v>30</v>
      </c>
      <c r="F1503" t="s">
        <v>46</v>
      </c>
      <c r="G1503" t="s">
        <v>45</v>
      </c>
      <c r="H1503" t="s">
        <v>33</v>
      </c>
      <c r="I1503" t="s">
        <v>34</v>
      </c>
      <c r="J1503" t="s">
        <v>70</v>
      </c>
      <c r="K1503" s="2">
        <v>20434</v>
      </c>
      <c r="L1503" t="s">
        <v>36</v>
      </c>
      <c r="M1503" t="s">
        <v>37</v>
      </c>
      <c r="N1503" t="s">
        <v>84</v>
      </c>
      <c r="O1503" t="s">
        <v>39</v>
      </c>
      <c r="P1503" t="s">
        <v>40</v>
      </c>
      <c r="Q1503">
        <v>3</v>
      </c>
      <c r="R1503" s="2">
        <v>44801</v>
      </c>
      <c r="S1503">
        <v>1</v>
      </c>
      <c r="T1503">
        <v>3</v>
      </c>
      <c r="U1503">
        <v>4</v>
      </c>
      <c r="V1503" s="1">
        <v>45045</v>
      </c>
      <c r="W1503" t="s">
        <v>62</v>
      </c>
      <c r="X1503" t="s">
        <v>51</v>
      </c>
      <c r="Y1503" t="s">
        <v>52</v>
      </c>
      <c r="Z1503">
        <v>4</v>
      </c>
      <c r="AA1503">
        <v>646.72</v>
      </c>
      <c r="AB1503">
        <v>67</v>
      </c>
    </row>
    <row r="1504" spans="1:28" x14ac:dyDescent="0.2">
      <c r="A1504">
        <v>2022</v>
      </c>
      <c r="B1504" s="1">
        <v>43609</v>
      </c>
      <c r="C1504" t="s">
        <v>106</v>
      </c>
      <c r="D1504" t="s">
        <v>69</v>
      </c>
      <c r="E1504" t="s">
        <v>30</v>
      </c>
      <c r="F1504" t="s">
        <v>31</v>
      </c>
      <c r="G1504" t="s">
        <v>56</v>
      </c>
      <c r="H1504" t="s">
        <v>46</v>
      </c>
      <c r="I1504" t="s">
        <v>34</v>
      </c>
      <c r="J1504" t="s">
        <v>103</v>
      </c>
      <c r="K1504" s="2">
        <v>15218</v>
      </c>
      <c r="L1504" t="s">
        <v>36</v>
      </c>
      <c r="M1504" t="s">
        <v>37</v>
      </c>
      <c r="N1504" t="s">
        <v>38</v>
      </c>
      <c r="O1504" t="s">
        <v>77</v>
      </c>
      <c r="P1504" t="s">
        <v>40</v>
      </c>
      <c r="Q1504">
        <v>3</v>
      </c>
      <c r="R1504" s="2">
        <v>44876</v>
      </c>
      <c r="S1504">
        <v>5</v>
      </c>
      <c r="T1504">
        <v>3</v>
      </c>
      <c r="U1504">
        <v>5</v>
      </c>
      <c r="V1504" s="1">
        <v>44843</v>
      </c>
      <c r="W1504" t="s">
        <v>41</v>
      </c>
      <c r="X1504" t="s">
        <v>51</v>
      </c>
      <c r="Y1504" t="s">
        <v>52</v>
      </c>
      <c r="Z1504">
        <v>3</v>
      </c>
      <c r="AA1504">
        <v>742.84</v>
      </c>
      <c r="AB1504">
        <v>78</v>
      </c>
    </row>
    <row r="1505" spans="1:28" x14ac:dyDescent="0.2">
      <c r="A1505">
        <v>2023</v>
      </c>
      <c r="B1505" s="1">
        <v>44590</v>
      </c>
      <c r="C1505" t="s">
        <v>106</v>
      </c>
      <c r="D1505" t="s">
        <v>29</v>
      </c>
      <c r="E1505" t="s">
        <v>30</v>
      </c>
      <c r="F1505" t="s">
        <v>46</v>
      </c>
      <c r="G1505" t="s">
        <v>32</v>
      </c>
      <c r="H1505" t="s">
        <v>46</v>
      </c>
      <c r="I1505" t="s">
        <v>34</v>
      </c>
      <c r="J1505" t="s">
        <v>65</v>
      </c>
      <c r="K1505" s="2">
        <v>22862</v>
      </c>
      <c r="L1505" t="s">
        <v>36</v>
      </c>
      <c r="M1505" t="s">
        <v>37</v>
      </c>
      <c r="N1505" t="s">
        <v>49</v>
      </c>
      <c r="O1505" t="s">
        <v>77</v>
      </c>
      <c r="P1505" t="s">
        <v>40</v>
      </c>
      <c r="Q1505">
        <v>3</v>
      </c>
      <c r="R1505" s="2">
        <v>44844</v>
      </c>
      <c r="S1505">
        <v>3</v>
      </c>
      <c r="T1505">
        <v>4</v>
      </c>
      <c r="U1505">
        <v>4</v>
      </c>
      <c r="V1505" s="1">
        <v>44890</v>
      </c>
      <c r="W1505" t="s">
        <v>92</v>
      </c>
      <c r="X1505" t="s">
        <v>51</v>
      </c>
      <c r="Y1505" t="s">
        <v>52</v>
      </c>
      <c r="Z1505">
        <v>2</v>
      </c>
      <c r="AA1505">
        <v>894.92</v>
      </c>
      <c r="AB1505">
        <v>60</v>
      </c>
    </row>
    <row r="1506" spans="1:28" x14ac:dyDescent="0.2">
      <c r="A1506">
        <v>2024</v>
      </c>
      <c r="B1506" s="1">
        <v>44383</v>
      </c>
      <c r="C1506" t="s">
        <v>106</v>
      </c>
      <c r="D1506" t="s">
        <v>44</v>
      </c>
      <c r="E1506" t="s">
        <v>30</v>
      </c>
      <c r="F1506" t="s">
        <v>55</v>
      </c>
      <c r="G1506" t="s">
        <v>32</v>
      </c>
      <c r="H1506" t="s">
        <v>55</v>
      </c>
      <c r="I1506" t="s">
        <v>34</v>
      </c>
      <c r="J1506" t="s">
        <v>70</v>
      </c>
      <c r="K1506" s="2">
        <v>33322</v>
      </c>
      <c r="L1506" t="s">
        <v>36</v>
      </c>
      <c r="M1506" t="s">
        <v>37</v>
      </c>
      <c r="N1506" t="s">
        <v>84</v>
      </c>
      <c r="O1506" t="s">
        <v>61</v>
      </c>
      <c r="P1506" t="s">
        <v>40</v>
      </c>
      <c r="Q1506">
        <v>3</v>
      </c>
      <c r="R1506" s="2">
        <v>44859</v>
      </c>
      <c r="S1506">
        <v>2</v>
      </c>
      <c r="T1506">
        <v>1</v>
      </c>
      <c r="U1506">
        <v>5</v>
      </c>
      <c r="V1506" s="1">
        <v>45088</v>
      </c>
      <c r="W1506" t="s">
        <v>92</v>
      </c>
      <c r="X1506" t="s">
        <v>51</v>
      </c>
      <c r="Y1506" t="s">
        <v>43</v>
      </c>
      <c r="Z1506">
        <v>1</v>
      </c>
      <c r="AA1506">
        <v>222.56</v>
      </c>
      <c r="AB1506">
        <v>30</v>
      </c>
    </row>
    <row r="1507" spans="1:28" x14ac:dyDescent="0.2">
      <c r="A1507">
        <v>2025</v>
      </c>
      <c r="B1507" s="1">
        <v>44225</v>
      </c>
      <c r="C1507" t="s">
        <v>106</v>
      </c>
      <c r="D1507" t="s">
        <v>87</v>
      </c>
      <c r="E1507" t="s">
        <v>30</v>
      </c>
      <c r="F1507" t="s">
        <v>46</v>
      </c>
      <c r="G1507" t="s">
        <v>32</v>
      </c>
      <c r="H1507" t="s">
        <v>33</v>
      </c>
      <c r="I1507" t="s">
        <v>34</v>
      </c>
      <c r="J1507" t="s">
        <v>70</v>
      </c>
      <c r="K1507" s="2">
        <v>27495</v>
      </c>
      <c r="L1507" t="s">
        <v>36</v>
      </c>
      <c r="M1507" t="s">
        <v>37</v>
      </c>
      <c r="N1507" t="s">
        <v>84</v>
      </c>
      <c r="O1507" t="s">
        <v>61</v>
      </c>
      <c r="P1507" t="s">
        <v>40</v>
      </c>
      <c r="Q1507">
        <v>3</v>
      </c>
      <c r="R1507" s="2">
        <v>45048</v>
      </c>
      <c r="S1507">
        <v>1</v>
      </c>
      <c r="T1507">
        <v>2</v>
      </c>
      <c r="U1507">
        <v>4</v>
      </c>
      <c r="V1507" s="1">
        <v>44943</v>
      </c>
      <c r="W1507" t="s">
        <v>68</v>
      </c>
      <c r="X1507" t="s">
        <v>42</v>
      </c>
      <c r="Y1507" t="s">
        <v>73</v>
      </c>
      <c r="Z1507">
        <v>2</v>
      </c>
      <c r="AA1507">
        <v>699.76</v>
      </c>
      <c r="AB1507">
        <v>46</v>
      </c>
    </row>
    <row r="1508" spans="1:28" x14ac:dyDescent="0.2">
      <c r="A1508">
        <v>2026</v>
      </c>
      <c r="B1508" s="1">
        <v>45059</v>
      </c>
      <c r="C1508" t="s">
        <v>28</v>
      </c>
      <c r="D1508" t="s">
        <v>85</v>
      </c>
      <c r="E1508" t="s">
        <v>30</v>
      </c>
      <c r="F1508" t="s">
        <v>31</v>
      </c>
      <c r="G1508" t="s">
        <v>45</v>
      </c>
      <c r="H1508" t="s">
        <v>55</v>
      </c>
      <c r="I1508" t="s">
        <v>34</v>
      </c>
      <c r="J1508" t="s">
        <v>70</v>
      </c>
      <c r="K1508" s="2">
        <v>25625</v>
      </c>
      <c r="L1508" t="s">
        <v>36</v>
      </c>
      <c r="M1508" t="s">
        <v>37</v>
      </c>
      <c r="N1508" t="s">
        <v>49</v>
      </c>
      <c r="O1508" t="s">
        <v>67</v>
      </c>
      <c r="P1508" t="s">
        <v>40</v>
      </c>
      <c r="Q1508">
        <v>3</v>
      </c>
      <c r="R1508" s="2">
        <v>45007</v>
      </c>
      <c r="S1508">
        <v>2</v>
      </c>
      <c r="T1508">
        <v>4</v>
      </c>
      <c r="U1508">
        <v>4</v>
      </c>
      <c r="V1508" s="1">
        <v>44781</v>
      </c>
      <c r="W1508" t="s">
        <v>62</v>
      </c>
      <c r="X1508" t="s">
        <v>51</v>
      </c>
      <c r="Y1508" t="s">
        <v>52</v>
      </c>
      <c r="Z1508">
        <v>3</v>
      </c>
      <c r="AA1508">
        <v>124.93</v>
      </c>
      <c r="AB1508">
        <v>53</v>
      </c>
    </row>
    <row r="1509" spans="1:28" x14ac:dyDescent="0.2">
      <c r="A1509">
        <v>2027</v>
      </c>
      <c r="B1509" s="1">
        <v>43607</v>
      </c>
      <c r="C1509" t="s">
        <v>28</v>
      </c>
      <c r="D1509" t="s">
        <v>44</v>
      </c>
      <c r="E1509" t="s">
        <v>30</v>
      </c>
      <c r="F1509" t="s">
        <v>46</v>
      </c>
      <c r="G1509" t="s">
        <v>45</v>
      </c>
      <c r="H1509" t="s">
        <v>55</v>
      </c>
      <c r="I1509" t="s">
        <v>34</v>
      </c>
      <c r="J1509" t="s">
        <v>97</v>
      </c>
      <c r="K1509" s="2">
        <v>27245</v>
      </c>
      <c r="L1509" t="s">
        <v>36</v>
      </c>
      <c r="M1509" t="s">
        <v>37</v>
      </c>
      <c r="N1509" t="s">
        <v>72</v>
      </c>
      <c r="O1509" t="s">
        <v>61</v>
      </c>
      <c r="P1509" t="s">
        <v>40</v>
      </c>
      <c r="Q1509">
        <v>3</v>
      </c>
      <c r="R1509" s="2">
        <v>45092</v>
      </c>
      <c r="S1509">
        <v>3</v>
      </c>
      <c r="T1509">
        <v>1</v>
      </c>
      <c r="U1509">
        <v>3</v>
      </c>
      <c r="V1509" s="1">
        <v>44781</v>
      </c>
      <c r="W1509" t="s">
        <v>68</v>
      </c>
      <c r="X1509" t="s">
        <v>51</v>
      </c>
      <c r="Y1509" t="s">
        <v>52</v>
      </c>
      <c r="Z1509">
        <v>5</v>
      </c>
      <c r="AA1509">
        <v>664.12</v>
      </c>
      <c r="AB1509">
        <v>45</v>
      </c>
    </row>
    <row r="1510" spans="1:28" x14ac:dyDescent="0.2">
      <c r="A1510">
        <v>2028</v>
      </c>
      <c r="B1510" s="1">
        <v>44469</v>
      </c>
      <c r="C1510" t="s">
        <v>28</v>
      </c>
      <c r="D1510" t="s">
        <v>87</v>
      </c>
      <c r="E1510" t="s">
        <v>108</v>
      </c>
      <c r="F1510" t="s">
        <v>55</v>
      </c>
      <c r="G1510" t="s">
        <v>32</v>
      </c>
      <c r="H1510" t="s">
        <v>33</v>
      </c>
      <c r="I1510" t="s">
        <v>34</v>
      </c>
      <c r="J1510" t="s">
        <v>70</v>
      </c>
      <c r="K1510" s="2">
        <v>29708</v>
      </c>
      <c r="L1510" t="s">
        <v>36</v>
      </c>
      <c r="M1510" t="s">
        <v>37</v>
      </c>
      <c r="N1510" t="s">
        <v>49</v>
      </c>
      <c r="O1510" t="s">
        <v>39</v>
      </c>
      <c r="P1510" t="s">
        <v>40</v>
      </c>
      <c r="Q1510">
        <v>3</v>
      </c>
      <c r="R1510" s="2">
        <v>44835</v>
      </c>
      <c r="S1510">
        <v>4</v>
      </c>
      <c r="T1510">
        <v>4</v>
      </c>
      <c r="U1510">
        <v>4</v>
      </c>
      <c r="V1510" s="1">
        <v>44975</v>
      </c>
      <c r="W1510" t="s">
        <v>62</v>
      </c>
      <c r="X1510" t="s">
        <v>51</v>
      </c>
      <c r="Y1510" t="s">
        <v>73</v>
      </c>
      <c r="Z1510">
        <v>2</v>
      </c>
      <c r="AA1510">
        <v>862.82</v>
      </c>
      <c r="AB1510">
        <v>40</v>
      </c>
    </row>
    <row r="1511" spans="1:28" x14ac:dyDescent="0.2">
      <c r="A1511">
        <v>2029</v>
      </c>
      <c r="B1511" s="1">
        <v>43717</v>
      </c>
      <c r="C1511" t="s">
        <v>28</v>
      </c>
      <c r="D1511" t="s">
        <v>64</v>
      </c>
      <c r="E1511" t="s">
        <v>30</v>
      </c>
      <c r="F1511" t="s">
        <v>31</v>
      </c>
      <c r="G1511" t="s">
        <v>32</v>
      </c>
      <c r="H1511" t="s">
        <v>55</v>
      </c>
      <c r="I1511" t="s">
        <v>34</v>
      </c>
      <c r="J1511" t="s">
        <v>75</v>
      </c>
      <c r="K1511" s="2">
        <v>16002</v>
      </c>
      <c r="L1511" t="s">
        <v>36</v>
      </c>
      <c r="M1511" t="s">
        <v>37</v>
      </c>
      <c r="N1511" t="s">
        <v>72</v>
      </c>
      <c r="O1511" t="s">
        <v>61</v>
      </c>
      <c r="P1511" t="s">
        <v>40</v>
      </c>
      <c r="Q1511">
        <v>3</v>
      </c>
      <c r="R1511" s="2">
        <v>44834</v>
      </c>
      <c r="S1511">
        <v>2</v>
      </c>
      <c r="T1511">
        <v>5</v>
      </c>
      <c r="U1511">
        <v>1</v>
      </c>
      <c r="V1511" s="1">
        <v>44879</v>
      </c>
      <c r="W1511" t="s">
        <v>62</v>
      </c>
      <c r="X1511" t="s">
        <v>51</v>
      </c>
      <c r="Y1511" t="s">
        <v>73</v>
      </c>
      <c r="Z1511">
        <v>1</v>
      </c>
      <c r="AA1511">
        <v>813.01</v>
      </c>
      <c r="AB1511">
        <v>76</v>
      </c>
    </row>
    <row r="1512" spans="1:28" x14ac:dyDescent="0.2">
      <c r="A1512">
        <v>2030</v>
      </c>
      <c r="B1512" s="1">
        <v>43581</v>
      </c>
      <c r="C1512" t="s">
        <v>28</v>
      </c>
      <c r="D1512" t="s">
        <v>94</v>
      </c>
      <c r="E1512" t="s">
        <v>30</v>
      </c>
      <c r="F1512" t="s">
        <v>55</v>
      </c>
      <c r="G1512" t="s">
        <v>56</v>
      </c>
      <c r="H1512" t="s">
        <v>55</v>
      </c>
      <c r="I1512" t="s">
        <v>34</v>
      </c>
      <c r="J1512" t="s">
        <v>101</v>
      </c>
      <c r="K1512" s="2">
        <v>30176</v>
      </c>
      <c r="L1512" t="s">
        <v>36</v>
      </c>
      <c r="M1512" t="s">
        <v>37</v>
      </c>
      <c r="N1512" t="s">
        <v>84</v>
      </c>
      <c r="O1512" t="s">
        <v>67</v>
      </c>
      <c r="P1512" t="s">
        <v>40</v>
      </c>
      <c r="Q1512">
        <v>3</v>
      </c>
      <c r="R1512" s="2">
        <v>45023</v>
      </c>
      <c r="S1512">
        <v>4</v>
      </c>
      <c r="T1512">
        <v>1</v>
      </c>
      <c r="U1512">
        <v>5</v>
      </c>
      <c r="V1512" s="1">
        <v>45135</v>
      </c>
      <c r="W1512" t="s">
        <v>92</v>
      </c>
      <c r="X1512" t="s">
        <v>51</v>
      </c>
      <c r="Y1512" t="s">
        <v>52</v>
      </c>
      <c r="Z1512">
        <v>4</v>
      </c>
      <c r="AA1512">
        <v>349.75</v>
      </c>
      <c r="AB1512">
        <v>37</v>
      </c>
    </row>
    <row r="1513" spans="1:28" x14ac:dyDescent="0.2">
      <c r="A1513">
        <v>2031</v>
      </c>
      <c r="B1513" s="1">
        <v>44611</v>
      </c>
      <c r="C1513" t="s">
        <v>28</v>
      </c>
      <c r="D1513" t="s">
        <v>74</v>
      </c>
      <c r="E1513" t="s">
        <v>30</v>
      </c>
      <c r="F1513" t="s">
        <v>55</v>
      </c>
      <c r="G1513" t="s">
        <v>32</v>
      </c>
      <c r="H1513" t="s">
        <v>55</v>
      </c>
      <c r="I1513" t="s">
        <v>34</v>
      </c>
      <c r="J1513" t="s">
        <v>96</v>
      </c>
      <c r="K1513" s="2">
        <v>28292</v>
      </c>
      <c r="L1513" t="s">
        <v>36</v>
      </c>
      <c r="M1513" t="s">
        <v>48</v>
      </c>
      <c r="N1513" t="s">
        <v>84</v>
      </c>
      <c r="O1513" t="s">
        <v>67</v>
      </c>
      <c r="P1513" t="s">
        <v>40</v>
      </c>
      <c r="Q1513">
        <v>3</v>
      </c>
      <c r="R1513" s="2">
        <v>44966</v>
      </c>
      <c r="S1513">
        <v>1</v>
      </c>
      <c r="T1513">
        <v>3</v>
      </c>
      <c r="U1513">
        <v>1</v>
      </c>
      <c r="V1513" s="1">
        <v>45132</v>
      </c>
      <c r="W1513" t="s">
        <v>68</v>
      </c>
      <c r="X1513" t="s">
        <v>51</v>
      </c>
      <c r="Y1513" t="s">
        <v>43</v>
      </c>
      <c r="Z1513">
        <v>1</v>
      </c>
      <c r="AA1513">
        <v>244.5</v>
      </c>
      <c r="AB1513">
        <v>45</v>
      </c>
    </row>
    <row r="1514" spans="1:28" x14ac:dyDescent="0.2">
      <c r="A1514">
        <v>2032</v>
      </c>
      <c r="B1514" s="1">
        <v>44667</v>
      </c>
      <c r="C1514" t="s">
        <v>28</v>
      </c>
      <c r="D1514" t="s">
        <v>81</v>
      </c>
      <c r="E1514" t="s">
        <v>30</v>
      </c>
      <c r="F1514" t="s">
        <v>31</v>
      </c>
      <c r="G1514" t="s">
        <v>32</v>
      </c>
      <c r="H1514" t="s">
        <v>46</v>
      </c>
      <c r="I1514" t="s">
        <v>34</v>
      </c>
      <c r="J1514" t="s">
        <v>70</v>
      </c>
      <c r="K1514" s="2">
        <v>35374</v>
      </c>
      <c r="L1514" t="s">
        <v>36</v>
      </c>
      <c r="M1514" t="s">
        <v>48</v>
      </c>
      <c r="N1514" t="s">
        <v>84</v>
      </c>
      <c r="O1514" t="s">
        <v>77</v>
      </c>
      <c r="P1514" t="s">
        <v>40</v>
      </c>
      <c r="Q1514">
        <v>3</v>
      </c>
      <c r="R1514" s="2">
        <v>45109</v>
      </c>
      <c r="S1514">
        <v>5</v>
      </c>
      <c r="T1514">
        <v>2</v>
      </c>
      <c r="U1514">
        <v>4</v>
      </c>
      <c r="V1514" s="1">
        <v>44886</v>
      </c>
      <c r="W1514" t="s">
        <v>50</v>
      </c>
      <c r="X1514" t="s">
        <v>42</v>
      </c>
      <c r="Y1514" t="s">
        <v>63</v>
      </c>
      <c r="Z1514">
        <v>3</v>
      </c>
      <c r="AA1514">
        <v>873.52</v>
      </c>
      <c r="AB1514">
        <v>26</v>
      </c>
    </row>
    <row r="1515" spans="1:28" x14ac:dyDescent="0.2">
      <c r="A1515">
        <v>2033</v>
      </c>
      <c r="B1515" s="1">
        <v>44693</v>
      </c>
      <c r="C1515" t="s">
        <v>28</v>
      </c>
      <c r="D1515" t="s">
        <v>54</v>
      </c>
      <c r="E1515" t="s">
        <v>30</v>
      </c>
      <c r="F1515" t="s">
        <v>55</v>
      </c>
      <c r="G1515" t="s">
        <v>45</v>
      </c>
      <c r="H1515" t="s">
        <v>55</v>
      </c>
      <c r="I1515" t="s">
        <v>34</v>
      </c>
      <c r="J1515" t="s">
        <v>65</v>
      </c>
      <c r="K1515" s="2">
        <v>33266</v>
      </c>
      <c r="L1515" t="s">
        <v>36</v>
      </c>
      <c r="M1515" t="s">
        <v>37</v>
      </c>
      <c r="N1515" t="s">
        <v>38</v>
      </c>
      <c r="O1515" t="s">
        <v>77</v>
      </c>
      <c r="P1515" t="s">
        <v>40</v>
      </c>
      <c r="Q1515">
        <v>3</v>
      </c>
      <c r="R1515" s="2">
        <v>44844</v>
      </c>
      <c r="S1515">
        <v>4</v>
      </c>
      <c r="T1515">
        <v>1</v>
      </c>
      <c r="U1515">
        <v>5</v>
      </c>
      <c r="V1515" s="1">
        <v>44996</v>
      </c>
      <c r="W1515" t="s">
        <v>41</v>
      </c>
      <c r="X1515" t="s">
        <v>51</v>
      </c>
      <c r="Y1515" t="s">
        <v>73</v>
      </c>
      <c r="Z1515">
        <v>1</v>
      </c>
      <c r="AA1515">
        <v>358.65</v>
      </c>
      <c r="AB1515">
        <v>31</v>
      </c>
    </row>
    <row r="1516" spans="1:28" x14ac:dyDescent="0.2">
      <c r="A1516">
        <v>2034</v>
      </c>
      <c r="B1516" s="1">
        <v>44434</v>
      </c>
      <c r="C1516" t="s">
        <v>28</v>
      </c>
      <c r="D1516" t="s">
        <v>69</v>
      </c>
      <c r="E1516" t="s">
        <v>30</v>
      </c>
      <c r="F1516" t="s">
        <v>55</v>
      </c>
      <c r="G1516" t="s">
        <v>32</v>
      </c>
      <c r="H1516" t="s">
        <v>46</v>
      </c>
      <c r="I1516" t="s">
        <v>34</v>
      </c>
      <c r="J1516" t="s">
        <v>70</v>
      </c>
      <c r="K1516" s="2">
        <v>17186</v>
      </c>
      <c r="L1516" t="s">
        <v>36</v>
      </c>
      <c r="M1516" t="s">
        <v>37</v>
      </c>
      <c r="N1516" t="s">
        <v>84</v>
      </c>
      <c r="O1516" t="s">
        <v>67</v>
      </c>
      <c r="P1516" t="s">
        <v>40</v>
      </c>
      <c r="Q1516">
        <v>3</v>
      </c>
      <c r="R1516" s="2">
        <v>44956</v>
      </c>
      <c r="S1516">
        <v>2</v>
      </c>
      <c r="T1516">
        <v>4</v>
      </c>
      <c r="U1516">
        <v>1</v>
      </c>
      <c r="V1516" s="1">
        <v>44946</v>
      </c>
      <c r="W1516" t="s">
        <v>68</v>
      </c>
      <c r="X1516" t="s">
        <v>42</v>
      </c>
      <c r="Y1516" t="s">
        <v>73</v>
      </c>
      <c r="Z1516">
        <v>1</v>
      </c>
      <c r="AA1516">
        <v>632.33000000000004</v>
      </c>
      <c r="AB1516">
        <v>74</v>
      </c>
    </row>
    <row r="1517" spans="1:28" x14ac:dyDescent="0.2">
      <c r="A1517">
        <v>2035</v>
      </c>
      <c r="B1517" s="1">
        <v>43988</v>
      </c>
      <c r="C1517" t="s">
        <v>28</v>
      </c>
      <c r="D1517" t="s">
        <v>29</v>
      </c>
      <c r="E1517" t="s">
        <v>30</v>
      </c>
      <c r="F1517" t="s">
        <v>55</v>
      </c>
      <c r="G1517" t="s">
        <v>32</v>
      </c>
      <c r="H1517" t="s">
        <v>55</v>
      </c>
      <c r="I1517" t="s">
        <v>34</v>
      </c>
      <c r="J1517" t="s">
        <v>47</v>
      </c>
      <c r="K1517" s="2">
        <v>36964</v>
      </c>
      <c r="L1517" t="s">
        <v>36</v>
      </c>
      <c r="M1517" t="s">
        <v>37</v>
      </c>
      <c r="N1517" t="s">
        <v>84</v>
      </c>
      <c r="O1517" t="s">
        <v>67</v>
      </c>
      <c r="P1517" t="s">
        <v>40</v>
      </c>
      <c r="Q1517">
        <v>3</v>
      </c>
      <c r="R1517" s="2">
        <v>44937</v>
      </c>
      <c r="S1517">
        <v>4</v>
      </c>
      <c r="T1517">
        <v>2</v>
      </c>
      <c r="U1517">
        <v>3</v>
      </c>
      <c r="V1517" s="1">
        <v>44974</v>
      </c>
      <c r="W1517" t="s">
        <v>50</v>
      </c>
      <c r="X1517" t="s">
        <v>51</v>
      </c>
      <c r="Y1517" t="s">
        <v>43</v>
      </c>
      <c r="Z1517">
        <v>2</v>
      </c>
      <c r="AA1517">
        <v>565.80999999999995</v>
      </c>
      <c r="AB1517">
        <v>19</v>
      </c>
    </row>
    <row r="1518" spans="1:28" x14ac:dyDescent="0.2">
      <c r="A1518">
        <v>2036</v>
      </c>
      <c r="B1518" s="1">
        <v>44738</v>
      </c>
      <c r="C1518" t="s">
        <v>28</v>
      </c>
      <c r="D1518" t="s">
        <v>85</v>
      </c>
      <c r="E1518" t="s">
        <v>30</v>
      </c>
      <c r="F1518" t="s">
        <v>31</v>
      </c>
      <c r="G1518" t="s">
        <v>45</v>
      </c>
      <c r="H1518" t="s">
        <v>46</v>
      </c>
      <c r="I1518" t="s">
        <v>34</v>
      </c>
      <c r="J1518" t="s">
        <v>47</v>
      </c>
      <c r="K1518" s="2">
        <v>15390</v>
      </c>
      <c r="L1518" t="s">
        <v>36</v>
      </c>
      <c r="M1518" t="s">
        <v>37</v>
      </c>
      <c r="N1518" t="s">
        <v>84</v>
      </c>
      <c r="O1518" t="s">
        <v>61</v>
      </c>
      <c r="P1518" t="s">
        <v>40</v>
      </c>
      <c r="Q1518">
        <v>3</v>
      </c>
      <c r="R1518" s="2">
        <v>45003</v>
      </c>
      <c r="S1518">
        <v>4</v>
      </c>
      <c r="T1518">
        <v>3</v>
      </c>
      <c r="U1518">
        <v>4</v>
      </c>
      <c r="V1518" s="1">
        <v>44828</v>
      </c>
      <c r="W1518" t="s">
        <v>92</v>
      </c>
      <c r="X1518" t="s">
        <v>42</v>
      </c>
      <c r="Y1518" t="s">
        <v>63</v>
      </c>
      <c r="Z1518">
        <v>3</v>
      </c>
      <c r="AA1518">
        <v>849.04</v>
      </c>
      <c r="AB1518">
        <v>80</v>
      </c>
    </row>
    <row r="1519" spans="1:28" x14ac:dyDescent="0.2">
      <c r="A1519">
        <v>2037</v>
      </c>
      <c r="B1519" s="1">
        <v>44205</v>
      </c>
      <c r="C1519" t="s">
        <v>28</v>
      </c>
      <c r="D1519" t="s">
        <v>44</v>
      </c>
      <c r="E1519" t="s">
        <v>30</v>
      </c>
      <c r="F1519" t="s">
        <v>31</v>
      </c>
      <c r="G1519" t="s">
        <v>32</v>
      </c>
      <c r="H1519" t="s">
        <v>55</v>
      </c>
      <c r="I1519" t="s">
        <v>34</v>
      </c>
      <c r="J1519" t="s">
        <v>65</v>
      </c>
      <c r="K1519" s="2">
        <v>16676</v>
      </c>
      <c r="L1519" t="s">
        <v>36</v>
      </c>
      <c r="M1519" t="s">
        <v>37</v>
      </c>
      <c r="N1519" t="s">
        <v>38</v>
      </c>
      <c r="O1519" t="s">
        <v>67</v>
      </c>
      <c r="P1519" t="s">
        <v>40</v>
      </c>
      <c r="Q1519">
        <v>3</v>
      </c>
      <c r="R1519" s="2">
        <v>44954</v>
      </c>
      <c r="S1519">
        <v>2</v>
      </c>
      <c r="T1519">
        <v>5</v>
      </c>
      <c r="U1519">
        <v>4</v>
      </c>
      <c r="V1519" s="1">
        <v>45123</v>
      </c>
      <c r="W1519" t="s">
        <v>41</v>
      </c>
      <c r="X1519" t="s">
        <v>42</v>
      </c>
      <c r="Y1519" t="s">
        <v>43</v>
      </c>
      <c r="Z1519">
        <v>1</v>
      </c>
      <c r="AA1519">
        <v>519.42999999999995</v>
      </c>
      <c r="AB1519">
        <v>76</v>
      </c>
    </row>
    <row r="1520" spans="1:28" x14ac:dyDescent="0.2">
      <c r="A1520">
        <v>2038</v>
      </c>
      <c r="B1520" s="1">
        <v>43345</v>
      </c>
      <c r="C1520" t="s">
        <v>28</v>
      </c>
      <c r="D1520" t="s">
        <v>87</v>
      </c>
      <c r="E1520" t="s">
        <v>30</v>
      </c>
      <c r="F1520" t="s">
        <v>46</v>
      </c>
      <c r="G1520" t="s">
        <v>45</v>
      </c>
      <c r="H1520" t="s">
        <v>33</v>
      </c>
      <c r="I1520" t="s">
        <v>34</v>
      </c>
      <c r="J1520" t="s">
        <v>89</v>
      </c>
      <c r="K1520" s="2">
        <v>37015</v>
      </c>
      <c r="L1520" t="s">
        <v>36</v>
      </c>
      <c r="M1520" t="s">
        <v>37</v>
      </c>
      <c r="N1520" t="s">
        <v>72</v>
      </c>
      <c r="O1520" t="s">
        <v>67</v>
      </c>
      <c r="P1520" t="s">
        <v>40</v>
      </c>
      <c r="Q1520">
        <v>3</v>
      </c>
      <c r="R1520" s="2">
        <v>44975</v>
      </c>
      <c r="S1520">
        <v>5</v>
      </c>
      <c r="T1520">
        <v>3</v>
      </c>
      <c r="U1520">
        <v>2</v>
      </c>
      <c r="V1520" s="1">
        <v>44786</v>
      </c>
      <c r="W1520" t="s">
        <v>68</v>
      </c>
      <c r="X1520" t="s">
        <v>42</v>
      </c>
      <c r="Y1520" t="s">
        <v>73</v>
      </c>
      <c r="Z1520">
        <v>2</v>
      </c>
      <c r="AA1520">
        <v>694.03</v>
      </c>
      <c r="AB1520">
        <v>17</v>
      </c>
    </row>
    <row r="1521" spans="1:28" x14ac:dyDescent="0.2">
      <c r="A1521">
        <v>2039</v>
      </c>
      <c r="B1521" s="1">
        <v>44673</v>
      </c>
      <c r="C1521" t="s">
        <v>28</v>
      </c>
      <c r="D1521" t="s">
        <v>64</v>
      </c>
      <c r="E1521" t="s">
        <v>30</v>
      </c>
      <c r="F1521" t="s">
        <v>55</v>
      </c>
      <c r="G1521" t="s">
        <v>56</v>
      </c>
      <c r="H1521" t="s">
        <v>55</v>
      </c>
      <c r="I1521" t="s">
        <v>34</v>
      </c>
      <c r="J1521" t="s">
        <v>70</v>
      </c>
      <c r="K1521" s="2">
        <v>21097</v>
      </c>
      <c r="L1521" t="s">
        <v>36</v>
      </c>
      <c r="M1521" t="s">
        <v>37</v>
      </c>
      <c r="N1521" t="s">
        <v>38</v>
      </c>
      <c r="O1521" t="s">
        <v>61</v>
      </c>
      <c r="P1521" t="s">
        <v>40</v>
      </c>
      <c r="Q1521">
        <v>3</v>
      </c>
      <c r="R1521" s="2">
        <v>44840</v>
      </c>
      <c r="S1521">
        <v>5</v>
      </c>
      <c r="T1521">
        <v>2</v>
      </c>
      <c r="U1521">
        <v>2</v>
      </c>
      <c r="V1521" s="1">
        <v>45070</v>
      </c>
      <c r="W1521" t="s">
        <v>50</v>
      </c>
      <c r="X1521" t="s">
        <v>51</v>
      </c>
      <c r="Y1521" t="s">
        <v>52</v>
      </c>
      <c r="Z1521">
        <v>1</v>
      </c>
      <c r="AA1521">
        <v>738.69</v>
      </c>
      <c r="AB1521">
        <v>65</v>
      </c>
    </row>
    <row r="1522" spans="1:28" x14ac:dyDescent="0.2">
      <c r="A1522">
        <v>2041</v>
      </c>
      <c r="B1522" s="1">
        <v>44817</v>
      </c>
      <c r="C1522" t="s">
        <v>106</v>
      </c>
      <c r="D1522" t="s">
        <v>54</v>
      </c>
      <c r="E1522" t="s">
        <v>30</v>
      </c>
      <c r="F1522" t="s">
        <v>46</v>
      </c>
      <c r="G1522" t="s">
        <v>32</v>
      </c>
      <c r="H1522" t="s">
        <v>46</v>
      </c>
      <c r="I1522" t="s">
        <v>34</v>
      </c>
      <c r="J1522" t="s">
        <v>65</v>
      </c>
      <c r="K1522" s="2">
        <v>35538</v>
      </c>
      <c r="L1522" t="s">
        <v>36</v>
      </c>
      <c r="M1522" t="s">
        <v>37</v>
      </c>
      <c r="N1522" t="s">
        <v>72</v>
      </c>
      <c r="O1522" t="s">
        <v>61</v>
      </c>
      <c r="P1522" t="s">
        <v>40</v>
      </c>
      <c r="Q1522">
        <v>3</v>
      </c>
      <c r="R1522" s="2">
        <v>45096</v>
      </c>
      <c r="S1522">
        <v>1</v>
      </c>
      <c r="T1522">
        <v>1</v>
      </c>
      <c r="U1522">
        <v>5</v>
      </c>
      <c r="V1522" s="1">
        <v>44829</v>
      </c>
      <c r="W1522" t="s">
        <v>68</v>
      </c>
      <c r="X1522" t="s">
        <v>51</v>
      </c>
      <c r="Y1522" t="s">
        <v>63</v>
      </c>
      <c r="Z1522">
        <v>5</v>
      </c>
      <c r="AA1522">
        <v>970.6</v>
      </c>
      <c r="AB1522">
        <v>25</v>
      </c>
    </row>
    <row r="1523" spans="1:28" x14ac:dyDescent="0.2">
      <c r="A1523">
        <v>2042</v>
      </c>
      <c r="B1523" s="1">
        <v>43793</v>
      </c>
      <c r="C1523" t="s">
        <v>106</v>
      </c>
      <c r="D1523" t="s">
        <v>69</v>
      </c>
      <c r="E1523" t="s">
        <v>30</v>
      </c>
      <c r="F1523" t="s">
        <v>46</v>
      </c>
      <c r="G1523" t="s">
        <v>32</v>
      </c>
      <c r="H1523" t="s">
        <v>46</v>
      </c>
      <c r="I1523" t="s">
        <v>34</v>
      </c>
      <c r="J1523" t="s">
        <v>65</v>
      </c>
      <c r="K1523" s="2">
        <v>33663</v>
      </c>
      <c r="L1523" t="s">
        <v>36</v>
      </c>
      <c r="M1523" t="s">
        <v>37</v>
      </c>
      <c r="N1523" t="s">
        <v>38</v>
      </c>
      <c r="O1523" t="s">
        <v>67</v>
      </c>
      <c r="P1523" t="s">
        <v>40</v>
      </c>
      <c r="Q1523">
        <v>3</v>
      </c>
      <c r="R1523" s="2">
        <v>45101</v>
      </c>
      <c r="S1523">
        <v>5</v>
      </c>
      <c r="T1523">
        <v>2</v>
      </c>
      <c r="U1523">
        <v>1</v>
      </c>
      <c r="V1523" s="1">
        <v>44971</v>
      </c>
      <c r="W1523" t="s">
        <v>50</v>
      </c>
      <c r="X1523" t="s">
        <v>51</v>
      </c>
      <c r="Y1523" t="s">
        <v>73</v>
      </c>
      <c r="Z1523">
        <v>1</v>
      </c>
      <c r="AA1523">
        <v>651.4</v>
      </c>
      <c r="AB1523">
        <v>27</v>
      </c>
    </row>
    <row r="1524" spans="1:28" x14ac:dyDescent="0.2">
      <c r="A1524">
        <v>2043</v>
      </c>
      <c r="B1524" s="1">
        <v>43909</v>
      </c>
      <c r="C1524" t="s">
        <v>106</v>
      </c>
      <c r="D1524" t="s">
        <v>29</v>
      </c>
      <c r="E1524" t="s">
        <v>30</v>
      </c>
      <c r="F1524" t="s">
        <v>31</v>
      </c>
      <c r="G1524" t="s">
        <v>32</v>
      </c>
      <c r="H1524" t="s">
        <v>46</v>
      </c>
      <c r="I1524" t="s">
        <v>34</v>
      </c>
      <c r="J1524" t="s">
        <v>134</v>
      </c>
      <c r="K1524" s="2">
        <v>24736</v>
      </c>
      <c r="L1524" t="s">
        <v>36</v>
      </c>
      <c r="M1524" t="s">
        <v>37</v>
      </c>
      <c r="N1524" t="s">
        <v>38</v>
      </c>
      <c r="O1524" t="s">
        <v>67</v>
      </c>
      <c r="P1524" t="s">
        <v>40</v>
      </c>
      <c r="Q1524">
        <v>3</v>
      </c>
      <c r="R1524" s="2">
        <v>45084</v>
      </c>
      <c r="S1524">
        <v>1</v>
      </c>
      <c r="T1524">
        <v>3</v>
      </c>
      <c r="U1524">
        <v>3</v>
      </c>
      <c r="V1524" s="1">
        <v>44842</v>
      </c>
      <c r="W1524" t="s">
        <v>62</v>
      </c>
      <c r="X1524" t="s">
        <v>42</v>
      </c>
      <c r="Y1524" t="s">
        <v>73</v>
      </c>
      <c r="Z1524">
        <v>5</v>
      </c>
      <c r="AA1524">
        <v>809.68</v>
      </c>
      <c r="AB1524">
        <v>53</v>
      </c>
    </row>
    <row r="1525" spans="1:28" x14ac:dyDescent="0.2">
      <c r="A1525">
        <v>2044</v>
      </c>
      <c r="B1525" s="1">
        <v>44818</v>
      </c>
      <c r="C1525" t="s">
        <v>106</v>
      </c>
      <c r="D1525" t="s">
        <v>85</v>
      </c>
      <c r="E1525" t="s">
        <v>30</v>
      </c>
      <c r="F1525" t="s">
        <v>31</v>
      </c>
      <c r="G1525" t="s">
        <v>32</v>
      </c>
      <c r="H1525" t="s">
        <v>55</v>
      </c>
      <c r="I1525" t="s">
        <v>34</v>
      </c>
      <c r="J1525" t="s">
        <v>101</v>
      </c>
      <c r="K1525" s="2">
        <v>33654</v>
      </c>
      <c r="L1525" t="s">
        <v>36</v>
      </c>
      <c r="M1525" t="s">
        <v>37</v>
      </c>
      <c r="N1525" t="s">
        <v>72</v>
      </c>
      <c r="O1525" t="s">
        <v>67</v>
      </c>
      <c r="P1525" t="s">
        <v>40</v>
      </c>
      <c r="Q1525">
        <v>3</v>
      </c>
      <c r="R1525" s="2">
        <v>44879</v>
      </c>
      <c r="S1525">
        <v>5</v>
      </c>
      <c r="T1525">
        <v>1</v>
      </c>
      <c r="U1525">
        <v>5</v>
      </c>
      <c r="V1525" s="1">
        <v>45143</v>
      </c>
      <c r="W1525" t="s">
        <v>50</v>
      </c>
      <c r="X1525" t="s">
        <v>51</v>
      </c>
      <c r="Y1525" t="s">
        <v>73</v>
      </c>
      <c r="Z1525">
        <v>5</v>
      </c>
      <c r="AA1525">
        <v>570.91</v>
      </c>
      <c r="AB1525">
        <v>30</v>
      </c>
    </row>
    <row r="1526" spans="1:28" x14ac:dyDescent="0.2">
      <c r="A1526">
        <v>2045</v>
      </c>
      <c r="B1526" s="1">
        <v>44460</v>
      </c>
      <c r="C1526" t="s">
        <v>106</v>
      </c>
      <c r="D1526" t="s">
        <v>44</v>
      </c>
      <c r="E1526" t="s">
        <v>30</v>
      </c>
      <c r="F1526" t="s">
        <v>46</v>
      </c>
      <c r="G1526" t="s">
        <v>45</v>
      </c>
      <c r="H1526" t="s">
        <v>46</v>
      </c>
      <c r="I1526" t="s">
        <v>34</v>
      </c>
      <c r="J1526" t="s">
        <v>97</v>
      </c>
      <c r="K1526" s="2">
        <v>28083</v>
      </c>
      <c r="L1526" t="s">
        <v>36</v>
      </c>
      <c r="M1526" t="s">
        <v>37</v>
      </c>
      <c r="N1526" t="s">
        <v>60</v>
      </c>
      <c r="O1526" t="s">
        <v>77</v>
      </c>
      <c r="P1526" t="s">
        <v>40</v>
      </c>
      <c r="Q1526">
        <v>3</v>
      </c>
      <c r="R1526" s="2">
        <v>45082</v>
      </c>
      <c r="S1526">
        <v>3</v>
      </c>
      <c r="T1526">
        <v>1</v>
      </c>
      <c r="U1526">
        <v>4</v>
      </c>
      <c r="V1526" s="1">
        <v>45050</v>
      </c>
      <c r="W1526" t="s">
        <v>50</v>
      </c>
      <c r="X1526" t="s">
        <v>42</v>
      </c>
      <c r="Y1526" t="s">
        <v>52</v>
      </c>
      <c r="Z1526">
        <v>1</v>
      </c>
      <c r="AA1526">
        <v>852.72</v>
      </c>
      <c r="AB1526">
        <v>45</v>
      </c>
    </row>
    <row r="1527" spans="1:28" x14ac:dyDescent="0.2">
      <c r="A1527">
        <v>2046</v>
      </c>
      <c r="B1527" s="1">
        <v>43973</v>
      </c>
      <c r="C1527" t="s">
        <v>106</v>
      </c>
      <c r="D1527" t="s">
        <v>87</v>
      </c>
      <c r="E1527" t="s">
        <v>30</v>
      </c>
      <c r="F1527" t="s">
        <v>46</v>
      </c>
      <c r="G1527" t="s">
        <v>32</v>
      </c>
      <c r="H1527" t="s">
        <v>46</v>
      </c>
      <c r="I1527" t="s">
        <v>34</v>
      </c>
      <c r="J1527" t="s">
        <v>96</v>
      </c>
      <c r="K1527" s="2">
        <v>17832</v>
      </c>
      <c r="L1527" t="s">
        <v>36</v>
      </c>
      <c r="M1527" t="s">
        <v>37</v>
      </c>
      <c r="N1527" t="s">
        <v>84</v>
      </c>
      <c r="O1527" t="s">
        <v>39</v>
      </c>
      <c r="P1527" t="s">
        <v>40</v>
      </c>
      <c r="Q1527">
        <v>3</v>
      </c>
      <c r="R1527" s="2">
        <v>44988</v>
      </c>
      <c r="S1527">
        <v>2</v>
      </c>
      <c r="T1527">
        <v>2</v>
      </c>
      <c r="U1527">
        <v>4</v>
      </c>
      <c r="V1527" s="1">
        <v>44920</v>
      </c>
      <c r="W1527" t="s">
        <v>68</v>
      </c>
      <c r="X1527" t="s">
        <v>42</v>
      </c>
      <c r="Y1527" t="s">
        <v>52</v>
      </c>
      <c r="Z1527">
        <v>1</v>
      </c>
      <c r="AA1527">
        <v>787.98</v>
      </c>
      <c r="AB1527">
        <v>72</v>
      </c>
    </row>
    <row r="1528" spans="1:28" x14ac:dyDescent="0.2">
      <c r="A1528">
        <v>2047</v>
      </c>
      <c r="B1528" s="1">
        <v>44908</v>
      </c>
      <c r="C1528" t="s">
        <v>106</v>
      </c>
      <c r="D1528" t="s">
        <v>64</v>
      </c>
      <c r="E1528" t="s">
        <v>30</v>
      </c>
      <c r="F1528" t="s">
        <v>31</v>
      </c>
      <c r="G1528" t="s">
        <v>45</v>
      </c>
      <c r="H1528" t="s">
        <v>46</v>
      </c>
      <c r="I1528" t="s">
        <v>34</v>
      </c>
      <c r="J1528" t="s">
        <v>47</v>
      </c>
      <c r="K1528" s="2">
        <v>24342</v>
      </c>
      <c r="L1528" t="s">
        <v>36</v>
      </c>
      <c r="M1528" t="s">
        <v>37</v>
      </c>
      <c r="N1528" t="s">
        <v>38</v>
      </c>
      <c r="O1528" t="s">
        <v>61</v>
      </c>
      <c r="P1528" t="s">
        <v>40</v>
      </c>
      <c r="Q1528">
        <v>3</v>
      </c>
      <c r="R1528" s="2">
        <v>44797</v>
      </c>
      <c r="S1528">
        <v>3</v>
      </c>
      <c r="T1528">
        <v>5</v>
      </c>
      <c r="U1528">
        <v>3</v>
      </c>
      <c r="V1528" s="1">
        <v>44788</v>
      </c>
      <c r="W1528" t="s">
        <v>68</v>
      </c>
      <c r="X1528" t="s">
        <v>42</v>
      </c>
      <c r="Y1528" t="s">
        <v>43</v>
      </c>
      <c r="Z1528">
        <v>1</v>
      </c>
      <c r="AA1528">
        <v>942.72</v>
      </c>
      <c r="AB1528">
        <v>56</v>
      </c>
    </row>
    <row r="1529" spans="1:28" x14ac:dyDescent="0.2">
      <c r="A1529">
        <v>2048</v>
      </c>
      <c r="B1529" s="1">
        <v>44599</v>
      </c>
      <c r="C1529" t="s">
        <v>106</v>
      </c>
      <c r="D1529" t="s">
        <v>94</v>
      </c>
      <c r="E1529" t="s">
        <v>30</v>
      </c>
      <c r="F1529" t="s">
        <v>31</v>
      </c>
      <c r="G1529" t="s">
        <v>56</v>
      </c>
      <c r="H1529" t="s">
        <v>46</v>
      </c>
      <c r="I1529" t="s">
        <v>34</v>
      </c>
      <c r="J1529" t="s">
        <v>47</v>
      </c>
      <c r="K1529" s="2">
        <v>34795</v>
      </c>
      <c r="L1529" t="s">
        <v>36</v>
      </c>
      <c r="M1529" t="s">
        <v>37</v>
      </c>
      <c r="N1529" t="s">
        <v>84</v>
      </c>
      <c r="O1529" t="s">
        <v>67</v>
      </c>
      <c r="P1529" t="s">
        <v>40</v>
      </c>
      <c r="Q1529">
        <v>3</v>
      </c>
      <c r="R1529" s="2">
        <v>44890</v>
      </c>
      <c r="S1529">
        <v>2</v>
      </c>
      <c r="T1529">
        <v>5</v>
      </c>
      <c r="U1529">
        <v>4</v>
      </c>
      <c r="V1529" s="1">
        <v>44867</v>
      </c>
      <c r="W1529" t="s">
        <v>50</v>
      </c>
      <c r="X1529" t="s">
        <v>51</v>
      </c>
      <c r="Y1529" t="s">
        <v>43</v>
      </c>
      <c r="Z1529">
        <v>2</v>
      </c>
      <c r="AA1529">
        <v>626.4</v>
      </c>
      <c r="AB1529">
        <v>27</v>
      </c>
    </row>
    <row r="1530" spans="1:28" x14ac:dyDescent="0.2">
      <c r="A1530">
        <v>2049</v>
      </c>
      <c r="B1530" s="1">
        <v>44110</v>
      </c>
      <c r="C1530" t="s">
        <v>106</v>
      </c>
      <c r="D1530" t="s">
        <v>74</v>
      </c>
      <c r="E1530" t="s">
        <v>30</v>
      </c>
      <c r="F1530" t="s">
        <v>31</v>
      </c>
      <c r="G1530" t="s">
        <v>45</v>
      </c>
      <c r="H1530" t="s">
        <v>55</v>
      </c>
      <c r="I1530" t="s">
        <v>34</v>
      </c>
      <c r="J1530" t="s">
        <v>70</v>
      </c>
      <c r="K1530" s="2">
        <v>15468</v>
      </c>
      <c r="L1530" t="s">
        <v>36</v>
      </c>
      <c r="M1530" t="s">
        <v>37</v>
      </c>
      <c r="N1530" t="s">
        <v>84</v>
      </c>
      <c r="O1530" t="s">
        <v>39</v>
      </c>
      <c r="P1530" t="s">
        <v>40</v>
      </c>
      <c r="Q1530">
        <v>3</v>
      </c>
      <c r="R1530" s="2">
        <v>45083</v>
      </c>
      <c r="S1530">
        <v>3</v>
      </c>
      <c r="T1530">
        <v>1</v>
      </c>
      <c r="U1530">
        <v>3</v>
      </c>
      <c r="V1530" s="1">
        <v>45013</v>
      </c>
      <c r="W1530" t="s">
        <v>62</v>
      </c>
      <c r="X1530" t="s">
        <v>42</v>
      </c>
      <c r="Y1530" t="s">
        <v>43</v>
      </c>
      <c r="Z1530">
        <v>4</v>
      </c>
      <c r="AA1530">
        <v>765.68</v>
      </c>
      <c r="AB1530">
        <v>78</v>
      </c>
    </row>
    <row r="1531" spans="1:28" x14ac:dyDescent="0.2">
      <c r="A1531">
        <v>2050</v>
      </c>
      <c r="B1531" s="1">
        <v>44572</v>
      </c>
      <c r="C1531" t="s">
        <v>106</v>
      </c>
      <c r="D1531" t="s">
        <v>81</v>
      </c>
      <c r="E1531" t="s">
        <v>30</v>
      </c>
      <c r="F1531" t="s">
        <v>55</v>
      </c>
      <c r="G1531" t="s">
        <v>32</v>
      </c>
      <c r="H1531" t="s">
        <v>55</v>
      </c>
      <c r="I1531" t="s">
        <v>34</v>
      </c>
      <c r="J1531" t="s">
        <v>103</v>
      </c>
      <c r="K1531" s="2">
        <v>19393</v>
      </c>
      <c r="L1531" t="s">
        <v>36</v>
      </c>
      <c r="M1531" t="s">
        <v>37</v>
      </c>
      <c r="N1531" t="s">
        <v>38</v>
      </c>
      <c r="O1531" t="s">
        <v>39</v>
      </c>
      <c r="P1531" t="s">
        <v>40</v>
      </c>
      <c r="Q1531">
        <v>3</v>
      </c>
      <c r="R1531" s="2">
        <v>45019</v>
      </c>
      <c r="S1531">
        <v>5</v>
      </c>
      <c r="T1531">
        <v>4</v>
      </c>
      <c r="U1531">
        <v>5</v>
      </c>
      <c r="V1531" s="1">
        <v>44908</v>
      </c>
      <c r="W1531" t="s">
        <v>92</v>
      </c>
      <c r="X1531" t="s">
        <v>42</v>
      </c>
      <c r="Y1531" t="s">
        <v>63</v>
      </c>
      <c r="Z1531">
        <v>3</v>
      </c>
      <c r="AA1531">
        <v>904.54</v>
      </c>
      <c r="AB1531">
        <v>69</v>
      </c>
    </row>
    <row r="1532" spans="1:28" x14ac:dyDescent="0.2">
      <c r="A1532">
        <v>2051</v>
      </c>
      <c r="B1532" s="1">
        <v>44618</v>
      </c>
      <c r="C1532" t="s">
        <v>28</v>
      </c>
      <c r="D1532" t="s">
        <v>29</v>
      </c>
      <c r="E1532" t="s">
        <v>30</v>
      </c>
      <c r="F1532" t="s">
        <v>46</v>
      </c>
      <c r="G1532" t="s">
        <v>32</v>
      </c>
      <c r="H1532" t="s">
        <v>33</v>
      </c>
      <c r="I1532" t="s">
        <v>34</v>
      </c>
      <c r="J1532" t="s">
        <v>70</v>
      </c>
      <c r="K1532" s="2">
        <v>36263</v>
      </c>
      <c r="L1532" t="s">
        <v>36</v>
      </c>
      <c r="M1532" t="s">
        <v>37</v>
      </c>
      <c r="N1532" t="s">
        <v>72</v>
      </c>
      <c r="O1532" t="s">
        <v>61</v>
      </c>
      <c r="P1532" t="s">
        <v>40</v>
      </c>
      <c r="Q1532">
        <v>3</v>
      </c>
      <c r="R1532" s="2">
        <v>44785</v>
      </c>
      <c r="S1532">
        <v>5</v>
      </c>
      <c r="T1532">
        <v>2</v>
      </c>
      <c r="U1532">
        <v>4</v>
      </c>
      <c r="V1532" s="1">
        <v>45002</v>
      </c>
      <c r="W1532" t="s">
        <v>62</v>
      </c>
      <c r="X1532" t="s">
        <v>42</v>
      </c>
      <c r="Y1532" t="s">
        <v>52</v>
      </c>
      <c r="Z1532">
        <v>2</v>
      </c>
      <c r="AA1532">
        <v>761.28</v>
      </c>
      <c r="AB1532">
        <v>23</v>
      </c>
    </row>
    <row r="1533" spans="1:28" x14ac:dyDescent="0.2">
      <c r="A1533">
        <v>2052</v>
      </c>
      <c r="B1533" s="1">
        <v>43992</v>
      </c>
      <c r="C1533" t="s">
        <v>28</v>
      </c>
      <c r="D1533" t="s">
        <v>85</v>
      </c>
      <c r="E1533" t="s">
        <v>30</v>
      </c>
      <c r="F1533" t="s">
        <v>46</v>
      </c>
      <c r="G1533" t="s">
        <v>56</v>
      </c>
      <c r="H1533" t="s">
        <v>46</v>
      </c>
      <c r="I1533" t="s">
        <v>34</v>
      </c>
      <c r="J1533" t="s">
        <v>70</v>
      </c>
      <c r="K1533" s="2">
        <v>20587</v>
      </c>
      <c r="L1533" t="s">
        <v>36</v>
      </c>
      <c r="M1533" t="s">
        <v>37</v>
      </c>
      <c r="N1533" t="s">
        <v>49</v>
      </c>
      <c r="O1533" t="s">
        <v>67</v>
      </c>
      <c r="P1533" t="s">
        <v>40</v>
      </c>
      <c r="Q1533">
        <v>3</v>
      </c>
      <c r="R1533" s="2">
        <v>45113</v>
      </c>
      <c r="S1533">
        <v>1</v>
      </c>
      <c r="T1533">
        <v>4</v>
      </c>
      <c r="U1533">
        <v>4</v>
      </c>
      <c r="V1533" s="1">
        <v>44871</v>
      </c>
      <c r="W1533" t="s">
        <v>62</v>
      </c>
      <c r="X1533" t="s">
        <v>42</v>
      </c>
      <c r="Y1533" t="s">
        <v>63</v>
      </c>
      <c r="Z1533">
        <v>4</v>
      </c>
      <c r="AA1533">
        <v>507.49</v>
      </c>
      <c r="AB1533">
        <v>64</v>
      </c>
    </row>
    <row r="1534" spans="1:28" x14ac:dyDescent="0.2">
      <c r="A1534">
        <v>2053</v>
      </c>
      <c r="B1534" s="1">
        <v>44466</v>
      </c>
      <c r="C1534" t="s">
        <v>28</v>
      </c>
      <c r="D1534" t="s">
        <v>44</v>
      </c>
      <c r="E1534" t="s">
        <v>30</v>
      </c>
      <c r="F1534" t="s">
        <v>46</v>
      </c>
      <c r="G1534" t="s">
        <v>56</v>
      </c>
      <c r="H1534" t="s">
        <v>33</v>
      </c>
      <c r="I1534" t="s">
        <v>34</v>
      </c>
      <c r="J1534" t="s">
        <v>79</v>
      </c>
      <c r="K1534" s="2">
        <v>32548</v>
      </c>
      <c r="L1534" t="s">
        <v>36</v>
      </c>
      <c r="M1534" t="s">
        <v>37</v>
      </c>
      <c r="N1534" t="s">
        <v>38</v>
      </c>
      <c r="O1534" t="s">
        <v>77</v>
      </c>
      <c r="P1534" t="s">
        <v>40</v>
      </c>
      <c r="Q1534">
        <v>3</v>
      </c>
      <c r="R1534" s="2">
        <v>45100</v>
      </c>
      <c r="S1534">
        <v>5</v>
      </c>
      <c r="T1534">
        <v>3</v>
      </c>
      <c r="U1534">
        <v>1</v>
      </c>
      <c r="V1534" s="1">
        <v>45059</v>
      </c>
      <c r="W1534" t="s">
        <v>41</v>
      </c>
      <c r="X1534" t="s">
        <v>42</v>
      </c>
      <c r="Y1534" t="s">
        <v>52</v>
      </c>
      <c r="Z1534">
        <v>5</v>
      </c>
      <c r="AA1534">
        <v>862.9</v>
      </c>
      <c r="AB1534">
        <v>32</v>
      </c>
    </row>
    <row r="1535" spans="1:28" x14ac:dyDescent="0.2">
      <c r="A1535">
        <v>2054</v>
      </c>
      <c r="B1535" s="1">
        <v>43398</v>
      </c>
      <c r="C1535" t="s">
        <v>28</v>
      </c>
      <c r="D1535" t="s">
        <v>87</v>
      </c>
      <c r="E1535" t="s">
        <v>30</v>
      </c>
      <c r="F1535" t="s">
        <v>31</v>
      </c>
      <c r="G1535" t="s">
        <v>32</v>
      </c>
      <c r="H1535" t="s">
        <v>33</v>
      </c>
      <c r="I1535" t="s">
        <v>34</v>
      </c>
      <c r="J1535" t="s">
        <v>96</v>
      </c>
      <c r="K1535" s="2">
        <v>34333</v>
      </c>
      <c r="L1535" t="s">
        <v>36</v>
      </c>
      <c r="M1535" t="s">
        <v>37</v>
      </c>
      <c r="N1535" t="s">
        <v>72</v>
      </c>
      <c r="O1535" t="s">
        <v>67</v>
      </c>
      <c r="P1535" t="s">
        <v>40</v>
      </c>
      <c r="Q1535">
        <v>3</v>
      </c>
      <c r="R1535" s="2">
        <v>44961</v>
      </c>
      <c r="S1535">
        <v>4</v>
      </c>
      <c r="T1535">
        <v>5</v>
      </c>
      <c r="U1535">
        <v>3</v>
      </c>
      <c r="V1535" s="1">
        <v>45083</v>
      </c>
      <c r="W1535" t="s">
        <v>41</v>
      </c>
      <c r="X1535" t="s">
        <v>42</v>
      </c>
      <c r="Y1535" t="s">
        <v>52</v>
      </c>
      <c r="Z1535">
        <v>4</v>
      </c>
      <c r="AA1535">
        <v>528.17999999999995</v>
      </c>
      <c r="AB1535">
        <v>25</v>
      </c>
    </row>
    <row r="1536" spans="1:28" x14ac:dyDescent="0.2">
      <c r="A1536">
        <v>2055</v>
      </c>
      <c r="B1536" s="1">
        <v>44160</v>
      </c>
      <c r="C1536" t="s">
        <v>28</v>
      </c>
      <c r="D1536" t="s">
        <v>64</v>
      </c>
      <c r="E1536" t="s">
        <v>30</v>
      </c>
      <c r="F1536" t="s">
        <v>31</v>
      </c>
      <c r="G1536" t="s">
        <v>45</v>
      </c>
      <c r="H1536" t="s">
        <v>55</v>
      </c>
      <c r="I1536" t="s">
        <v>34</v>
      </c>
      <c r="J1536" t="s">
        <v>79</v>
      </c>
      <c r="K1536" s="2">
        <v>32708</v>
      </c>
      <c r="L1536" t="s">
        <v>36</v>
      </c>
      <c r="M1536" t="s">
        <v>37</v>
      </c>
      <c r="N1536" t="s">
        <v>38</v>
      </c>
      <c r="O1536" t="s">
        <v>77</v>
      </c>
      <c r="P1536" t="s">
        <v>40</v>
      </c>
      <c r="Q1536">
        <v>3</v>
      </c>
      <c r="R1536" s="2">
        <v>44862</v>
      </c>
      <c r="S1536">
        <v>5</v>
      </c>
      <c r="T1536">
        <v>4</v>
      </c>
      <c r="U1536">
        <v>2</v>
      </c>
      <c r="V1536" s="1">
        <v>44873</v>
      </c>
      <c r="W1536" t="s">
        <v>68</v>
      </c>
      <c r="X1536" t="s">
        <v>51</v>
      </c>
      <c r="Y1536" t="s">
        <v>73</v>
      </c>
      <c r="Z1536">
        <v>2</v>
      </c>
      <c r="AA1536">
        <v>805.7</v>
      </c>
      <c r="AB1536">
        <v>31</v>
      </c>
    </row>
    <row r="1537" spans="1:28" x14ac:dyDescent="0.2">
      <c r="A1537">
        <v>2056</v>
      </c>
      <c r="B1537" s="1">
        <v>43938</v>
      </c>
      <c r="C1537" t="s">
        <v>28</v>
      </c>
      <c r="D1537" t="s">
        <v>94</v>
      </c>
      <c r="E1537" t="s">
        <v>30</v>
      </c>
      <c r="F1537" t="s">
        <v>31</v>
      </c>
      <c r="G1537" t="s">
        <v>45</v>
      </c>
      <c r="H1537" t="s">
        <v>55</v>
      </c>
      <c r="I1537" t="s">
        <v>34</v>
      </c>
      <c r="J1537" t="s">
        <v>70</v>
      </c>
      <c r="K1537" s="2">
        <v>21026</v>
      </c>
      <c r="L1537" t="s">
        <v>36</v>
      </c>
      <c r="M1537" t="s">
        <v>37</v>
      </c>
      <c r="N1537" t="s">
        <v>38</v>
      </c>
      <c r="O1537" t="s">
        <v>77</v>
      </c>
      <c r="P1537" t="s">
        <v>40</v>
      </c>
      <c r="Q1537">
        <v>3</v>
      </c>
      <c r="R1537" s="2">
        <v>45119</v>
      </c>
      <c r="S1537">
        <v>3</v>
      </c>
      <c r="T1537">
        <v>4</v>
      </c>
      <c r="U1537">
        <v>1</v>
      </c>
      <c r="V1537" s="1">
        <v>44959</v>
      </c>
      <c r="W1537" t="s">
        <v>68</v>
      </c>
      <c r="X1537" t="s">
        <v>51</v>
      </c>
      <c r="Y1537" t="s">
        <v>43</v>
      </c>
      <c r="Z1537">
        <v>1</v>
      </c>
      <c r="AA1537">
        <v>190.55</v>
      </c>
      <c r="AB1537">
        <v>63</v>
      </c>
    </row>
    <row r="1538" spans="1:28" x14ac:dyDescent="0.2">
      <c r="A1538">
        <v>2057</v>
      </c>
      <c r="B1538" s="1">
        <v>44301</v>
      </c>
      <c r="C1538" t="s">
        <v>28</v>
      </c>
      <c r="D1538" t="s">
        <v>74</v>
      </c>
      <c r="E1538" t="s">
        <v>30</v>
      </c>
      <c r="F1538" t="s">
        <v>31</v>
      </c>
      <c r="G1538" t="s">
        <v>32</v>
      </c>
      <c r="H1538" t="s">
        <v>46</v>
      </c>
      <c r="I1538" t="s">
        <v>34</v>
      </c>
      <c r="J1538" t="s">
        <v>70</v>
      </c>
      <c r="K1538" s="2">
        <v>23725</v>
      </c>
      <c r="L1538" t="s">
        <v>36</v>
      </c>
      <c r="M1538" t="s">
        <v>48</v>
      </c>
      <c r="N1538" t="s">
        <v>49</v>
      </c>
      <c r="O1538" t="s">
        <v>67</v>
      </c>
      <c r="P1538" t="s">
        <v>40</v>
      </c>
      <c r="Q1538">
        <v>3</v>
      </c>
      <c r="R1538" s="2">
        <v>45052</v>
      </c>
      <c r="S1538">
        <v>4</v>
      </c>
      <c r="T1538">
        <v>1</v>
      </c>
      <c r="U1538">
        <v>3</v>
      </c>
      <c r="V1538" s="1">
        <v>44927</v>
      </c>
      <c r="W1538" t="s">
        <v>50</v>
      </c>
      <c r="X1538" t="s">
        <v>42</v>
      </c>
      <c r="Y1538" t="s">
        <v>43</v>
      </c>
      <c r="Z1538">
        <v>3</v>
      </c>
      <c r="AA1538">
        <v>605.36</v>
      </c>
      <c r="AB1538">
        <v>57</v>
      </c>
    </row>
    <row r="1539" spans="1:28" x14ac:dyDescent="0.2">
      <c r="A1539">
        <v>2058</v>
      </c>
      <c r="B1539" s="1">
        <v>44668</v>
      </c>
      <c r="C1539" t="s">
        <v>28</v>
      </c>
      <c r="D1539" t="s">
        <v>81</v>
      </c>
      <c r="E1539" t="s">
        <v>30</v>
      </c>
      <c r="F1539" t="s">
        <v>55</v>
      </c>
      <c r="G1539" t="s">
        <v>45</v>
      </c>
      <c r="H1539" t="s">
        <v>33</v>
      </c>
      <c r="I1539" t="s">
        <v>34</v>
      </c>
      <c r="J1539" t="s">
        <v>70</v>
      </c>
      <c r="K1539" s="2">
        <v>30694</v>
      </c>
      <c r="L1539" t="s">
        <v>36</v>
      </c>
      <c r="M1539" t="s">
        <v>48</v>
      </c>
      <c r="N1539" t="s">
        <v>38</v>
      </c>
      <c r="O1539" t="s">
        <v>77</v>
      </c>
      <c r="P1539" t="s">
        <v>40</v>
      </c>
      <c r="Q1539">
        <v>3</v>
      </c>
      <c r="R1539" s="2">
        <v>45075</v>
      </c>
      <c r="S1539">
        <v>5</v>
      </c>
      <c r="T1539">
        <v>5</v>
      </c>
      <c r="U1539">
        <v>4</v>
      </c>
      <c r="V1539" s="1">
        <v>44926</v>
      </c>
      <c r="W1539" t="s">
        <v>50</v>
      </c>
      <c r="X1539" t="s">
        <v>42</v>
      </c>
      <c r="Y1539" t="s">
        <v>73</v>
      </c>
      <c r="Z1539">
        <v>1</v>
      </c>
      <c r="AA1539">
        <v>338.16</v>
      </c>
      <c r="AB1539">
        <v>38</v>
      </c>
    </row>
    <row r="1540" spans="1:28" x14ac:dyDescent="0.2">
      <c r="A1540">
        <v>2059</v>
      </c>
      <c r="B1540" s="1">
        <v>45136</v>
      </c>
      <c r="C1540" t="s">
        <v>28</v>
      </c>
      <c r="D1540" t="s">
        <v>54</v>
      </c>
      <c r="E1540" t="s">
        <v>108</v>
      </c>
      <c r="F1540" t="s">
        <v>55</v>
      </c>
      <c r="G1540" t="s">
        <v>32</v>
      </c>
      <c r="H1540" t="s">
        <v>33</v>
      </c>
      <c r="I1540" t="s">
        <v>34</v>
      </c>
      <c r="J1540" t="s">
        <v>65</v>
      </c>
      <c r="K1540" s="2">
        <v>31985</v>
      </c>
      <c r="L1540" t="s">
        <v>36</v>
      </c>
      <c r="M1540" t="s">
        <v>37</v>
      </c>
      <c r="N1540" t="s">
        <v>38</v>
      </c>
      <c r="O1540" t="s">
        <v>67</v>
      </c>
      <c r="P1540" t="s">
        <v>40</v>
      </c>
      <c r="Q1540">
        <v>3</v>
      </c>
      <c r="R1540" s="2">
        <v>45055</v>
      </c>
      <c r="S1540">
        <v>4</v>
      </c>
      <c r="T1540">
        <v>4</v>
      </c>
      <c r="U1540">
        <v>5</v>
      </c>
      <c r="V1540" s="1">
        <v>45052</v>
      </c>
      <c r="W1540" t="s">
        <v>50</v>
      </c>
      <c r="X1540" t="s">
        <v>51</v>
      </c>
      <c r="Y1540" t="s">
        <v>63</v>
      </c>
      <c r="Z1540">
        <v>3</v>
      </c>
      <c r="AA1540">
        <v>969.03</v>
      </c>
      <c r="AB1540">
        <v>36</v>
      </c>
    </row>
    <row r="1541" spans="1:28" x14ac:dyDescent="0.2">
      <c r="A1541">
        <v>2060</v>
      </c>
      <c r="B1541" s="1">
        <v>44952</v>
      </c>
      <c r="C1541" t="s">
        <v>28</v>
      </c>
      <c r="D1541" t="s">
        <v>69</v>
      </c>
      <c r="E1541" t="s">
        <v>30</v>
      </c>
      <c r="F1541" t="s">
        <v>46</v>
      </c>
      <c r="G1541" t="s">
        <v>32</v>
      </c>
      <c r="H1541" t="s">
        <v>46</v>
      </c>
      <c r="I1541" t="s">
        <v>34</v>
      </c>
      <c r="J1541" t="s">
        <v>70</v>
      </c>
      <c r="K1541" s="2">
        <v>15602</v>
      </c>
      <c r="L1541" t="s">
        <v>36</v>
      </c>
      <c r="M1541" t="s">
        <v>37</v>
      </c>
      <c r="N1541" t="s">
        <v>84</v>
      </c>
      <c r="O1541" t="s">
        <v>77</v>
      </c>
      <c r="P1541" t="s">
        <v>40</v>
      </c>
      <c r="Q1541">
        <v>3</v>
      </c>
      <c r="R1541" s="2">
        <v>45103</v>
      </c>
      <c r="S1541">
        <v>5</v>
      </c>
      <c r="T1541">
        <v>5</v>
      </c>
      <c r="U1541">
        <v>5</v>
      </c>
      <c r="V1541" s="1">
        <v>45130</v>
      </c>
      <c r="W1541" t="s">
        <v>62</v>
      </c>
      <c r="X1541" t="s">
        <v>51</v>
      </c>
      <c r="Y1541" t="s">
        <v>43</v>
      </c>
      <c r="Z1541">
        <v>3</v>
      </c>
      <c r="AA1541">
        <v>442.39</v>
      </c>
      <c r="AB1541">
        <v>81</v>
      </c>
    </row>
    <row r="1542" spans="1:28" x14ac:dyDescent="0.2">
      <c r="A1542">
        <v>2061</v>
      </c>
      <c r="B1542" s="1">
        <v>43446</v>
      </c>
      <c r="C1542" t="s">
        <v>28</v>
      </c>
      <c r="D1542" t="s">
        <v>29</v>
      </c>
      <c r="E1542" t="s">
        <v>30</v>
      </c>
      <c r="F1542" t="s">
        <v>55</v>
      </c>
      <c r="G1542" t="s">
        <v>45</v>
      </c>
      <c r="H1542" t="s">
        <v>55</v>
      </c>
      <c r="I1542" t="s">
        <v>34</v>
      </c>
      <c r="J1542" t="s">
        <v>79</v>
      </c>
      <c r="K1542" s="2">
        <v>17020</v>
      </c>
      <c r="L1542" t="s">
        <v>36</v>
      </c>
      <c r="M1542" t="s">
        <v>37</v>
      </c>
      <c r="N1542" t="s">
        <v>60</v>
      </c>
      <c r="O1542" t="s">
        <v>67</v>
      </c>
      <c r="P1542" t="s">
        <v>40</v>
      </c>
      <c r="Q1542">
        <v>3</v>
      </c>
      <c r="R1542" s="2">
        <v>45072</v>
      </c>
      <c r="S1542">
        <v>2</v>
      </c>
      <c r="T1542">
        <v>4</v>
      </c>
      <c r="U1542">
        <v>3</v>
      </c>
      <c r="V1542" s="1">
        <v>45000</v>
      </c>
      <c r="W1542" t="s">
        <v>68</v>
      </c>
      <c r="X1542" t="s">
        <v>51</v>
      </c>
      <c r="Y1542" t="s">
        <v>52</v>
      </c>
      <c r="Z1542">
        <v>1</v>
      </c>
      <c r="AA1542">
        <v>952.69</v>
      </c>
      <c r="AB1542">
        <v>72</v>
      </c>
    </row>
    <row r="1543" spans="1:28" x14ac:dyDescent="0.2">
      <c r="A1543">
        <v>2062</v>
      </c>
      <c r="B1543" s="1">
        <v>43398</v>
      </c>
      <c r="C1543" t="s">
        <v>28</v>
      </c>
      <c r="D1543" t="s">
        <v>85</v>
      </c>
      <c r="E1543" t="s">
        <v>30</v>
      </c>
      <c r="F1543" t="s">
        <v>31</v>
      </c>
      <c r="G1543" t="s">
        <v>32</v>
      </c>
      <c r="H1543" t="s">
        <v>33</v>
      </c>
      <c r="I1543" t="s">
        <v>34</v>
      </c>
      <c r="J1543" t="s">
        <v>96</v>
      </c>
      <c r="K1543" s="2">
        <v>18462</v>
      </c>
      <c r="L1543" t="s">
        <v>36</v>
      </c>
      <c r="M1543" t="s">
        <v>37</v>
      </c>
      <c r="N1543" t="s">
        <v>49</v>
      </c>
      <c r="O1543" t="s">
        <v>61</v>
      </c>
      <c r="P1543" t="s">
        <v>40</v>
      </c>
      <c r="Q1543">
        <v>3</v>
      </c>
      <c r="R1543" s="2">
        <v>44809</v>
      </c>
      <c r="S1543">
        <v>4</v>
      </c>
      <c r="T1543">
        <v>1</v>
      </c>
      <c r="U1543">
        <v>2</v>
      </c>
      <c r="V1543" s="1">
        <v>45066</v>
      </c>
      <c r="W1543" t="s">
        <v>62</v>
      </c>
      <c r="X1543" t="s">
        <v>51</v>
      </c>
      <c r="Y1543" t="s">
        <v>73</v>
      </c>
      <c r="Z1543">
        <v>1</v>
      </c>
      <c r="AA1543">
        <v>842.36</v>
      </c>
      <c r="AB1543">
        <v>68</v>
      </c>
    </row>
    <row r="1544" spans="1:28" x14ac:dyDescent="0.2">
      <c r="A1544">
        <v>2063</v>
      </c>
      <c r="B1544" s="1">
        <v>44336</v>
      </c>
      <c r="C1544" t="s">
        <v>28</v>
      </c>
      <c r="D1544" t="s">
        <v>44</v>
      </c>
      <c r="E1544" t="s">
        <v>30</v>
      </c>
      <c r="F1544" t="s">
        <v>31</v>
      </c>
      <c r="G1544" t="s">
        <v>56</v>
      </c>
      <c r="H1544" t="s">
        <v>55</v>
      </c>
      <c r="I1544" t="s">
        <v>34</v>
      </c>
      <c r="J1544" t="s">
        <v>47</v>
      </c>
      <c r="K1544" s="2">
        <v>16157</v>
      </c>
      <c r="L1544" t="s">
        <v>36</v>
      </c>
      <c r="M1544" t="s">
        <v>37</v>
      </c>
      <c r="N1544" t="s">
        <v>49</v>
      </c>
      <c r="O1544" t="s">
        <v>67</v>
      </c>
      <c r="P1544" t="s">
        <v>40</v>
      </c>
      <c r="Q1544">
        <v>3</v>
      </c>
      <c r="R1544" s="2">
        <v>45022</v>
      </c>
      <c r="S1544">
        <v>4</v>
      </c>
      <c r="T1544">
        <v>5</v>
      </c>
      <c r="U1544">
        <v>3</v>
      </c>
      <c r="V1544" s="1">
        <v>44927</v>
      </c>
      <c r="W1544" t="s">
        <v>68</v>
      </c>
      <c r="X1544" t="s">
        <v>51</v>
      </c>
      <c r="Y1544" t="s">
        <v>43</v>
      </c>
      <c r="Z1544">
        <v>5</v>
      </c>
      <c r="AA1544">
        <v>333.78</v>
      </c>
      <c r="AB1544">
        <v>77</v>
      </c>
    </row>
    <row r="1545" spans="1:28" x14ac:dyDescent="0.2">
      <c r="A1545">
        <v>2064</v>
      </c>
      <c r="B1545" s="1">
        <v>44071</v>
      </c>
      <c r="C1545" t="s">
        <v>28</v>
      </c>
      <c r="D1545" t="s">
        <v>87</v>
      </c>
      <c r="E1545" t="s">
        <v>30</v>
      </c>
      <c r="F1545" t="s">
        <v>46</v>
      </c>
      <c r="G1545" t="s">
        <v>32</v>
      </c>
      <c r="H1545" t="s">
        <v>55</v>
      </c>
      <c r="I1545" t="s">
        <v>34</v>
      </c>
      <c r="J1545" t="s">
        <v>35</v>
      </c>
      <c r="K1545" s="2">
        <v>23507</v>
      </c>
      <c r="L1545" t="s">
        <v>36</v>
      </c>
      <c r="M1545" t="s">
        <v>37</v>
      </c>
      <c r="N1545" t="s">
        <v>38</v>
      </c>
      <c r="O1545" t="s">
        <v>61</v>
      </c>
      <c r="P1545" t="s">
        <v>40</v>
      </c>
      <c r="Q1545">
        <v>3</v>
      </c>
      <c r="R1545" s="2">
        <v>44998</v>
      </c>
      <c r="S1545">
        <v>1</v>
      </c>
      <c r="T1545">
        <v>3</v>
      </c>
      <c r="U1545">
        <v>5</v>
      </c>
      <c r="V1545" s="1">
        <v>44814</v>
      </c>
      <c r="W1545" t="s">
        <v>68</v>
      </c>
      <c r="X1545" t="s">
        <v>42</v>
      </c>
      <c r="Y1545" t="s">
        <v>73</v>
      </c>
      <c r="Z1545">
        <v>2</v>
      </c>
      <c r="AA1545">
        <v>343.22</v>
      </c>
      <c r="AB1545">
        <v>56</v>
      </c>
    </row>
    <row r="1546" spans="1:28" x14ac:dyDescent="0.2">
      <c r="A1546">
        <v>2065</v>
      </c>
      <c r="B1546" s="1">
        <v>43961</v>
      </c>
      <c r="C1546" t="s">
        <v>106</v>
      </c>
      <c r="D1546" t="s">
        <v>44</v>
      </c>
      <c r="E1546" t="s">
        <v>30</v>
      </c>
      <c r="F1546" t="s">
        <v>31</v>
      </c>
      <c r="G1546" t="s">
        <v>32</v>
      </c>
      <c r="H1546" t="s">
        <v>55</v>
      </c>
      <c r="I1546" t="s">
        <v>34</v>
      </c>
      <c r="J1546" t="s">
        <v>70</v>
      </c>
      <c r="K1546" s="2">
        <v>26358</v>
      </c>
      <c r="L1546" t="s">
        <v>36</v>
      </c>
      <c r="M1546" t="s">
        <v>37</v>
      </c>
      <c r="N1546" t="s">
        <v>60</v>
      </c>
      <c r="O1546" t="s">
        <v>61</v>
      </c>
      <c r="P1546" t="s">
        <v>40</v>
      </c>
      <c r="Q1546">
        <v>3</v>
      </c>
      <c r="R1546" s="2">
        <v>44939</v>
      </c>
      <c r="S1546">
        <v>5</v>
      </c>
      <c r="T1546">
        <v>4</v>
      </c>
      <c r="U1546">
        <v>4</v>
      </c>
      <c r="V1546" s="1">
        <v>45061</v>
      </c>
      <c r="W1546" t="s">
        <v>41</v>
      </c>
      <c r="X1546" t="s">
        <v>42</v>
      </c>
      <c r="Y1546" t="s">
        <v>43</v>
      </c>
      <c r="Z1546">
        <v>1</v>
      </c>
      <c r="AA1546">
        <v>283.86</v>
      </c>
      <c r="AB1546">
        <v>48</v>
      </c>
    </row>
    <row r="1547" spans="1:28" x14ac:dyDescent="0.2">
      <c r="A1547">
        <v>2066</v>
      </c>
      <c r="B1547" s="1">
        <v>45142</v>
      </c>
      <c r="C1547" t="s">
        <v>106</v>
      </c>
      <c r="D1547" t="s">
        <v>87</v>
      </c>
      <c r="E1547" t="s">
        <v>30</v>
      </c>
      <c r="F1547" t="s">
        <v>31</v>
      </c>
      <c r="G1547" t="s">
        <v>45</v>
      </c>
      <c r="H1547" t="s">
        <v>55</v>
      </c>
      <c r="I1547" t="s">
        <v>34</v>
      </c>
      <c r="J1547" t="s">
        <v>96</v>
      </c>
      <c r="K1547" s="2">
        <v>32653</v>
      </c>
      <c r="L1547" t="s">
        <v>36</v>
      </c>
      <c r="M1547" t="s">
        <v>37</v>
      </c>
      <c r="N1547" t="s">
        <v>84</v>
      </c>
      <c r="O1547" t="s">
        <v>61</v>
      </c>
      <c r="P1547" t="s">
        <v>40</v>
      </c>
      <c r="Q1547">
        <v>3</v>
      </c>
      <c r="R1547" s="2">
        <v>44842</v>
      </c>
      <c r="S1547">
        <v>1</v>
      </c>
      <c r="T1547">
        <v>5</v>
      </c>
      <c r="U1547">
        <v>1</v>
      </c>
      <c r="V1547" s="1">
        <v>44807</v>
      </c>
      <c r="W1547" t="s">
        <v>50</v>
      </c>
      <c r="X1547" t="s">
        <v>42</v>
      </c>
      <c r="Y1547" t="s">
        <v>73</v>
      </c>
      <c r="Z1547">
        <v>5</v>
      </c>
      <c r="AA1547">
        <v>107.29</v>
      </c>
      <c r="AB1547">
        <v>34</v>
      </c>
    </row>
    <row r="1548" spans="1:28" x14ac:dyDescent="0.2">
      <c r="A1548">
        <v>2067</v>
      </c>
      <c r="B1548" s="1">
        <v>44673</v>
      </c>
      <c r="C1548" t="s">
        <v>106</v>
      </c>
      <c r="D1548" t="s">
        <v>81</v>
      </c>
      <c r="E1548" t="s">
        <v>30</v>
      </c>
      <c r="F1548" t="s">
        <v>55</v>
      </c>
      <c r="G1548" t="s">
        <v>32</v>
      </c>
      <c r="H1548" t="s">
        <v>46</v>
      </c>
      <c r="I1548" t="s">
        <v>34</v>
      </c>
      <c r="J1548" t="s">
        <v>79</v>
      </c>
      <c r="K1548" s="2">
        <v>18191</v>
      </c>
      <c r="L1548" t="s">
        <v>36</v>
      </c>
      <c r="M1548" t="s">
        <v>37</v>
      </c>
      <c r="N1548" t="s">
        <v>38</v>
      </c>
      <c r="O1548" t="s">
        <v>77</v>
      </c>
      <c r="P1548" t="s">
        <v>40</v>
      </c>
      <c r="Q1548">
        <v>3</v>
      </c>
      <c r="R1548" s="2">
        <v>44999</v>
      </c>
      <c r="S1548">
        <v>5</v>
      </c>
      <c r="T1548">
        <v>2</v>
      </c>
      <c r="U1548">
        <v>1</v>
      </c>
      <c r="V1548" s="1">
        <v>45056</v>
      </c>
      <c r="W1548" t="s">
        <v>41</v>
      </c>
      <c r="X1548" t="s">
        <v>51</v>
      </c>
      <c r="Y1548" t="s">
        <v>43</v>
      </c>
      <c r="Z1548">
        <v>4</v>
      </c>
      <c r="AA1548">
        <v>320.87</v>
      </c>
      <c r="AB1548">
        <v>73</v>
      </c>
    </row>
    <row r="1549" spans="1:28" x14ac:dyDescent="0.2">
      <c r="A1549">
        <v>2068</v>
      </c>
      <c r="B1549" s="1">
        <v>44352</v>
      </c>
      <c r="C1549" t="s">
        <v>106</v>
      </c>
      <c r="D1549" t="s">
        <v>54</v>
      </c>
      <c r="E1549" t="s">
        <v>30</v>
      </c>
      <c r="F1549" t="s">
        <v>31</v>
      </c>
      <c r="G1549" t="s">
        <v>32</v>
      </c>
      <c r="H1549" t="s">
        <v>46</v>
      </c>
      <c r="I1549" t="s">
        <v>34</v>
      </c>
      <c r="J1549" t="s">
        <v>70</v>
      </c>
      <c r="K1549" s="2">
        <v>22896</v>
      </c>
      <c r="L1549" t="s">
        <v>36</v>
      </c>
      <c r="M1549" t="s">
        <v>37</v>
      </c>
      <c r="N1549" t="s">
        <v>38</v>
      </c>
      <c r="O1549" t="s">
        <v>77</v>
      </c>
      <c r="P1549" t="s">
        <v>40</v>
      </c>
      <c r="Q1549">
        <v>3</v>
      </c>
      <c r="R1549" s="2">
        <v>44795</v>
      </c>
      <c r="S1549">
        <v>4</v>
      </c>
      <c r="T1549">
        <v>3</v>
      </c>
      <c r="U1549">
        <v>5</v>
      </c>
      <c r="V1549" s="1">
        <v>44960</v>
      </c>
      <c r="W1549" t="s">
        <v>41</v>
      </c>
      <c r="X1549" t="s">
        <v>42</v>
      </c>
      <c r="Y1549" t="s">
        <v>52</v>
      </c>
      <c r="Z1549">
        <v>3</v>
      </c>
      <c r="AA1549">
        <v>670.68</v>
      </c>
      <c r="AB1549">
        <v>59</v>
      </c>
    </row>
    <row r="1550" spans="1:28" x14ac:dyDescent="0.2">
      <c r="A1550">
        <v>2069</v>
      </c>
      <c r="B1550" s="1">
        <v>44741</v>
      </c>
      <c r="C1550" t="s">
        <v>106</v>
      </c>
      <c r="D1550" t="s">
        <v>94</v>
      </c>
      <c r="E1550" t="s">
        <v>30</v>
      </c>
      <c r="F1550" t="s">
        <v>55</v>
      </c>
      <c r="G1550" t="s">
        <v>32</v>
      </c>
      <c r="H1550" t="s">
        <v>33</v>
      </c>
      <c r="I1550" t="s">
        <v>34</v>
      </c>
      <c r="J1550" t="s">
        <v>101</v>
      </c>
      <c r="K1550" s="2">
        <v>33597</v>
      </c>
      <c r="L1550" t="s">
        <v>36</v>
      </c>
      <c r="M1550" t="s">
        <v>37</v>
      </c>
      <c r="N1550" t="s">
        <v>60</v>
      </c>
      <c r="O1550" t="s">
        <v>39</v>
      </c>
      <c r="P1550" t="s">
        <v>40</v>
      </c>
      <c r="Q1550">
        <v>3</v>
      </c>
      <c r="R1550" s="2">
        <v>45129</v>
      </c>
      <c r="S1550">
        <v>3</v>
      </c>
      <c r="T1550">
        <v>1</v>
      </c>
      <c r="U1550">
        <v>5</v>
      </c>
      <c r="V1550" s="1">
        <v>45056</v>
      </c>
      <c r="W1550" t="s">
        <v>92</v>
      </c>
      <c r="X1550" t="s">
        <v>51</v>
      </c>
      <c r="Y1550" t="s">
        <v>52</v>
      </c>
      <c r="Z1550">
        <v>3</v>
      </c>
      <c r="AA1550">
        <v>685.62</v>
      </c>
      <c r="AB1550">
        <v>31</v>
      </c>
    </row>
    <row r="1551" spans="1:28" x14ac:dyDescent="0.2">
      <c r="A1551">
        <v>2070</v>
      </c>
      <c r="B1551" s="1">
        <v>44744</v>
      </c>
      <c r="C1551" t="s">
        <v>106</v>
      </c>
      <c r="D1551" t="s">
        <v>85</v>
      </c>
      <c r="E1551" t="s">
        <v>30</v>
      </c>
      <c r="F1551" t="s">
        <v>31</v>
      </c>
      <c r="G1551" t="s">
        <v>45</v>
      </c>
      <c r="H1551" t="s">
        <v>55</v>
      </c>
      <c r="I1551" t="s">
        <v>34</v>
      </c>
      <c r="J1551" t="s">
        <v>70</v>
      </c>
      <c r="K1551" s="2">
        <v>25254</v>
      </c>
      <c r="L1551" t="s">
        <v>36</v>
      </c>
      <c r="M1551" t="s">
        <v>37</v>
      </c>
      <c r="N1551" t="s">
        <v>38</v>
      </c>
      <c r="O1551" t="s">
        <v>77</v>
      </c>
      <c r="P1551" t="s">
        <v>40</v>
      </c>
      <c r="Q1551">
        <v>3</v>
      </c>
      <c r="R1551" s="2">
        <v>44980</v>
      </c>
      <c r="S1551">
        <v>3</v>
      </c>
      <c r="T1551">
        <v>4</v>
      </c>
      <c r="U1551">
        <v>5</v>
      </c>
      <c r="V1551" s="1">
        <v>45028</v>
      </c>
      <c r="W1551" t="s">
        <v>68</v>
      </c>
      <c r="X1551" t="s">
        <v>42</v>
      </c>
      <c r="Y1551" t="s">
        <v>63</v>
      </c>
      <c r="Z1551">
        <v>5</v>
      </c>
      <c r="AA1551">
        <v>842.88</v>
      </c>
      <c r="AB1551">
        <v>53</v>
      </c>
    </row>
    <row r="1552" spans="1:28" x14ac:dyDescent="0.2">
      <c r="A1552">
        <v>2071</v>
      </c>
      <c r="B1552" s="1">
        <v>44930</v>
      </c>
      <c r="C1552" t="s">
        <v>106</v>
      </c>
      <c r="D1552" t="s">
        <v>64</v>
      </c>
      <c r="E1552" t="s">
        <v>30</v>
      </c>
      <c r="F1552" t="s">
        <v>31</v>
      </c>
      <c r="G1552" t="s">
        <v>45</v>
      </c>
      <c r="H1552" t="s">
        <v>55</v>
      </c>
      <c r="I1552" t="s">
        <v>34</v>
      </c>
      <c r="J1552" t="s">
        <v>101</v>
      </c>
      <c r="K1552" s="2">
        <v>28259</v>
      </c>
      <c r="L1552" t="s">
        <v>36</v>
      </c>
      <c r="M1552" t="s">
        <v>37</v>
      </c>
      <c r="N1552" t="s">
        <v>38</v>
      </c>
      <c r="O1552" t="s">
        <v>39</v>
      </c>
      <c r="P1552" t="s">
        <v>40</v>
      </c>
      <c r="Q1552">
        <v>3</v>
      </c>
      <c r="R1552" s="2">
        <v>44819</v>
      </c>
      <c r="S1552">
        <v>2</v>
      </c>
      <c r="T1552">
        <v>1</v>
      </c>
      <c r="U1552">
        <v>5</v>
      </c>
      <c r="V1552" s="1">
        <v>44966</v>
      </c>
      <c r="W1552" t="s">
        <v>68</v>
      </c>
      <c r="X1552" t="s">
        <v>42</v>
      </c>
      <c r="Y1552" t="s">
        <v>52</v>
      </c>
      <c r="Z1552">
        <v>5</v>
      </c>
      <c r="AA1552">
        <v>735.7</v>
      </c>
      <c r="AB1552">
        <v>46</v>
      </c>
    </row>
    <row r="1553" spans="1:28" x14ac:dyDescent="0.2">
      <c r="A1553">
        <v>2072</v>
      </c>
      <c r="B1553" s="1">
        <v>45115</v>
      </c>
      <c r="C1553" t="s">
        <v>106</v>
      </c>
      <c r="D1553" t="s">
        <v>74</v>
      </c>
      <c r="E1553" t="s">
        <v>30</v>
      </c>
      <c r="F1553" t="s">
        <v>31</v>
      </c>
      <c r="G1553" t="s">
        <v>45</v>
      </c>
      <c r="H1553" t="s">
        <v>33</v>
      </c>
      <c r="I1553" t="s">
        <v>34</v>
      </c>
      <c r="J1553" t="s">
        <v>96</v>
      </c>
      <c r="K1553" s="2">
        <v>29471</v>
      </c>
      <c r="L1553" t="s">
        <v>36</v>
      </c>
      <c r="M1553" t="s">
        <v>37</v>
      </c>
      <c r="N1553" t="s">
        <v>38</v>
      </c>
      <c r="O1553" t="s">
        <v>61</v>
      </c>
      <c r="P1553" t="s">
        <v>40</v>
      </c>
      <c r="Q1553">
        <v>3</v>
      </c>
      <c r="R1553" s="2">
        <v>44825</v>
      </c>
      <c r="S1553">
        <v>5</v>
      </c>
      <c r="T1553">
        <v>4</v>
      </c>
      <c r="U1553">
        <v>1</v>
      </c>
      <c r="V1553" s="1">
        <v>45094</v>
      </c>
      <c r="W1553" t="s">
        <v>50</v>
      </c>
      <c r="X1553" t="s">
        <v>42</v>
      </c>
      <c r="Y1553" t="s">
        <v>73</v>
      </c>
      <c r="Z1553">
        <v>5</v>
      </c>
      <c r="AA1553">
        <v>974.31</v>
      </c>
      <c r="AB1553">
        <v>43</v>
      </c>
    </row>
    <row r="1554" spans="1:28" x14ac:dyDescent="0.2">
      <c r="A1554">
        <v>2073</v>
      </c>
      <c r="B1554" s="1">
        <v>44988</v>
      </c>
      <c r="C1554" t="s">
        <v>106</v>
      </c>
      <c r="D1554" t="s">
        <v>94</v>
      </c>
      <c r="E1554" t="s">
        <v>30</v>
      </c>
      <c r="F1554" t="s">
        <v>46</v>
      </c>
      <c r="G1554" t="s">
        <v>56</v>
      </c>
      <c r="H1554" t="s">
        <v>55</v>
      </c>
      <c r="I1554" t="s">
        <v>34</v>
      </c>
      <c r="J1554" t="s">
        <v>70</v>
      </c>
      <c r="K1554" s="2">
        <v>20654</v>
      </c>
      <c r="L1554" t="s">
        <v>36</v>
      </c>
      <c r="M1554" t="s">
        <v>37</v>
      </c>
      <c r="N1554" t="s">
        <v>49</v>
      </c>
      <c r="O1554" t="s">
        <v>61</v>
      </c>
      <c r="P1554" t="s">
        <v>40</v>
      </c>
      <c r="Q1554">
        <v>3</v>
      </c>
      <c r="R1554" s="2">
        <v>44969</v>
      </c>
      <c r="S1554">
        <v>1</v>
      </c>
      <c r="T1554">
        <v>2</v>
      </c>
      <c r="U1554">
        <v>2</v>
      </c>
      <c r="V1554" s="1">
        <v>45141</v>
      </c>
      <c r="W1554" t="s">
        <v>62</v>
      </c>
      <c r="X1554" t="s">
        <v>42</v>
      </c>
      <c r="Y1554" t="s">
        <v>52</v>
      </c>
      <c r="Z1554">
        <v>3</v>
      </c>
      <c r="AA1554">
        <v>760.53</v>
      </c>
      <c r="AB1554">
        <v>67</v>
      </c>
    </row>
    <row r="1555" spans="1:28" x14ac:dyDescent="0.2">
      <c r="A1555">
        <v>2074</v>
      </c>
      <c r="B1555" s="1">
        <v>43696</v>
      </c>
      <c r="C1555" t="s">
        <v>106</v>
      </c>
      <c r="D1555" t="s">
        <v>74</v>
      </c>
      <c r="E1555" t="s">
        <v>30</v>
      </c>
      <c r="F1555" t="s">
        <v>46</v>
      </c>
      <c r="G1555" t="s">
        <v>56</v>
      </c>
      <c r="H1555" t="s">
        <v>55</v>
      </c>
      <c r="I1555" t="s">
        <v>34</v>
      </c>
      <c r="J1555" t="s">
        <v>70</v>
      </c>
      <c r="K1555" s="2">
        <v>24801</v>
      </c>
      <c r="L1555" t="s">
        <v>36</v>
      </c>
      <c r="M1555" t="s">
        <v>37</v>
      </c>
      <c r="N1555" t="s">
        <v>49</v>
      </c>
      <c r="O1555" t="s">
        <v>39</v>
      </c>
      <c r="P1555" t="s">
        <v>40</v>
      </c>
      <c r="Q1555">
        <v>3</v>
      </c>
      <c r="R1555" s="2">
        <v>45112</v>
      </c>
      <c r="S1555">
        <v>3</v>
      </c>
      <c r="T1555">
        <v>2</v>
      </c>
      <c r="U1555">
        <v>4</v>
      </c>
      <c r="V1555" s="1">
        <v>44824</v>
      </c>
      <c r="W1555" t="s">
        <v>62</v>
      </c>
      <c r="X1555" t="s">
        <v>42</v>
      </c>
      <c r="Y1555" t="s">
        <v>73</v>
      </c>
      <c r="Z1555">
        <v>5</v>
      </c>
      <c r="AA1555">
        <v>640.97</v>
      </c>
      <c r="AB1555">
        <v>52</v>
      </c>
    </row>
    <row r="1556" spans="1:28" x14ac:dyDescent="0.2">
      <c r="A1556">
        <v>2075</v>
      </c>
      <c r="B1556" s="1">
        <v>43403</v>
      </c>
      <c r="C1556" t="s">
        <v>28</v>
      </c>
      <c r="D1556" t="s">
        <v>81</v>
      </c>
      <c r="E1556" t="s">
        <v>30</v>
      </c>
      <c r="F1556" t="s">
        <v>31</v>
      </c>
      <c r="G1556" t="s">
        <v>45</v>
      </c>
      <c r="H1556" t="s">
        <v>55</v>
      </c>
      <c r="I1556" t="s">
        <v>34</v>
      </c>
      <c r="J1556" t="s">
        <v>96</v>
      </c>
      <c r="K1556" s="2">
        <v>28046</v>
      </c>
      <c r="L1556" t="s">
        <v>36</v>
      </c>
      <c r="M1556" t="s">
        <v>37</v>
      </c>
      <c r="N1556" t="s">
        <v>60</v>
      </c>
      <c r="O1556" t="s">
        <v>67</v>
      </c>
      <c r="P1556" t="s">
        <v>40</v>
      </c>
      <c r="Q1556">
        <v>3</v>
      </c>
      <c r="R1556" s="2">
        <v>44984</v>
      </c>
      <c r="S1556">
        <v>4</v>
      </c>
      <c r="T1556">
        <v>5</v>
      </c>
      <c r="U1556">
        <v>2</v>
      </c>
      <c r="V1556" s="1">
        <v>44861</v>
      </c>
      <c r="W1556" t="s">
        <v>50</v>
      </c>
      <c r="X1556" t="s">
        <v>51</v>
      </c>
      <c r="Y1556" t="s">
        <v>52</v>
      </c>
      <c r="Z1556">
        <v>5</v>
      </c>
      <c r="AA1556">
        <v>807.49</v>
      </c>
      <c r="AB1556">
        <v>42</v>
      </c>
    </row>
    <row r="1557" spans="1:28" x14ac:dyDescent="0.2">
      <c r="A1557">
        <v>2076</v>
      </c>
      <c r="B1557" s="1">
        <v>44537</v>
      </c>
      <c r="C1557" t="s">
        <v>28</v>
      </c>
      <c r="D1557" t="s">
        <v>54</v>
      </c>
      <c r="E1557" t="s">
        <v>30</v>
      </c>
      <c r="F1557" t="s">
        <v>55</v>
      </c>
      <c r="G1557" t="s">
        <v>45</v>
      </c>
      <c r="H1557" t="s">
        <v>55</v>
      </c>
      <c r="I1557" t="s">
        <v>34</v>
      </c>
      <c r="J1557" t="s">
        <v>70</v>
      </c>
      <c r="K1557" s="2">
        <v>15914</v>
      </c>
      <c r="L1557" t="s">
        <v>36</v>
      </c>
      <c r="M1557" t="s">
        <v>37</v>
      </c>
      <c r="N1557" t="s">
        <v>72</v>
      </c>
      <c r="O1557" t="s">
        <v>77</v>
      </c>
      <c r="P1557" t="s">
        <v>40</v>
      </c>
      <c r="Q1557">
        <v>3</v>
      </c>
      <c r="R1557" s="2">
        <v>44933</v>
      </c>
      <c r="S1557">
        <v>5</v>
      </c>
      <c r="T1557">
        <v>5</v>
      </c>
      <c r="U1557">
        <v>1</v>
      </c>
      <c r="V1557" s="1">
        <v>44873</v>
      </c>
      <c r="W1557" t="s">
        <v>92</v>
      </c>
      <c r="X1557" t="s">
        <v>42</v>
      </c>
      <c r="Y1557" t="s">
        <v>63</v>
      </c>
      <c r="Z1557">
        <v>3</v>
      </c>
      <c r="AA1557">
        <v>350.22</v>
      </c>
      <c r="AB1557">
        <v>78</v>
      </c>
    </row>
    <row r="1558" spans="1:28" x14ac:dyDescent="0.2">
      <c r="A1558">
        <v>2077</v>
      </c>
      <c r="B1558" s="1">
        <v>44153</v>
      </c>
      <c r="C1558" t="s">
        <v>28</v>
      </c>
      <c r="D1558" t="s">
        <v>94</v>
      </c>
      <c r="E1558" t="s">
        <v>30</v>
      </c>
      <c r="F1558" t="s">
        <v>55</v>
      </c>
      <c r="G1558" t="s">
        <v>45</v>
      </c>
      <c r="H1558" t="s">
        <v>33</v>
      </c>
      <c r="I1558" t="s">
        <v>34</v>
      </c>
      <c r="J1558" t="s">
        <v>65</v>
      </c>
      <c r="K1558" s="2">
        <v>16065</v>
      </c>
      <c r="L1558" t="s">
        <v>36</v>
      </c>
      <c r="M1558" t="s">
        <v>37</v>
      </c>
      <c r="N1558" t="s">
        <v>84</v>
      </c>
      <c r="O1558" t="s">
        <v>67</v>
      </c>
      <c r="P1558" t="s">
        <v>40</v>
      </c>
      <c r="Q1558">
        <v>3</v>
      </c>
      <c r="R1558" s="2">
        <v>45133</v>
      </c>
      <c r="S1558">
        <v>4</v>
      </c>
      <c r="T1558">
        <v>1</v>
      </c>
      <c r="U1558">
        <v>1</v>
      </c>
      <c r="V1558" s="1">
        <v>45023</v>
      </c>
      <c r="W1558" t="s">
        <v>92</v>
      </c>
      <c r="X1558" t="s">
        <v>42</v>
      </c>
      <c r="Y1558" t="s">
        <v>63</v>
      </c>
      <c r="Z1558">
        <v>4</v>
      </c>
      <c r="AA1558">
        <v>447.67</v>
      </c>
      <c r="AB1558">
        <v>77</v>
      </c>
    </row>
    <row r="1559" spans="1:28" x14ac:dyDescent="0.2">
      <c r="A1559">
        <v>2078</v>
      </c>
      <c r="B1559" s="1">
        <v>43369</v>
      </c>
      <c r="C1559" t="s">
        <v>28</v>
      </c>
      <c r="D1559" t="s">
        <v>85</v>
      </c>
      <c r="E1559" t="s">
        <v>108</v>
      </c>
      <c r="F1559" t="s">
        <v>55</v>
      </c>
      <c r="G1559" t="s">
        <v>56</v>
      </c>
      <c r="H1559" t="s">
        <v>33</v>
      </c>
      <c r="I1559" t="s">
        <v>34</v>
      </c>
      <c r="J1559" t="s">
        <v>70</v>
      </c>
      <c r="K1559" s="2">
        <v>31711</v>
      </c>
      <c r="L1559" t="s">
        <v>36</v>
      </c>
      <c r="M1559" t="s">
        <v>37</v>
      </c>
      <c r="N1559" t="s">
        <v>38</v>
      </c>
      <c r="O1559" t="s">
        <v>61</v>
      </c>
      <c r="P1559" t="s">
        <v>40</v>
      </c>
      <c r="Q1559">
        <v>3</v>
      </c>
      <c r="R1559" s="2">
        <v>44855</v>
      </c>
      <c r="S1559">
        <v>5</v>
      </c>
      <c r="T1559">
        <v>5</v>
      </c>
      <c r="U1559">
        <v>2</v>
      </c>
      <c r="V1559" s="1">
        <v>44780</v>
      </c>
      <c r="W1559" t="s">
        <v>92</v>
      </c>
      <c r="X1559" t="s">
        <v>42</v>
      </c>
      <c r="Y1559" t="s">
        <v>52</v>
      </c>
      <c r="Z1559">
        <v>5</v>
      </c>
      <c r="AA1559">
        <v>737.61</v>
      </c>
      <c r="AB1559">
        <v>32</v>
      </c>
    </row>
    <row r="1560" spans="1:28" x14ac:dyDescent="0.2">
      <c r="A1560">
        <v>2079</v>
      </c>
      <c r="B1560" s="1">
        <v>44731</v>
      </c>
      <c r="C1560" t="s">
        <v>28</v>
      </c>
      <c r="D1560" t="s">
        <v>64</v>
      </c>
      <c r="E1560" t="s">
        <v>30</v>
      </c>
      <c r="F1560" t="s">
        <v>46</v>
      </c>
      <c r="G1560" t="s">
        <v>56</v>
      </c>
      <c r="H1560" t="s">
        <v>46</v>
      </c>
      <c r="I1560" t="s">
        <v>34</v>
      </c>
      <c r="J1560" t="s">
        <v>65</v>
      </c>
      <c r="K1560" s="2">
        <v>20618</v>
      </c>
      <c r="L1560" t="s">
        <v>36</v>
      </c>
      <c r="M1560" t="s">
        <v>37</v>
      </c>
      <c r="N1560" t="s">
        <v>38</v>
      </c>
      <c r="O1560" t="s">
        <v>67</v>
      </c>
      <c r="P1560" t="s">
        <v>40</v>
      </c>
      <c r="Q1560">
        <v>3</v>
      </c>
      <c r="R1560" s="2">
        <v>44988</v>
      </c>
      <c r="S1560">
        <v>4</v>
      </c>
      <c r="T1560">
        <v>2</v>
      </c>
      <c r="U1560">
        <v>3</v>
      </c>
      <c r="V1560" s="1">
        <v>44941</v>
      </c>
      <c r="W1560" t="s">
        <v>41</v>
      </c>
      <c r="X1560" t="s">
        <v>51</v>
      </c>
      <c r="Y1560" t="s">
        <v>63</v>
      </c>
      <c r="Z1560">
        <v>4</v>
      </c>
      <c r="AA1560">
        <v>444.96</v>
      </c>
      <c r="AB1560">
        <v>66</v>
      </c>
    </row>
    <row r="1561" spans="1:28" x14ac:dyDescent="0.2">
      <c r="A1561">
        <v>2080</v>
      </c>
      <c r="B1561" s="1">
        <v>44819</v>
      </c>
      <c r="C1561" t="s">
        <v>28</v>
      </c>
      <c r="D1561" t="s">
        <v>74</v>
      </c>
      <c r="E1561" t="s">
        <v>30</v>
      </c>
      <c r="F1561" t="s">
        <v>31</v>
      </c>
      <c r="G1561" t="s">
        <v>56</v>
      </c>
      <c r="H1561" t="s">
        <v>33</v>
      </c>
      <c r="I1561" t="s">
        <v>34</v>
      </c>
      <c r="J1561" t="s">
        <v>102</v>
      </c>
      <c r="K1561" s="2">
        <v>22223</v>
      </c>
      <c r="L1561" t="s">
        <v>36</v>
      </c>
      <c r="M1561" t="s">
        <v>37</v>
      </c>
      <c r="N1561" t="s">
        <v>60</v>
      </c>
      <c r="O1561" t="s">
        <v>67</v>
      </c>
      <c r="P1561" t="s">
        <v>40</v>
      </c>
      <c r="Q1561">
        <v>3</v>
      </c>
      <c r="R1561" s="2">
        <v>44969</v>
      </c>
      <c r="S1561">
        <v>4</v>
      </c>
      <c r="T1561">
        <v>1</v>
      </c>
      <c r="U1561">
        <v>4</v>
      </c>
      <c r="V1561" s="1">
        <v>45086</v>
      </c>
      <c r="W1561" t="s">
        <v>62</v>
      </c>
      <c r="X1561" t="s">
        <v>51</v>
      </c>
      <c r="Y1561" t="s">
        <v>43</v>
      </c>
      <c r="Z1561">
        <v>1</v>
      </c>
      <c r="AA1561">
        <v>605.04999999999995</v>
      </c>
      <c r="AB1561">
        <v>62</v>
      </c>
    </row>
    <row r="1562" spans="1:28" x14ac:dyDescent="0.2">
      <c r="A1562">
        <v>2081</v>
      </c>
      <c r="B1562" s="1">
        <v>43960</v>
      </c>
      <c r="C1562" t="s">
        <v>28</v>
      </c>
      <c r="D1562" t="s">
        <v>69</v>
      </c>
      <c r="E1562" t="s">
        <v>30</v>
      </c>
      <c r="F1562" t="s">
        <v>46</v>
      </c>
      <c r="G1562" t="s">
        <v>45</v>
      </c>
      <c r="H1562" t="s">
        <v>33</v>
      </c>
      <c r="I1562" t="s">
        <v>34</v>
      </c>
      <c r="J1562" t="s">
        <v>79</v>
      </c>
      <c r="K1562" s="2">
        <v>32302</v>
      </c>
      <c r="L1562" t="s">
        <v>36</v>
      </c>
      <c r="M1562" t="s">
        <v>37</v>
      </c>
      <c r="N1562" t="s">
        <v>84</v>
      </c>
      <c r="O1562" t="s">
        <v>67</v>
      </c>
      <c r="P1562" t="s">
        <v>40</v>
      </c>
      <c r="Q1562">
        <v>3</v>
      </c>
      <c r="R1562" s="2">
        <v>44978</v>
      </c>
      <c r="S1562">
        <v>1</v>
      </c>
      <c r="T1562">
        <v>1</v>
      </c>
      <c r="U1562">
        <v>4</v>
      </c>
      <c r="V1562" s="1">
        <v>45060</v>
      </c>
      <c r="W1562" t="s">
        <v>50</v>
      </c>
      <c r="X1562" t="s">
        <v>51</v>
      </c>
      <c r="Y1562" t="s">
        <v>43</v>
      </c>
      <c r="Z1562">
        <v>4</v>
      </c>
      <c r="AA1562">
        <v>744.4</v>
      </c>
      <c r="AB1562">
        <v>32</v>
      </c>
    </row>
    <row r="1563" spans="1:28" x14ac:dyDescent="0.2">
      <c r="A1563">
        <v>2082</v>
      </c>
      <c r="B1563" s="1">
        <v>44244</v>
      </c>
      <c r="C1563" t="s">
        <v>28</v>
      </c>
      <c r="D1563" t="s">
        <v>29</v>
      </c>
      <c r="E1563" t="s">
        <v>30</v>
      </c>
      <c r="F1563" t="s">
        <v>31</v>
      </c>
      <c r="G1563" t="s">
        <v>32</v>
      </c>
      <c r="H1563" t="s">
        <v>33</v>
      </c>
      <c r="I1563" t="s">
        <v>34</v>
      </c>
      <c r="J1563" t="s">
        <v>70</v>
      </c>
      <c r="K1563" s="2">
        <v>22289</v>
      </c>
      <c r="L1563" t="s">
        <v>36</v>
      </c>
      <c r="M1563" t="s">
        <v>48</v>
      </c>
      <c r="N1563" t="s">
        <v>72</v>
      </c>
      <c r="O1563" t="s">
        <v>61</v>
      </c>
      <c r="P1563" t="s">
        <v>40</v>
      </c>
      <c r="Q1563">
        <v>3</v>
      </c>
      <c r="R1563" s="2">
        <v>44927</v>
      </c>
      <c r="S1563">
        <v>4</v>
      </c>
      <c r="T1563">
        <v>2</v>
      </c>
      <c r="U1563">
        <v>4</v>
      </c>
      <c r="V1563" s="1">
        <v>44782</v>
      </c>
      <c r="W1563" t="s">
        <v>50</v>
      </c>
      <c r="X1563" t="s">
        <v>51</v>
      </c>
      <c r="Y1563" t="s">
        <v>52</v>
      </c>
      <c r="Z1563">
        <v>1</v>
      </c>
      <c r="AA1563">
        <v>230.77</v>
      </c>
      <c r="AB1563">
        <v>60</v>
      </c>
    </row>
    <row r="1564" spans="1:28" x14ac:dyDescent="0.2">
      <c r="A1564">
        <v>2083</v>
      </c>
      <c r="B1564" s="1">
        <v>43933</v>
      </c>
      <c r="C1564" t="s">
        <v>28</v>
      </c>
      <c r="D1564" t="s">
        <v>44</v>
      </c>
      <c r="E1564" t="s">
        <v>30</v>
      </c>
      <c r="F1564" t="s">
        <v>31</v>
      </c>
      <c r="G1564" t="s">
        <v>32</v>
      </c>
      <c r="H1564" t="s">
        <v>33</v>
      </c>
      <c r="I1564" t="s">
        <v>34</v>
      </c>
      <c r="J1564" t="s">
        <v>79</v>
      </c>
      <c r="K1564" s="2">
        <v>29722</v>
      </c>
      <c r="L1564" t="s">
        <v>36</v>
      </c>
      <c r="M1564" t="s">
        <v>37</v>
      </c>
      <c r="N1564" t="s">
        <v>49</v>
      </c>
      <c r="O1564" t="s">
        <v>77</v>
      </c>
      <c r="P1564" t="s">
        <v>40</v>
      </c>
      <c r="Q1564">
        <v>3</v>
      </c>
      <c r="R1564" s="2">
        <v>45103</v>
      </c>
      <c r="S1564">
        <v>2</v>
      </c>
      <c r="T1564">
        <v>2</v>
      </c>
      <c r="U1564">
        <v>4</v>
      </c>
      <c r="V1564" s="1">
        <v>44916</v>
      </c>
      <c r="W1564" t="s">
        <v>62</v>
      </c>
      <c r="X1564" t="s">
        <v>51</v>
      </c>
      <c r="Y1564" t="s">
        <v>52</v>
      </c>
      <c r="Z1564">
        <v>5</v>
      </c>
      <c r="AA1564">
        <v>569.44000000000005</v>
      </c>
      <c r="AB1564">
        <v>39</v>
      </c>
    </row>
    <row r="1565" spans="1:28" x14ac:dyDescent="0.2">
      <c r="A1565">
        <v>2084</v>
      </c>
      <c r="B1565" s="1">
        <v>44285</v>
      </c>
      <c r="C1565" t="s">
        <v>28</v>
      </c>
      <c r="D1565" t="s">
        <v>87</v>
      </c>
      <c r="E1565" t="s">
        <v>30</v>
      </c>
      <c r="F1565" t="s">
        <v>31</v>
      </c>
      <c r="G1565" t="s">
        <v>56</v>
      </c>
      <c r="H1565" t="s">
        <v>55</v>
      </c>
      <c r="I1565" t="s">
        <v>34</v>
      </c>
      <c r="J1565" t="s">
        <v>118</v>
      </c>
      <c r="K1565" s="2">
        <v>25970</v>
      </c>
      <c r="L1565" t="s">
        <v>36</v>
      </c>
      <c r="M1565" t="s">
        <v>37</v>
      </c>
      <c r="N1565" t="s">
        <v>49</v>
      </c>
      <c r="O1565" t="s">
        <v>77</v>
      </c>
      <c r="P1565" t="s">
        <v>40</v>
      </c>
      <c r="Q1565">
        <v>3</v>
      </c>
      <c r="R1565" s="2">
        <v>45072</v>
      </c>
      <c r="S1565">
        <v>3</v>
      </c>
      <c r="T1565">
        <v>2</v>
      </c>
      <c r="U1565">
        <v>2</v>
      </c>
      <c r="V1565" s="1">
        <v>44959</v>
      </c>
      <c r="W1565" t="s">
        <v>62</v>
      </c>
      <c r="X1565" t="s">
        <v>51</v>
      </c>
      <c r="Y1565" t="s">
        <v>73</v>
      </c>
      <c r="Z1565">
        <v>1</v>
      </c>
      <c r="AA1565">
        <v>677.67</v>
      </c>
      <c r="AB1565">
        <v>50</v>
      </c>
    </row>
    <row r="1566" spans="1:28" x14ac:dyDescent="0.2">
      <c r="A1566">
        <v>2085</v>
      </c>
      <c r="B1566" s="1">
        <v>43590</v>
      </c>
      <c r="C1566" t="s">
        <v>28</v>
      </c>
      <c r="D1566" t="s">
        <v>81</v>
      </c>
      <c r="E1566" t="s">
        <v>30</v>
      </c>
      <c r="F1566" t="s">
        <v>31</v>
      </c>
      <c r="G1566" t="s">
        <v>32</v>
      </c>
      <c r="H1566" t="s">
        <v>55</v>
      </c>
      <c r="I1566" t="s">
        <v>34</v>
      </c>
      <c r="J1566" t="s">
        <v>79</v>
      </c>
      <c r="K1566" s="2">
        <v>36353</v>
      </c>
      <c r="L1566" t="s">
        <v>36</v>
      </c>
      <c r="M1566" t="s">
        <v>37</v>
      </c>
      <c r="N1566" t="s">
        <v>84</v>
      </c>
      <c r="O1566" t="s">
        <v>67</v>
      </c>
      <c r="P1566" t="s">
        <v>40</v>
      </c>
      <c r="Q1566">
        <v>3</v>
      </c>
      <c r="R1566" s="2">
        <v>44847</v>
      </c>
      <c r="S1566">
        <v>3</v>
      </c>
      <c r="T1566">
        <v>4</v>
      </c>
      <c r="U1566">
        <v>4</v>
      </c>
      <c r="V1566" s="1">
        <v>45014</v>
      </c>
      <c r="W1566" t="s">
        <v>62</v>
      </c>
      <c r="X1566" t="s">
        <v>51</v>
      </c>
      <c r="Y1566" t="s">
        <v>52</v>
      </c>
      <c r="Z1566">
        <v>1</v>
      </c>
      <c r="AA1566">
        <v>963.42</v>
      </c>
      <c r="AB1566">
        <v>20</v>
      </c>
    </row>
    <row r="1567" spans="1:28" x14ac:dyDescent="0.2">
      <c r="A1567">
        <v>2086</v>
      </c>
      <c r="B1567" s="1">
        <v>44347</v>
      </c>
      <c r="C1567" t="s">
        <v>28</v>
      </c>
      <c r="D1567" t="s">
        <v>54</v>
      </c>
      <c r="E1567" t="s">
        <v>30</v>
      </c>
      <c r="F1567" t="s">
        <v>31</v>
      </c>
      <c r="G1567" t="s">
        <v>45</v>
      </c>
      <c r="H1567" t="s">
        <v>46</v>
      </c>
      <c r="I1567" t="s">
        <v>34</v>
      </c>
      <c r="J1567" t="s">
        <v>65</v>
      </c>
      <c r="K1567" s="2">
        <v>28808</v>
      </c>
      <c r="L1567" t="s">
        <v>36</v>
      </c>
      <c r="M1567" t="s">
        <v>37</v>
      </c>
      <c r="N1567" t="s">
        <v>84</v>
      </c>
      <c r="O1567" t="s">
        <v>77</v>
      </c>
      <c r="P1567" t="s">
        <v>40</v>
      </c>
      <c r="Q1567">
        <v>3</v>
      </c>
      <c r="R1567" s="2">
        <v>44778</v>
      </c>
      <c r="S1567">
        <v>5</v>
      </c>
      <c r="T1567">
        <v>4</v>
      </c>
      <c r="U1567">
        <v>3</v>
      </c>
      <c r="V1567" s="1">
        <v>45019</v>
      </c>
      <c r="W1567" t="s">
        <v>92</v>
      </c>
      <c r="X1567" t="s">
        <v>51</v>
      </c>
      <c r="Y1567" t="s">
        <v>63</v>
      </c>
      <c r="Z1567">
        <v>3</v>
      </c>
      <c r="AA1567">
        <v>488.66</v>
      </c>
      <c r="AB1567">
        <v>43</v>
      </c>
    </row>
    <row r="1568" spans="1:28" x14ac:dyDescent="0.2">
      <c r="A1568">
        <v>2087</v>
      </c>
      <c r="B1568" s="1">
        <v>43790</v>
      </c>
      <c r="C1568" t="s">
        <v>28</v>
      </c>
      <c r="D1568" t="s">
        <v>94</v>
      </c>
      <c r="E1568" t="s">
        <v>30</v>
      </c>
      <c r="F1568" t="s">
        <v>46</v>
      </c>
      <c r="G1568" t="s">
        <v>45</v>
      </c>
      <c r="H1568" t="s">
        <v>55</v>
      </c>
      <c r="I1568" t="s">
        <v>34</v>
      </c>
      <c r="J1568" t="s">
        <v>70</v>
      </c>
      <c r="K1568" s="2">
        <v>21903</v>
      </c>
      <c r="L1568" t="s">
        <v>36</v>
      </c>
      <c r="M1568" t="s">
        <v>37</v>
      </c>
      <c r="N1568" t="s">
        <v>72</v>
      </c>
      <c r="O1568" t="s">
        <v>39</v>
      </c>
      <c r="P1568" t="s">
        <v>40</v>
      </c>
      <c r="Q1568">
        <v>3</v>
      </c>
      <c r="R1568" s="2">
        <v>44879</v>
      </c>
      <c r="S1568">
        <v>4</v>
      </c>
      <c r="T1568">
        <v>4</v>
      </c>
      <c r="U1568">
        <v>1</v>
      </c>
      <c r="V1568" s="1">
        <v>45018</v>
      </c>
      <c r="W1568" t="s">
        <v>41</v>
      </c>
      <c r="X1568" t="s">
        <v>42</v>
      </c>
      <c r="Y1568" t="s">
        <v>63</v>
      </c>
      <c r="Z1568">
        <v>3</v>
      </c>
      <c r="AA1568">
        <v>450.94</v>
      </c>
      <c r="AB1568">
        <v>60</v>
      </c>
    </row>
    <row r="1569" spans="1:28" x14ac:dyDescent="0.2">
      <c r="A1569">
        <v>2088</v>
      </c>
      <c r="B1569" s="1">
        <v>43665</v>
      </c>
      <c r="C1569" t="s">
        <v>28</v>
      </c>
      <c r="D1569" t="s">
        <v>85</v>
      </c>
      <c r="E1569" t="s">
        <v>30</v>
      </c>
      <c r="F1569" t="s">
        <v>31</v>
      </c>
      <c r="G1569" t="s">
        <v>56</v>
      </c>
      <c r="H1569" t="s">
        <v>55</v>
      </c>
      <c r="I1569" t="s">
        <v>34</v>
      </c>
      <c r="J1569" t="s">
        <v>105</v>
      </c>
      <c r="K1569" s="2">
        <v>22063</v>
      </c>
      <c r="L1569" t="s">
        <v>36</v>
      </c>
      <c r="M1569" t="s">
        <v>37</v>
      </c>
      <c r="N1569" t="s">
        <v>38</v>
      </c>
      <c r="O1569" t="s">
        <v>77</v>
      </c>
      <c r="P1569" t="s">
        <v>40</v>
      </c>
      <c r="Q1569">
        <v>3</v>
      </c>
      <c r="R1569" s="2">
        <v>44916</v>
      </c>
      <c r="S1569">
        <v>2</v>
      </c>
      <c r="T1569">
        <v>1</v>
      </c>
      <c r="U1569">
        <v>2</v>
      </c>
      <c r="V1569" s="1">
        <v>44966</v>
      </c>
      <c r="W1569" t="s">
        <v>92</v>
      </c>
      <c r="X1569" t="s">
        <v>51</v>
      </c>
      <c r="Y1569" t="s">
        <v>63</v>
      </c>
      <c r="Z1569">
        <v>3</v>
      </c>
      <c r="AA1569">
        <v>407.99</v>
      </c>
      <c r="AB1569">
        <v>59</v>
      </c>
    </row>
    <row r="1570" spans="1:28" x14ac:dyDescent="0.2">
      <c r="A1570">
        <v>2089</v>
      </c>
      <c r="B1570" s="1">
        <v>43463</v>
      </c>
      <c r="C1570" t="s">
        <v>28</v>
      </c>
      <c r="D1570" t="s">
        <v>64</v>
      </c>
      <c r="E1570" t="s">
        <v>30</v>
      </c>
      <c r="F1570" t="s">
        <v>31</v>
      </c>
      <c r="G1570" t="s">
        <v>32</v>
      </c>
      <c r="H1570" t="s">
        <v>46</v>
      </c>
      <c r="I1570" t="s">
        <v>34</v>
      </c>
      <c r="J1570" t="s">
        <v>110</v>
      </c>
      <c r="K1570" s="2">
        <v>24262</v>
      </c>
      <c r="L1570" t="s">
        <v>36</v>
      </c>
      <c r="M1570" t="s">
        <v>37</v>
      </c>
      <c r="N1570" t="s">
        <v>38</v>
      </c>
      <c r="O1570" t="s">
        <v>67</v>
      </c>
      <c r="P1570" t="s">
        <v>40</v>
      </c>
      <c r="Q1570">
        <v>3</v>
      </c>
      <c r="R1570" s="2">
        <v>45093</v>
      </c>
      <c r="S1570">
        <v>5</v>
      </c>
      <c r="T1570">
        <v>3</v>
      </c>
      <c r="U1570">
        <v>3</v>
      </c>
      <c r="V1570" s="1">
        <v>44930</v>
      </c>
      <c r="W1570" t="s">
        <v>92</v>
      </c>
      <c r="X1570" t="s">
        <v>42</v>
      </c>
      <c r="Y1570" t="s">
        <v>63</v>
      </c>
      <c r="Z1570">
        <v>2</v>
      </c>
      <c r="AA1570">
        <v>423.31</v>
      </c>
      <c r="AB1570">
        <v>52</v>
      </c>
    </row>
    <row r="1571" spans="1:28" x14ac:dyDescent="0.2">
      <c r="A1571">
        <v>2090</v>
      </c>
      <c r="B1571" s="1">
        <v>44938</v>
      </c>
      <c r="C1571" t="s">
        <v>106</v>
      </c>
      <c r="D1571" t="s">
        <v>44</v>
      </c>
      <c r="E1571" t="s">
        <v>30</v>
      </c>
      <c r="F1571" t="s">
        <v>46</v>
      </c>
      <c r="G1571" t="s">
        <v>56</v>
      </c>
      <c r="H1571" t="s">
        <v>55</v>
      </c>
      <c r="I1571" t="s">
        <v>34</v>
      </c>
      <c r="J1571" t="s">
        <v>58</v>
      </c>
      <c r="K1571" s="2">
        <v>15644</v>
      </c>
      <c r="L1571" t="s">
        <v>36</v>
      </c>
      <c r="M1571" t="s">
        <v>37</v>
      </c>
      <c r="N1571" t="s">
        <v>84</v>
      </c>
      <c r="O1571" t="s">
        <v>77</v>
      </c>
      <c r="P1571" t="s">
        <v>40</v>
      </c>
      <c r="Q1571">
        <v>3</v>
      </c>
      <c r="R1571" s="2">
        <v>45130</v>
      </c>
      <c r="S1571">
        <v>3</v>
      </c>
      <c r="T1571">
        <v>4</v>
      </c>
      <c r="U1571">
        <v>3</v>
      </c>
      <c r="V1571" s="1">
        <v>44857</v>
      </c>
      <c r="W1571" t="s">
        <v>41</v>
      </c>
      <c r="X1571" t="s">
        <v>42</v>
      </c>
      <c r="Y1571" t="s">
        <v>52</v>
      </c>
      <c r="Z1571">
        <v>1</v>
      </c>
      <c r="AA1571">
        <v>189.64</v>
      </c>
      <c r="AB1571">
        <v>81</v>
      </c>
    </row>
    <row r="1572" spans="1:28" x14ac:dyDescent="0.2">
      <c r="A1572">
        <v>2091</v>
      </c>
      <c r="B1572" s="1">
        <v>44890</v>
      </c>
      <c r="C1572" t="s">
        <v>106</v>
      </c>
      <c r="D1572" t="s">
        <v>87</v>
      </c>
      <c r="E1572" t="s">
        <v>30</v>
      </c>
      <c r="F1572" t="s">
        <v>31</v>
      </c>
      <c r="G1572" t="s">
        <v>32</v>
      </c>
      <c r="H1572" t="s">
        <v>46</v>
      </c>
      <c r="I1572" t="s">
        <v>34</v>
      </c>
      <c r="J1572" t="s">
        <v>70</v>
      </c>
      <c r="K1572" s="2">
        <v>36233</v>
      </c>
      <c r="L1572" t="s">
        <v>36</v>
      </c>
      <c r="M1572" t="s">
        <v>37</v>
      </c>
      <c r="N1572" t="s">
        <v>72</v>
      </c>
      <c r="O1572" t="s">
        <v>61</v>
      </c>
      <c r="P1572" t="s">
        <v>40</v>
      </c>
      <c r="Q1572">
        <v>3</v>
      </c>
      <c r="R1572" s="2">
        <v>44978</v>
      </c>
      <c r="S1572">
        <v>3</v>
      </c>
      <c r="T1572">
        <v>1</v>
      </c>
      <c r="U1572">
        <v>1</v>
      </c>
      <c r="V1572" s="1">
        <v>45127</v>
      </c>
      <c r="W1572" t="s">
        <v>41</v>
      </c>
      <c r="X1572" t="s">
        <v>42</v>
      </c>
      <c r="Y1572" t="s">
        <v>52</v>
      </c>
      <c r="Z1572">
        <v>3</v>
      </c>
      <c r="AA1572">
        <v>102.77</v>
      </c>
      <c r="AB1572">
        <v>23</v>
      </c>
    </row>
    <row r="1573" spans="1:28" x14ac:dyDescent="0.2">
      <c r="A1573">
        <v>2092</v>
      </c>
      <c r="B1573" s="1">
        <v>43782</v>
      </c>
      <c r="C1573" t="s">
        <v>106</v>
      </c>
      <c r="D1573" t="s">
        <v>81</v>
      </c>
      <c r="E1573" t="s">
        <v>30</v>
      </c>
      <c r="F1573" t="s">
        <v>46</v>
      </c>
      <c r="G1573" t="s">
        <v>32</v>
      </c>
      <c r="H1573" t="s">
        <v>55</v>
      </c>
      <c r="I1573" t="s">
        <v>34</v>
      </c>
      <c r="J1573" t="s">
        <v>70</v>
      </c>
      <c r="K1573" s="2">
        <v>32029</v>
      </c>
      <c r="L1573" t="s">
        <v>36</v>
      </c>
      <c r="M1573" t="s">
        <v>37</v>
      </c>
      <c r="N1573" t="s">
        <v>84</v>
      </c>
      <c r="O1573" t="s">
        <v>39</v>
      </c>
      <c r="P1573" t="s">
        <v>40</v>
      </c>
      <c r="Q1573">
        <v>3</v>
      </c>
      <c r="R1573" s="2">
        <v>45131</v>
      </c>
      <c r="S1573">
        <v>1</v>
      </c>
      <c r="T1573">
        <v>2</v>
      </c>
      <c r="U1573">
        <v>3</v>
      </c>
      <c r="V1573" s="1">
        <v>44998</v>
      </c>
      <c r="W1573" t="s">
        <v>92</v>
      </c>
      <c r="X1573" t="s">
        <v>51</v>
      </c>
      <c r="Y1573" t="s">
        <v>63</v>
      </c>
      <c r="Z1573">
        <v>5</v>
      </c>
      <c r="AA1573">
        <v>246.13</v>
      </c>
      <c r="AB1573">
        <v>32</v>
      </c>
    </row>
    <row r="1574" spans="1:28" x14ac:dyDescent="0.2">
      <c r="A1574">
        <v>2093</v>
      </c>
      <c r="B1574" s="1">
        <v>44082</v>
      </c>
      <c r="C1574" t="s">
        <v>106</v>
      </c>
      <c r="D1574" t="s">
        <v>54</v>
      </c>
      <c r="E1574" t="s">
        <v>30</v>
      </c>
      <c r="F1574" t="s">
        <v>31</v>
      </c>
      <c r="G1574" t="s">
        <v>45</v>
      </c>
      <c r="H1574" t="s">
        <v>33</v>
      </c>
      <c r="I1574" t="s">
        <v>34</v>
      </c>
      <c r="J1574" t="s">
        <v>65</v>
      </c>
      <c r="K1574" s="2">
        <v>17659</v>
      </c>
      <c r="L1574" t="s">
        <v>36</v>
      </c>
      <c r="M1574" t="s">
        <v>37</v>
      </c>
      <c r="N1574" t="s">
        <v>49</v>
      </c>
      <c r="O1574" t="s">
        <v>67</v>
      </c>
      <c r="P1574" t="s">
        <v>40</v>
      </c>
      <c r="Q1574">
        <v>3</v>
      </c>
      <c r="R1574" s="2">
        <v>44958</v>
      </c>
      <c r="S1574">
        <v>2</v>
      </c>
      <c r="T1574">
        <v>3</v>
      </c>
      <c r="U1574">
        <v>1</v>
      </c>
      <c r="V1574" s="1">
        <v>45039</v>
      </c>
      <c r="W1574" t="s">
        <v>41</v>
      </c>
      <c r="X1574" t="s">
        <v>51</v>
      </c>
      <c r="Y1574" t="s">
        <v>43</v>
      </c>
      <c r="Z1574">
        <v>5</v>
      </c>
      <c r="AA1574">
        <v>628.62</v>
      </c>
      <c r="AB1574">
        <v>72</v>
      </c>
    </row>
    <row r="1575" spans="1:28" x14ac:dyDescent="0.2">
      <c r="A1575">
        <v>2094</v>
      </c>
      <c r="B1575" s="1">
        <v>43632</v>
      </c>
      <c r="C1575" t="s">
        <v>106</v>
      </c>
      <c r="D1575" t="s">
        <v>94</v>
      </c>
      <c r="E1575" t="s">
        <v>30</v>
      </c>
      <c r="F1575" t="s">
        <v>46</v>
      </c>
      <c r="G1575" t="s">
        <v>32</v>
      </c>
      <c r="H1575" t="s">
        <v>46</v>
      </c>
      <c r="I1575" t="s">
        <v>34</v>
      </c>
      <c r="J1575" t="s">
        <v>70</v>
      </c>
      <c r="K1575" s="2">
        <v>23388</v>
      </c>
      <c r="L1575" t="s">
        <v>36</v>
      </c>
      <c r="M1575" t="s">
        <v>37</v>
      </c>
      <c r="N1575" t="s">
        <v>72</v>
      </c>
      <c r="O1575" t="s">
        <v>67</v>
      </c>
      <c r="P1575" t="s">
        <v>40</v>
      </c>
      <c r="Q1575">
        <v>3</v>
      </c>
      <c r="R1575" s="2">
        <v>44798</v>
      </c>
      <c r="S1575">
        <v>2</v>
      </c>
      <c r="T1575">
        <v>5</v>
      </c>
      <c r="U1575">
        <v>5</v>
      </c>
      <c r="V1575" s="1">
        <v>44996</v>
      </c>
      <c r="W1575" t="s">
        <v>41</v>
      </c>
      <c r="X1575" t="s">
        <v>42</v>
      </c>
      <c r="Y1575" t="s">
        <v>73</v>
      </c>
      <c r="Z1575">
        <v>4</v>
      </c>
      <c r="AA1575">
        <v>739.32</v>
      </c>
      <c r="AB1575">
        <v>55</v>
      </c>
    </row>
    <row r="1576" spans="1:28" x14ac:dyDescent="0.2">
      <c r="A1576">
        <v>2095</v>
      </c>
      <c r="B1576" s="1">
        <v>45121</v>
      </c>
      <c r="C1576" t="s">
        <v>106</v>
      </c>
      <c r="D1576" t="s">
        <v>85</v>
      </c>
      <c r="E1576" t="s">
        <v>30</v>
      </c>
      <c r="F1576" t="s">
        <v>55</v>
      </c>
      <c r="G1576" t="s">
        <v>45</v>
      </c>
      <c r="H1576" t="s">
        <v>55</v>
      </c>
      <c r="I1576" t="s">
        <v>34</v>
      </c>
      <c r="J1576" t="s">
        <v>96</v>
      </c>
      <c r="K1576" s="2">
        <v>35722</v>
      </c>
      <c r="L1576" t="s">
        <v>36</v>
      </c>
      <c r="M1576" t="s">
        <v>37</v>
      </c>
      <c r="N1576" t="s">
        <v>60</v>
      </c>
      <c r="O1576" t="s">
        <v>77</v>
      </c>
      <c r="P1576" t="s">
        <v>40</v>
      </c>
      <c r="Q1576">
        <v>3</v>
      </c>
      <c r="R1576" s="2">
        <v>45128</v>
      </c>
      <c r="S1576">
        <v>5</v>
      </c>
      <c r="T1576">
        <v>3</v>
      </c>
      <c r="U1576">
        <v>1</v>
      </c>
      <c r="V1576" s="1">
        <v>44879</v>
      </c>
      <c r="W1576" t="s">
        <v>41</v>
      </c>
      <c r="X1576" t="s">
        <v>42</v>
      </c>
      <c r="Y1576" t="s">
        <v>73</v>
      </c>
      <c r="Z1576">
        <v>3</v>
      </c>
      <c r="AA1576">
        <v>773.16</v>
      </c>
      <c r="AB1576">
        <v>26</v>
      </c>
    </row>
    <row r="1577" spans="1:28" x14ac:dyDescent="0.2">
      <c r="A1577">
        <v>2096</v>
      </c>
      <c r="B1577" s="1">
        <v>45125</v>
      </c>
      <c r="C1577" t="s">
        <v>106</v>
      </c>
      <c r="D1577" t="s">
        <v>64</v>
      </c>
      <c r="E1577" t="s">
        <v>30</v>
      </c>
      <c r="F1577" t="s">
        <v>31</v>
      </c>
      <c r="G1577" t="s">
        <v>32</v>
      </c>
      <c r="H1577" t="s">
        <v>55</v>
      </c>
      <c r="I1577" t="s">
        <v>34</v>
      </c>
      <c r="J1577" t="s">
        <v>70</v>
      </c>
      <c r="K1577" s="2">
        <v>31245</v>
      </c>
      <c r="L1577" t="s">
        <v>36</v>
      </c>
      <c r="M1577" t="s">
        <v>37</v>
      </c>
      <c r="N1577" t="s">
        <v>72</v>
      </c>
      <c r="O1577" t="s">
        <v>61</v>
      </c>
      <c r="P1577" t="s">
        <v>40</v>
      </c>
      <c r="Q1577">
        <v>3</v>
      </c>
      <c r="R1577" s="2">
        <v>45074</v>
      </c>
      <c r="S1577">
        <v>3</v>
      </c>
      <c r="T1577">
        <v>4</v>
      </c>
      <c r="U1577">
        <v>4</v>
      </c>
      <c r="V1577" s="1">
        <v>45041</v>
      </c>
      <c r="W1577" t="s">
        <v>92</v>
      </c>
      <c r="X1577" t="s">
        <v>51</v>
      </c>
      <c r="Y1577" t="s">
        <v>63</v>
      </c>
      <c r="Z1577">
        <v>3</v>
      </c>
      <c r="AA1577">
        <v>838.65</v>
      </c>
      <c r="AB1577">
        <v>38</v>
      </c>
    </row>
    <row r="1578" spans="1:28" x14ac:dyDescent="0.2">
      <c r="A1578">
        <v>2097</v>
      </c>
      <c r="B1578" s="1">
        <v>43440</v>
      </c>
      <c r="C1578" t="s">
        <v>106</v>
      </c>
      <c r="D1578" t="s">
        <v>74</v>
      </c>
      <c r="E1578" t="s">
        <v>30</v>
      </c>
      <c r="F1578" t="s">
        <v>46</v>
      </c>
      <c r="G1578" t="s">
        <v>32</v>
      </c>
      <c r="H1578" t="s">
        <v>55</v>
      </c>
      <c r="I1578" t="s">
        <v>34</v>
      </c>
      <c r="J1578" t="s">
        <v>47</v>
      </c>
      <c r="K1578" s="2">
        <v>23432</v>
      </c>
      <c r="L1578" t="s">
        <v>36</v>
      </c>
      <c r="M1578" t="s">
        <v>37</v>
      </c>
      <c r="N1578" t="s">
        <v>72</v>
      </c>
      <c r="O1578" t="s">
        <v>39</v>
      </c>
      <c r="P1578" t="s">
        <v>107</v>
      </c>
      <c r="Q1578">
        <v>2</v>
      </c>
      <c r="R1578" s="2">
        <v>44803</v>
      </c>
      <c r="S1578">
        <v>2</v>
      </c>
      <c r="T1578">
        <v>1</v>
      </c>
      <c r="U1578">
        <v>4</v>
      </c>
      <c r="V1578" s="1">
        <v>44891</v>
      </c>
      <c r="W1578" t="s">
        <v>68</v>
      </c>
      <c r="X1578" t="s">
        <v>51</v>
      </c>
      <c r="Y1578" t="s">
        <v>52</v>
      </c>
      <c r="Z1578">
        <v>3</v>
      </c>
      <c r="AA1578">
        <v>426.55</v>
      </c>
      <c r="AB1578">
        <v>54</v>
      </c>
    </row>
    <row r="1579" spans="1:28" x14ac:dyDescent="0.2">
      <c r="A1579">
        <v>2098</v>
      </c>
      <c r="B1579" s="1">
        <v>44027</v>
      </c>
      <c r="C1579" t="s">
        <v>106</v>
      </c>
      <c r="D1579" t="s">
        <v>69</v>
      </c>
      <c r="E1579" t="s">
        <v>30</v>
      </c>
      <c r="F1579" t="s">
        <v>46</v>
      </c>
      <c r="G1579" t="s">
        <v>56</v>
      </c>
      <c r="H1579" t="s">
        <v>33</v>
      </c>
      <c r="I1579" t="s">
        <v>34</v>
      </c>
      <c r="J1579" t="s">
        <v>102</v>
      </c>
      <c r="K1579" s="2">
        <v>18402</v>
      </c>
      <c r="L1579" t="s">
        <v>36</v>
      </c>
      <c r="M1579" t="s">
        <v>37</v>
      </c>
      <c r="N1579" t="s">
        <v>60</v>
      </c>
      <c r="O1579" t="s">
        <v>77</v>
      </c>
      <c r="P1579" t="s">
        <v>107</v>
      </c>
      <c r="Q1579">
        <v>5</v>
      </c>
      <c r="R1579" s="2">
        <v>44958</v>
      </c>
      <c r="S1579">
        <v>2</v>
      </c>
      <c r="T1579">
        <v>4</v>
      </c>
      <c r="U1579">
        <v>1</v>
      </c>
      <c r="V1579" s="1">
        <v>44829</v>
      </c>
      <c r="W1579" t="s">
        <v>62</v>
      </c>
      <c r="X1579" t="s">
        <v>51</v>
      </c>
      <c r="Y1579" t="s">
        <v>52</v>
      </c>
      <c r="Z1579">
        <v>2</v>
      </c>
      <c r="AA1579">
        <v>254.35</v>
      </c>
      <c r="AB1579">
        <v>70</v>
      </c>
    </row>
    <row r="1580" spans="1:28" x14ac:dyDescent="0.2">
      <c r="A1580">
        <v>2099</v>
      </c>
      <c r="B1580" s="1">
        <v>43403</v>
      </c>
      <c r="C1580" t="s">
        <v>28</v>
      </c>
      <c r="D1580" t="s">
        <v>69</v>
      </c>
      <c r="E1580" t="s">
        <v>30</v>
      </c>
      <c r="F1580" t="s">
        <v>55</v>
      </c>
      <c r="G1580" t="s">
        <v>56</v>
      </c>
      <c r="H1580" t="s">
        <v>46</v>
      </c>
      <c r="I1580" t="s">
        <v>34</v>
      </c>
      <c r="J1580" t="s">
        <v>58</v>
      </c>
      <c r="K1580" s="2">
        <v>25291</v>
      </c>
      <c r="L1580" t="s">
        <v>36</v>
      </c>
      <c r="M1580" t="s">
        <v>37</v>
      </c>
      <c r="N1580" t="s">
        <v>49</v>
      </c>
      <c r="O1580" t="s">
        <v>39</v>
      </c>
      <c r="P1580" t="s">
        <v>107</v>
      </c>
      <c r="Q1580">
        <v>4</v>
      </c>
      <c r="R1580" s="2">
        <v>45011</v>
      </c>
      <c r="S1580">
        <v>1</v>
      </c>
      <c r="T1580">
        <v>4</v>
      </c>
      <c r="U1580">
        <v>5</v>
      </c>
      <c r="V1580" s="1">
        <v>44985</v>
      </c>
      <c r="W1580" t="s">
        <v>50</v>
      </c>
      <c r="X1580" t="s">
        <v>51</v>
      </c>
      <c r="Y1580" t="s">
        <v>63</v>
      </c>
      <c r="Z1580">
        <v>2</v>
      </c>
      <c r="AA1580">
        <v>829.08</v>
      </c>
      <c r="AB1580">
        <v>49</v>
      </c>
    </row>
    <row r="1581" spans="1:28" x14ac:dyDescent="0.2">
      <c r="A1581">
        <v>2100</v>
      </c>
      <c r="B1581" s="1">
        <v>44817</v>
      </c>
      <c r="C1581" t="s">
        <v>28</v>
      </c>
      <c r="D1581" t="s">
        <v>29</v>
      </c>
      <c r="E1581" t="s">
        <v>30</v>
      </c>
      <c r="F1581" t="s">
        <v>31</v>
      </c>
      <c r="G1581" t="s">
        <v>45</v>
      </c>
      <c r="H1581" t="s">
        <v>33</v>
      </c>
      <c r="I1581" t="s">
        <v>34</v>
      </c>
      <c r="J1581" t="s">
        <v>47</v>
      </c>
      <c r="K1581" s="2">
        <v>16400</v>
      </c>
      <c r="L1581" t="s">
        <v>36</v>
      </c>
      <c r="M1581" t="s">
        <v>37</v>
      </c>
      <c r="N1581" t="s">
        <v>60</v>
      </c>
      <c r="O1581" t="s">
        <v>77</v>
      </c>
      <c r="P1581" t="s">
        <v>78</v>
      </c>
      <c r="Q1581">
        <v>4</v>
      </c>
      <c r="R1581" s="2">
        <v>44935</v>
      </c>
      <c r="S1581">
        <v>1</v>
      </c>
      <c r="T1581">
        <v>1</v>
      </c>
      <c r="U1581">
        <v>1</v>
      </c>
      <c r="V1581" s="1">
        <v>45045</v>
      </c>
      <c r="W1581" t="s">
        <v>92</v>
      </c>
      <c r="X1581" t="s">
        <v>51</v>
      </c>
      <c r="Y1581" t="s">
        <v>52</v>
      </c>
      <c r="Z1581">
        <v>2</v>
      </c>
      <c r="AA1581">
        <v>710.31</v>
      </c>
      <c r="AB1581">
        <v>78</v>
      </c>
    </row>
    <row r="1582" spans="1:28" x14ac:dyDescent="0.2">
      <c r="A1582">
        <v>2101</v>
      </c>
      <c r="B1582" s="1">
        <v>44923</v>
      </c>
      <c r="C1582" t="s">
        <v>28</v>
      </c>
      <c r="D1582" t="s">
        <v>85</v>
      </c>
      <c r="E1582" t="s">
        <v>108</v>
      </c>
      <c r="F1582" t="s">
        <v>55</v>
      </c>
      <c r="G1582" t="s">
        <v>56</v>
      </c>
      <c r="H1582" t="s">
        <v>33</v>
      </c>
      <c r="I1582" t="s">
        <v>34</v>
      </c>
      <c r="J1582" t="s">
        <v>97</v>
      </c>
      <c r="K1582" s="2">
        <v>23724</v>
      </c>
      <c r="L1582" t="s">
        <v>36</v>
      </c>
      <c r="M1582" t="s">
        <v>37</v>
      </c>
      <c r="N1582" t="s">
        <v>49</v>
      </c>
      <c r="O1582" t="s">
        <v>67</v>
      </c>
      <c r="P1582" t="s">
        <v>107</v>
      </c>
      <c r="Q1582">
        <v>5</v>
      </c>
      <c r="R1582" s="2">
        <v>44936</v>
      </c>
      <c r="S1582">
        <v>4</v>
      </c>
      <c r="T1582">
        <v>4</v>
      </c>
      <c r="U1582">
        <v>2</v>
      </c>
      <c r="V1582" s="1">
        <v>45106</v>
      </c>
      <c r="W1582" t="s">
        <v>41</v>
      </c>
      <c r="X1582" t="s">
        <v>51</v>
      </c>
      <c r="Y1582" t="s">
        <v>63</v>
      </c>
      <c r="Z1582">
        <v>1</v>
      </c>
      <c r="AA1582">
        <v>751.81</v>
      </c>
      <c r="AB1582">
        <v>58</v>
      </c>
    </row>
    <row r="1583" spans="1:28" x14ac:dyDescent="0.2">
      <c r="A1583">
        <v>2102</v>
      </c>
      <c r="B1583" s="1">
        <v>45009</v>
      </c>
      <c r="C1583" t="s">
        <v>28</v>
      </c>
      <c r="D1583" t="s">
        <v>44</v>
      </c>
      <c r="E1583" t="s">
        <v>30</v>
      </c>
      <c r="F1583" t="s">
        <v>46</v>
      </c>
      <c r="G1583" t="s">
        <v>56</v>
      </c>
      <c r="H1583" t="s">
        <v>46</v>
      </c>
      <c r="I1583" t="s">
        <v>34</v>
      </c>
      <c r="J1583" t="s">
        <v>70</v>
      </c>
      <c r="K1583" s="2">
        <v>24130</v>
      </c>
      <c r="L1583" t="s">
        <v>36</v>
      </c>
      <c r="M1583" t="s">
        <v>37</v>
      </c>
      <c r="N1583" t="s">
        <v>84</v>
      </c>
      <c r="O1583" t="s">
        <v>61</v>
      </c>
      <c r="P1583" t="s">
        <v>78</v>
      </c>
      <c r="Q1583">
        <v>2</v>
      </c>
      <c r="R1583" s="2">
        <v>45123</v>
      </c>
      <c r="S1583">
        <v>1</v>
      </c>
      <c r="T1583">
        <v>1</v>
      </c>
      <c r="U1583">
        <v>3</v>
      </c>
      <c r="V1583" s="1">
        <v>45050</v>
      </c>
      <c r="W1583" t="s">
        <v>92</v>
      </c>
      <c r="X1583" t="s">
        <v>42</v>
      </c>
      <c r="Y1583" t="s">
        <v>73</v>
      </c>
      <c r="Z1583">
        <v>1</v>
      </c>
      <c r="AA1583">
        <v>598.51</v>
      </c>
      <c r="AB1583">
        <v>57</v>
      </c>
    </row>
    <row r="1584" spans="1:28" x14ac:dyDescent="0.2">
      <c r="A1584">
        <v>2103</v>
      </c>
      <c r="B1584" s="1">
        <v>44106</v>
      </c>
      <c r="C1584" t="s">
        <v>28</v>
      </c>
      <c r="D1584" t="s">
        <v>87</v>
      </c>
      <c r="E1584" t="s">
        <v>30</v>
      </c>
      <c r="F1584" t="s">
        <v>31</v>
      </c>
      <c r="G1584" t="s">
        <v>45</v>
      </c>
      <c r="H1584" t="s">
        <v>55</v>
      </c>
      <c r="I1584" t="s">
        <v>34</v>
      </c>
      <c r="J1584" t="s">
        <v>70</v>
      </c>
      <c r="K1584" s="2">
        <v>31771</v>
      </c>
      <c r="L1584" t="s">
        <v>36</v>
      </c>
      <c r="M1584" t="s">
        <v>37</v>
      </c>
      <c r="N1584" t="s">
        <v>84</v>
      </c>
      <c r="O1584" t="s">
        <v>39</v>
      </c>
      <c r="P1584" t="s">
        <v>78</v>
      </c>
      <c r="Q1584">
        <v>5</v>
      </c>
      <c r="R1584" s="2">
        <v>44973</v>
      </c>
      <c r="S1584">
        <v>1</v>
      </c>
      <c r="T1584">
        <v>4</v>
      </c>
      <c r="U1584">
        <v>5</v>
      </c>
      <c r="V1584" s="1">
        <v>44810</v>
      </c>
      <c r="W1584" t="s">
        <v>68</v>
      </c>
      <c r="X1584" t="s">
        <v>42</v>
      </c>
      <c r="Y1584" t="s">
        <v>52</v>
      </c>
      <c r="Z1584">
        <v>3</v>
      </c>
      <c r="AA1584">
        <v>958.29</v>
      </c>
      <c r="AB1584">
        <v>34</v>
      </c>
    </row>
    <row r="1585" spans="1:28" x14ac:dyDescent="0.2">
      <c r="A1585">
        <v>2104</v>
      </c>
      <c r="B1585" s="1">
        <v>44088</v>
      </c>
      <c r="C1585" t="s">
        <v>28</v>
      </c>
      <c r="D1585" t="s">
        <v>64</v>
      </c>
      <c r="E1585" t="s">
        <v>30</v>
      </c>
      <c r="F1585" t="s">
        <v>31</v>
      </c>
      <c r="G1585" t="s">
        <v>45</v>
      </c>
      <c r="H1585" t="s">
        <v>33</v>
      </c>
      <c r="I1585" t="s">
        <v>34</v>
      </c>
      <c r="J1585" t="s">
        <v>70</v>
      </c>
      <c r="K1585" s="2">
        <v>18129</v>
      </c>
      <c r="L1585" t="s">
        <v>36</v>
      </c>
      <c r="M1585" t="s">
        <v>37</v>
      </c>
      <c r="N1585" t="s">
        <v>49</v>
      </c>
      <c r="O1585" t="s">
        <v>39</v>
      </c>
      <c r="P1585" t="s">
        <v>78</v>
      </c>
      <c r="Q1585">
        <v>2</v>
      </c>
      <c r="R1585" s="2">
        <v>45087</v>
      </c>
      <c r="S1585">
        <v>1</v>
      </c>
      <c r="T1585">
        <v>4</v>
      </c>
      <c r="U1585">
        <v>3</v>
      </c>
      <c r="V1585" s="1">
        <v>44848</v>
      </c>
      <c r="W1585" t="s">
        <v>68</v>
      </c>
      <c r="X1585" t="s">
        <v>51</v>
      </c>
      <c r="Y1585" t="s">
        <v>63</v>
      </c>
      <c r="Z1585">
        <v>5</v>
      </c>
      <c r="AA1585">
        <v>200.34</v>
      </c>
      <c r="AB1585">
        <v>71</v>
      </c>
    </row>
    <row r="1586" spans="1:28" x14ac:dyDescent="0.2">
      <c r="A1586">
        <v>2105</v>
      </c>
      <c r="B1586" s="1">
        <v>43849</v>
      </c>
      <c r="C1586" t="s">
        <v>28</v>
      </c>
      <c r="D1586" t="s">
        <v>94</v>
      </c>
      <c r="E1586" t="s">
        <v>30</v>
      </c>
      <c r="F1586" t="s">
        <v>46</v>
      </c>
      <c r="G1586" t="s">
        <v>32</v>
      </c>
      <c r="H1586" t="s">
        <v>46</v>
      </c>
      <c r="I1586" t="s">
        <v>34</v>
      </c>
      <c r="J1586" t="s">
        <v>58</v>
      </c>
      <c r="K1586" s="2">
        <v>21942</v>
      </c>
      <c r="L1586" t="s">
        <v>36</v>
      </c>
      <c r="M1586" t="s">
        <v>37</v>
      </c>
      <c r="N1586" t="s">
        <v>49</v>
      </c>
      <c r="O1586" t="s">
        <v>61</v>
      </c>
      <c r="P1586" t="s">
        <v>98</v>
      </c>
      <c r="Q1586">
        <v>4</v>
      </c>
      <c r="R1586" s="2">
        <v>45131</v>
      </c>
      <c r="S1586">
        <v>3</v>
      </c>
      <c r="T1586">
        <v>4</v>
      </c>
      <c r="U1586">
        <v>2</v>
      </c>
      <c r="V1586" s="1">
        <v>44875</v>
      </c>
      <c r="W1586" t="s">
        <v>68</v>
      </c>
      <c r="X1586" t="s">
        <v>51</v>
      </c>
      <c r="Y1586" t="s">
        <v>63</v>
      </c>
      <c r="Z1586">
        <v>3</v>
      </c>
      <c r="AA1586">
        <v>365.03</v>
      </c>
      <c r="AB1586">
        <v>60</v>
      </c>
    </row>
    <row r="1587" spans="1:28" x14ac:dyDescent="0.2">
      <c r="A1587">
        <v>2106</v>
      </c>
      <c r="B1587" s="1">
        <v>43569</v>
      </c>
      <c r="C1587" t="s">
        <v>28</v>
      </c>
      <c r="D1587" t="s">
        <v>74</v>
      </c>
      <c r="E1587" t="s">
        <v>30</v>
      </c>
      <c r="F1587" t="s">
        <v>31</v>
      </c>
      <c r="G1587" t="s">
        <v>32</v>
      </c>
      <c r="H1587" t="s">
        <v>33</v>
      </c>
      <c r="I1587" t="s">
        <v>34</v>
      </c>
      <c r="J1587" t="s">
        <v>101</v>
      </c>
      <c r="K1587" s="2">
        <v>22964</v>
      </c>
      <c r="L1587" t="s">
        <v>36</v>
      </c>
      <c r="M1587" t="s">
        <v>48</v>
      </c>
      <c r="N1587" t="s">
        <v>38</v>
      </c>
      <c r="O1587" t="s">
        <v>39</v>
      </c>
      <c r="P1587" t="s">
        <v>78</v>
      </c>
      <c r="Q1587">
        <v>2</v>
      </c>
      <c r="R1587" s="2">
        <v>44862</v>
      </c>
      <c r="S1587">
        <v>5</v>
      </c>
      <c r="T1587">
        <v>5</v>
      </c>
      <c r="U1587">
        <v>1</v>
      </c>
      <c r="V1587" s="1">
        <v>45122</v>
      </c>
      <c r="W1587" t="s">
        <v>50</v>
      </c>
      <c r="X1587" t="s">
        <v>42</v>
      </c>
      <c r="Y1587" t="s">
        <v>73</v>
      </c>
      <c r="Z1587">
        <v>4</v>
      </c>
      <c r="AA1587">
        <v>782.43</v>
      </c>
      <c r="AB1587">
        <v>57</v>
      </c>
    </row>
    <row r="1588" spans="1:28" x14ac:dyDescent="0.2">
      <c r="A1588">
        <v>2107</v>
      </c>
      <c r="B1588" s="1">
        <v>45079</v>
      </c>
      <c r="C1588" t="s">
        <v>28</v>
      </c>
      <c r="D1588" t="s">
        <v>81</v>
      </c>
      <c r="E1588" t="s">
        <v>30</v>
      </c>
      <c r="F1588" t="s">
        <v>31</v>
      </c>
      <c r="G1588" t="s">
        <v>56</v>
      </c>
      <c r="H1588" t="s">
        <v>33</v>
      </c>
      <c r="I1588" t="s">
        <v>34</v>
      </c>
      <c r="J1588" t="s">
        <v>70</v>
      </c>
      <c r="K1588" s="2">
        <v>16067</v>
      </c>
      <c r="L1588" t="s">
        <v>36</v>
      </c>
      <c r="M1588" t="s">
        <v>37</v>
      </c>
      <c r="N1588" t="s">
        <v>49</v>
      </c>
      <c r="O1588" t="s">
        <v>39</v>
      </c>
      <c r="P1588" t="s">
        <v>78</v>
      </c>
      <c r="Q1588">
        <v>1</v>
      </c>
      <c r="R1588" s="2">
        <v>44890</v>
      </c>
      <c r="S1588">
        <v>4</v>
      </c>
      <c r="T1588">
        <v>1</v>
      </c>
      <c r="U1588">
        <v>1</v>
      </c>
      <c r="V1588" s="1">
        <v>44990</v>
      </c>
      <c r="W1588" t="s">
        <v>92</v>
      </c>
      <c r="X1588" t="s">
        <v>51</v>
      </c>
      <c r="Y1588" t="s">
        <v>73</v>
      </c>
      <c r="Z1588">
        <v>1</v>
      </c>
      <c r="AA1588">
        <v>668.91</v>
      </c>
      <c r="AB1588">
        <v>80</v>
      </c>
    </row>
    <row r="1589" spans="1:28" x14ac:dyDescent="0.2">
      <c r="A1589">
        <v>2108</v>
      </c>
      <c r="B1589" s="1">
        <v>44690</v>
      </c>
      <c r="C1589" t="s">
        <v>28</v>
      </c>
      <c r="D1589" t="s">
        <v>54</v>
      </c>
      <c r="E1589" t="s">
        <v>108</v>
      </c>
      <c r="F1589" t="s">
        <v>46</v>
      </c>
      <c r="G1589" t="s">
        <v>45</v>
      </c>
      <c r="H1589" t="s">
        <v>33</v>
      </c>
      <c r="I1589" t="s">
        <v>34</v>
      </c>
      <c r="J1589" t="s">
        <v>70</v>
      </c>
      <c r="K1589" s="2">
        <v>28752</v>
      </c>
      <c r="L1589" t="s">
        <v>36</v>
      </c>
      <c r="M1589" t="s">
        <v>37</v>
      </c>
      <c r="N1589" t="s">
        <v>38</v>
      </c>
      <c r="O1589" t="s">
        <v>39</v>
      </c>
      <c r="P1589" t="s">
        <v>98</v>
      </c>
      <c r="Q1589">
        <v>2</v>
      </c>
      <c r="R1589" s="2">
        <v>45026</v>
      </c>
      <c r="S1589">
        <v>1</v>
      </c>
      <c r="T1589">
        <v>2</v>
      </c>
      <c r="U1589">
        <v>4</v>
      </c>
      <c r="V1589" s="1">
        <v>44809</v>
      </c>
      <c r="W1589" t="s">
        <v>50</v>
      </c>
      <c r="X1589" t="s">
        <v>42</v>
      </c>
      <c r="Y1589" t="s">
        <v>63</v>
      </c>
      <c r="Z1589">
        <v>5</v>
      </c>
      <c r="AA1589">
        <v>804.37</v>
      </c>
      <c r="AB1589">
        <v>44</v>
      </c>
    </row>
    <row r="1590" spans="1:28" x14ac:dyDescent="0.2">
      <c r="A1590">
        <v>2109</v>
      </c>
      <c r="B1590" s="1">
        <v>44250</v>
      </c>
      <c r="C1590" t="s">
        <v>28</v>
      </c>
      <c r="D1590" t="s">
        <v>69</v>
      </c>
      <c r="E1590" t="s">
        <v>30</v>
      </c>
      <c r="F1590" t="s">
        <v>46</v>
      </c>
      <c r="G1590" t="s">
        <v>32</v>
      </c>
      <c r="H1590" t="s">
        <v>46</v>
      </c>
      <c r="I1590" t="s">
        <v>34</v>
      </c>
      <c r="J1590" t="s">
        <v>70</v>
      </c>
      <c r="K1590" s="2">
        <v>32469</v>
      </c>
      <c r="L1590" t="s">
        <v>36</v>
      </c>
      <c r="M1590" t="s">
        <v>37</v>
      </c>
      <c r="N1590" t="s">
        <v>60</v>
      </c>
      <c r="O1590" t="s">
        <v>77</v>
      </c>
      <c r="P1590" t="s">
        <v>78</v>
      </c>
      <c r="Q1590">
        <v>5</v>
      </c>
      <c r="R1590" s="2">
        <v>45020</v>
      </c>
      <c r="S1590">
        <v>3</v>
      </c>
      <c r="T1590">
        <v>3</v>
      </c>
      <c r="U1590">
        <v>5</v>
      </c>
      <c r="V1590" s="1">
        <v>45034</v>
      </c>
      <c r="W1590" t="s">
        <v>62</v>
      </c>
      <c r="X1590" t="s">
        <v>51</v>
      </c>
      <c r="Y1590" t="s">
        <v>43</v>
      </c>
      <c r="Z1590">
        <v>3</v>
      </c>
      <c r="AA1590">
        <v>869.94</v>
      </c>
      <c r="AB1590">
        <v>33</v>
      </c>
    </row>
    <row r="1591" spans="1:28" x14ac:dyDescent="0.2">
      <c r="A1591">
        <v>2110</v>
      </c>
      <c r="B1591" s="1">
        <v>44351</v>
      </c>
      <c r="C1591" t="s">
        <v>28</v>
      </c>
      <c r="D1591" t="s">
        <v>29</v>
      </c>
      <c r="E1591" t="s">
        <v>30</v>
      </c>
      <c r="F1591" t="s">
        <v>31</v>
      </c>
      <c r="G1591" t="s">
        <v>32</v>
      </c>
      <c r="H1591" t="s">
        <v>33</v>
      </c>
      <c r="I1591" t="s">
        <v>34</v>
      </c>
      <c r="J1591" t="s">
        <v>58</v>
      </c>
      <c r="K1591" s="2">
        <v>17666</v>
      </c>
      <c r="L1591" t="s">
        <v>36</v>
      </c>
      <c r="M1591" t="s">
        <v>37</v>
      </c>
      <c r="N1591" t="s">
        <v>72</v>
      </c>
      <c r="O1591" t="s">
        <v>61</v>
      </c>
      <c r="P1591" t="s">
        <v>78</v>
      </c>
      <c r="Q1591">
        <v>4</v>
      </c>
      <c r="R1591" s="2">
        <v>44878</v>
      </c>
      <c r="S1591">
        <v>1</v>
      </c>
      <c r="T1591">
        <v>4</v>
      </c>
      <c r="U1591">
        <v>2</v>
      </c>
      <c r="V1591" s="1">
        <v>44925</v>
      </c>
      <c r="W1591" t="s">
        <v>92</v>
      </c>
      <c r="X1591" t="s">
        <v>42</v>
      </c>
      <c r="Y1591" t="s">
        <v>73</v>
      </c>
      <c r="Z1591">
        <v>4</v>
      </c>
      <c r="AA1591">
        <v>399.55</v>
      </c>
      <c r="AB1591">
        <v>73</v>
      </c>
    </row>
    <row r="1592" spans="1:28" x14ac:dyDescent="0.2">
      <c r="A1592">
        <v>2111</v>
      </c>
      <c r="B1592" s="1">
        <v>44649</v>
      </c>
      <c r="C1592" t="s">
        <v>28</v>
      </c>
      <c r="D1592" t="s">
        <v>85</v>
      </c>
      <c r="E1592" t="s">
        <v>30</v>
      </c>
      <c r="F1592" t="s">
        <v>55</v>
      </c>
      <c r="G1592" t="s">
        <v>45</v>
      </c>
      <c r="H1592" t="s">
        <v>33</v>
      </c>
      <c r="I1592" t="s">
        <v>34</v>
      </c>
      <c r="J1592" t="s">
        <v>65</v>
      </c>
      <c r="K1592" s="2">
        <v>20957</v>
      </c>
      <c r="L1592" t="s">
        <v>36</v>
      </c>
      <c r="M1592" t="s">
        <v>37</v>
      </c>
      <c r="N1592" t="s">
        <v>84</v>
      </c>
      <c r="O1592" t="s">
        <v>61</v>
      </c>
      <c r="P1592" t="s">
        <v>98</v>
      </c>
      <c r="Q1592">
        <v>5</v>
      </c>
      <c r="R1592" s="2">
        <v>45042</v>
      </c>
      <c r="S1592">
        <v>2</v>
      </c>
      <c r="T1592">
        <v>3</v>
      </c>
      <c r="U1592">
        <v>1</v>
      </c>
      <c r="V1592" s="1">
        <v>44882</v>
      </c>
      <c r="W1592" t="s">
        <v>50</v>
      </c>
      <c r="X1592" t="s">
        <v>42</v>
      </c>
      <c r="Y1592" t="s">
        <v>73</v>
      </c>
      <c r="Z1592">
        <v>4</v>
      </c>
      <c r="AA1592">
        <v>470.24</v>
      </c>
      <c r="AB1592">
        <v>65</v>
      </c>
    </row>
    <row r="1593" spans="1:28" x14ac:dyDescent="0.2">
      <c r="A1593">
        <v>2112</v>
      </c>
      <c r="B1593" s="1">
        <v>43676</v>
      </c>
      <c r="C1593" t="s">
        <v>28</v>
      </c>
      <c r="D1593" t="s">
        <v>44</v>
      </c>
      <c r="E1593" t="s">
        <v>30</v>
      </c>
      <c r="F1593" t="s">
        <v>46</v>
      </c>
      <c r="G1593" t="s">
        <v>56</v>
      </c>
      <c r="H1593" t="s">
        <v>33</v>
      </c>
      <c r="I1593" t="s">
        <v>34</v>
      </c>
      <c r="J1593" t="s">
        <v>79</v>
      </c>
      <c r="K1593" s="2">
        <v>15973</v>
      </c>
      <c r="L1593" t="s">
        <v>36</v>
      </c>
      <c r="M1593" t="s">
        <v>37</v>
      </c>
      <c r="N1593" t="s">
        <v>60</v>
      </c>
      <c r="O1593" t="s">
        <v>39</v>
      </c>
      <c r="P1593" t="s">
        <v>78</v>
      </c>
      <c r="Q1593">
        <v>4</v>
      </c>
      <c r="R1593" s="2">
        <v>44958</v>
      </c>
      <c r="S1593">
        <v>4</v>
      </c>
      <c r="T1593">
        <v>3</v>
      </c>
      <c r="U1593">
        <v>1</v>
      </c>
      <c r="V1593" s="1">
        <v>44821</v>
      </c>
      <c r="W1593" t="s">
        <v>50</v>
      </c>
      <c r="X1593" t="s">
        <v>51</v>
      </c>
      <c r="Y1593" t="s">
        <v>43</v>
      </c>
      <c r="Z1593">
        <v>2</v>
      </c>
      <c r="AA1593">
        <v>157.04</v>
      </c>
      <c r="AB1593">
        <v>76</v>
      </c>
    </row>
    <row r="1594" spans="1:28" x14ac:dyDescent="0.2">
      <c r="A1594">
        <v>2113</v>
      </c>
      <c r="B1594" s="1">
        <v>44021</v>
      </c>
      <c r="C1594" t="s">
        <v>28</v>
      </c>
      <c r="D1594" t="s">
        <v>87</v>
      </c>
      <c r="E1594" t="s">
        <v>30</v>
      </c>
      <c r="F1594" t="s">
        <v>46</v>
      </c>
      <c r="G1594" t="s">
        <v>56</v>
      </c>
      <c r="H1594" t="s">
        <v>55</v>
      </c>
      <c r="I1594" t="s">
        <v>34</v>
      </c>
      <c r="J1594" t="s">
        <v>65</v>
      </c>
      <c r="K1594" s="2">
        <v>16365</v>
      </c>
      <c r="L1594" t="s">
        <v>36</v>
      </c>
      <c r="M1594" t="s">
        <v>37</v>
      </c>
      <c r="N1594" t="s">
        <v>38</v>
      </c>
      <c r="O1594" t="s">
        <v>39</v>
      </c>
      <c r="P1594" t="s">
        <v>78</v>
      </c>
      <c r="Q1594">
        <v>2</v>
      </c>
      <c r="R1594" s="2">
        <v>44804</v>
      </c>
      <c r="S1594">
        <v>5</v>
      </c>
      <c r="T1594">
        <v>1</v>
      </c>
      <c r="U1594">
        <v>5</v>
      </c>
      <c r="V1594" s="1">
        <v>44791</v>
      </c>
      <c r="W1594" t="s">
        <v>62</v>
      </c>
      <c r="X1594" t="s">
        <v>42</v>
      </c>
      <c r="Y1594" t="s">
        <v>73</v>
      </c>
      <c r="Z1594">
        <v>2</v>
      </c>
      <c r="AA1594">
        <v>394.54</v>
      </c>
      <c r="AB1594">
        <v>76</v>
      </c>
    </row>
    <row r="1595" spans="1:28" x14ac:dyDescent="0.2">
      <c r="A1595">
        <v>2114</v>
      </c>
      <c r="B1595" s="1">
        <v>43701</v>
      </c>
      <c r="C1595" t="s">
        <v>106</v>
      </c>
      <c r="D1595" t="s">
        <v>81</v>
      </c>
      <c r="E1595" t="s">
        <v>30</v>
      </c>
      <c r="F1595" t="s">
        <v>31</v>
      </c>
      <c r="G1595" t="s">
        <v>32</v>
      </c>
      <c r="H1595" t="s">
        <v>46</v>
      </c>
      <c r="I1595" t="s">
        <v>34</v>
      </c>
      <c r="J1595" t="s">
        <v>79</v>
      </c>
      <c r="K1595" s="2">
        <v>33718</v>
      </c>
      <c r="L1595" t="s">
        <v>36</v>
      </c>
      <c r="M1595" t="s">
        <v>37</v>
      </c>
      <c r="N1595" t="s">
        <v>38</v>
      </c>
      <c r="O1595" t="s">
        <v>61</v>
      </c>
      <c r="P1595" t="s">
        <v>78</v>
      </c>
      <c r="Q1595">
        <v>4</v>
      </c>
      <c r="R1595" s="2">
        <v>44965</v>
      </c>
      <c r="S1595">
        <v>5</v>
      </c>
      <c r="T1595">
        <v>4</v>
      </c>
      <c r="U1595">
        <v>1</v>
      </c>
      <c r="V1595" s="1">
        <v>44983</v>
      </c>
      <c r="W1595" t="s">
        <v>92</v>
      </c>
      <c r="X1595" t="s">
        <v>51</v>
      </c>
      <c r="Y1595" t="s">
        <v>63</v>
      </c>
      <c r="Z1595">
        <v>2</v>
      </c>
      <c r="AA1595">
        <v>326.98</v>
      </c>
      <c r="AB1595">
        <v>27</v>
      </c>
    </row>
    <row r="1596" spans="1:28" x14ac:dyDescent="0.2">
      <c r="A1596">
        <v>2115</v>
      </c>
      <c r="B1596" s="1">
        <v>43570</v>
      </c>
      <c r="C1596" t="s">
        <v>106</v>
      </c>
      <c r="D1596" t="s">
        <v>54</v>
      </c>
      <c r="E1596" t="s">
        <v>30</v>
      </c>
      <c r="F1596" t="s">
        <v>31</v>
      </c>
      <c r="G1596" t="s">
        <v>45</v>
      </c>
      <c r="H1596" t="s">
        <v>46</v>
      </c>
      <c r="I1596" t="s">
        <v>34</v>
      </c>
      <c r="J1596" t="s">
        <v>109</v>
      </c>
      <c r="K1596" s="2">
        <v>28579</v>
      </c>
      <c r="L1596" t="s">
        <v>36</v>
      </c>
      <c r="M1596" t="s">
        <v>37</v>
      </c>
      <c r="N1596" t="s">
        <v>84</v>
      </c>
      <c r="O1596" t="s">
        <v>67</v>
      </c>
      <c r="P1596" t="s">
        <v>78</v>
      </c>
      <c r="Q1596">
        <v>2</v>
      </c>
      <c r="R1596" s="2">
        <v>44951</v>
      </c>
      <c r="S1596">
        <v>5</v>
      </c>
      <c r="T1596">
        <v>2</v>
      </c>
      <c r="U1596">
        <v>1</v>
      </c>
      <c r="V1596" s="1">
        <v>44828</v>
      </c>
      <c r="W1596" t="s">
        <v>41</v>
      </c>
      <c r="X1596" t="s">
        <v>42</v>
      </c>
      <c r="Y1596" t="s">
        <v>52</v>
      </c>
      <c r="Z1596">
        <v>5</v>
      </c>
      <c r="AA1596">
        <v>752.82</v>
      </c>
      <c r="AB1596">
        <v>41</v>
      </c>
    </row>
    <row r="1597" spans="1:28" x14ac:dyDescent="0.2">
      <c r="A1597">
        <v>2116</v>
      </c>
      <c r="B1597" s="1">
        <v>44429</v>
      </c>
      <c r="C1597" t="s">
        <v>106</v>
      </c>
      <c r="D1597" t="s">
        <v>69</v>
      </c>
      <c r="E1597" t="s">
        <v>30</v>
      </c>
      <c r="F1597" t="s">
        <v>46</v>
      </c>
      <c r="G1597" t="s">
        <v>32</v>
      </c>
      <c r="H1597" t="s">
        <v>55</v>
      </c>
      <c r="I1597" t="s">
        <v>34</v>
      </c>
      <c r="J1597" t="s">
        <v>79</v>
      </c>
      <c r="K1597" s="2">
        <v>17048</v>
      </c>
      <c r="L1597" t="s">
        <v>36</v>
      </c>
      <c r="M1597" t="s">
        <v>37</v>
      </c>
      <c r="N1597" t="s">
        <v>72</v>
      </c>
      <c r="O1597" t="s">
        <v>77</v>
      </c>
      <c r="P1597" t="s">
        <v>98</v>
      </c>
      <c r="Q1597">
        <v>4</v>
      </c>
      <c r="R1597" s="2">
        <v>45057</v>
      </c>
      <c r="S1597">
        <v>1</v>
      </c>
      <c r="T1597">
        <v>4</v>
      </c>
      <c r="U1597">
        <v>2</v>
      </c>
      <c r="V1597" s="1">
        <v>44799</v>
      </c>
      <c r="W1597" t="s">
        <v>41</v>
      </c>
      <c r="X1597" t="s">
        <v>42</v>
      </c>
      <c r="Y1597" t="s">
        <v>63</v>
      </c>
      <c r="Z1597">
        <v>2</v>
      </c>
      <c r="AA1597">
        <v>990.89</v>
      </c>
      <c r="AB1597">
        <v>75</v>
      </c>
    </row>
    <row r="1598" spans="1:28" x14ac:dyDescent="0.2">
      <c r="A1598">
        <v>2117</v>
      </c>
      <c r="B1598" s="1">
        <v>44004</v>
      </c>
      <c r="C1598" t="s">
        <v>106</v>
      </c>
      <c r="D1598" t="s">
        <v>29</v>
      </c>
      <c r="E1598" t="s">
        <v>30</v>
      </c>
      <c r="F1598" t="s">
        <v>55</v>
      </c>
      <c r="G1598" t="s">
        <v>56</v>
      </c>
      <c r="H1598" t="s">
        <v>55</v>
      </c>
      <c r="I1598" t="s">
        <v>34</v>
      </c>
      <c r="J1598" t="s">
        <v>70</v>
      </c>
      <c r="K1598" s="2">
        <v>34106</v>
      </c>
      <c r="L1598" t="s">
        <v>36</v>
      </c>
      <c r="M1598" t="s">
        <v>37</v>
      </c>
      <c r="N1598" t="s">
        <v>49</v>
      </c>
      <c r="O1598" t="s">
        <v>77</v>
      </c>
      <c r="P1598" t="s">
        <v>78</v>
      </c>
      <c r="Q1598">
        <v>2</v>
      </c>
      <c r="R1598" s="2">
        <v>44881</v>
      </c>
      <c r="S1598">
        <v>2</v>
      </c>
      <c r="T1598">
        <v>3</v>
      </c>
      <c r="U1598">
        <v>2</v>
      </c>
      <c r="V1598" s="1">
        <v>45073</v>
      </c>
      <c r="W1598" t="s">
        <v>50</v>
      </c>
      <c r="X1598" t="s">
        <v>51</v>
      </c>
      <c r="Y1598" t="s">
        <v>52</v>
      </c>
      <c r="Z1598">
        <v>4</v>
      </c>
      <c r="AA1598">
        <v>531.69000000000005</v>
      </c>
      <c r="AB1598">
        <v>27</v>
      </c>
    </row>
    <row r="1599" spans="1:28" x14ac:dyDescent="0.2">
      <c r="A1599">
        <v>2118</v>
      </c>
      <c r="B1599" s="1">
        <v>43858</v>
      </c>
      <c r="C1599" t="s">
        <v>106</v>
      </c>
      <c r="D1599" t="s">
        <v>85</v>
      </c>
      <c r="E1599" t="s">
        <v>30</v>
      </c>
      <c r="F1599" t="s">
        <v>46</v>
      </c>
      <c r="G1599" t="s">
        <v>32</v>
      </c>
      <c r="H1599" t="s">
        <v>33</v>
      </c>
      <c r="I1599" t="s">
        <v>34</v>
      </c>
      <c r="J1599" t="s">
        <v>99</v>
      </c>
      <c r="K1599" s="2">
        <v>36836</v>
      </c>
      <c r="L1599" t="s">
        <v>36</v>
      </c>
      <c r="M1599" t="s">
        <v>37</v>
      </c>
      <c r="N1599" t="s">
        <v>38</v>
      </c>
      <c r="O1599" t="s">
        <v>39</v>
      </c>
      <c r="P1599" t="s">
        <v>78</v>
      </c>
      <c r="Q1599">
        <v>5</v>
      </c>
      <c r="R1599" s="2">
        <v>45005</v>
      </c>
      <c r="S1599">
        <v>3</v>
      </c>
      <c r="T1599">
        <v>2</v>
      </c>
      <c r="U1599">
        <v>4</v>
      </c>
      <c r="V1599" s="1">
        <v>45037</v>
      </c>
      <c r="W1599" t="s">
        <v>41</v>
      </c>
      <c r="X1599" t="s">
        <v>42</v>
      </c>
      <c r="Y1599" t="s">
        <v>63</v>
      </c>
      <c r="Z1599">
        <v>3</v>
      </c>
      <c r="AA1599">
        <v>384.28</v>
      </c>
      <c r="AB1599">
        <v>20</v>
      </c>
    </row>
    <row r="1600" spans="1:28" x14ac:dyDescent="0.2">
      <c r="A1600">
        <v>2119</v>
      </c>
      <c r="B1600" s="1">
        <v>43553</v>
      </c>
      <c r="C1600" t="s">
        <v>106</v>
      </c>
      <c r="D1600" t="s">
        <v>44</v>
      </c>
      <c r="E1600" t="s">
        <v>30</v>
      </c>
      <c r="F1600" t="s">
        <v>46</v>
      </c>
      <c r="G1600" t="s">
        <v>45</v>
      </c>
      <c r="H1600" t="s">
        <v>33</v>
      </c>
      <c r="I1600" t="s">
        <v>34</v>
      </c>
      <c r="J1600" t="s">
        <v>65</v>
      </c>
      <c r="K1600" s="2">
        <v>15229</v>
      </c>
      <c r="L1600" t="s">
        <v>36</v>
      </c>
      <c r="M1600" t="s">
        <v>37</v>
      </c>
      <c r="N1600" t="s">
        <v>38</v>
      </c>
      <c r="O1600" t="s">
        <v>67</v>
      </c>
      <c r="P1600" t="s">
        <v>78</v>
      </c>
      <c r="Q1600">
        <v>5</v>
      </c>
      <c r="R1600" s="2">
        <v>45073</v>
      </c>
      <c r="S1600">
        <v>1</v>
      </c>
      <c r="T1600">
        <v>2</v>
      </c>
      <c r="U1600">
        <v>3</v>
      </c>
      <c r="V1600" s="1">
        <v>45122</v>
      </c>
      <c r="W1600" t="s">
        <v>68</v>
      </c>
      <c r="X1600" t="s">
        <v>51</v>
      </c>
      <c r="Y1600" t="s">
        <v>73</v>
      </c>
      <c r="Z1600">
        <v>5</v>
      </c>
      <c r="AA1600">
        <v>803.08</v>
      </c>
      <c r="AB1600">
        <v>78</v>
      </c>
    </row>
    <row r="1601" spans="1:28" x14ac:dyDescent="0.2">
      <c r="A1601">
        <v>2120</v>
      </c>
      <c r="B1601" s="1">
        <v>43378</v>
      </c>
      <c r="C1601" t="s">
        <v>106</v>
      </c>
      <c r="D1601" t="s">
        <v>87</v>
      </c>
      <c r="E1601" t="s">
        <v>30</v>
      </c>
      <c r="F1601" t="s">
        <v>31</v>
      </c>
      <c r="G1601" t="s">
        <v>32</v>
      </c>
      <c r="H1601" t="s">
        <v>55</v>
      </c>
      <c r="I1601" t="s">
        <v>34</v>
      </c>
      <c r="J1601" t="s">
        <v>101</v>
      </c>
      <c r="K1601" s="2">
        <v>24489</v>
      </c>
      <c r="L1601" t="s">
        <v>36</v>
      </c>
      <c r="M1601" t="s">
        <v>37</v>
      </c>
      <c r="N1601" t="s">
        <v>84</v>
      </c>
      <c r="O1601" t="s">
        <v>77</v>
      </c>
      <c r="P1601" t="s">
        <v>98</v>
      </c>
      <c r="Q1601">
        <v>2</v>
      </c>
      <c r="R1601" s="2">
        <v>44809</v>
      </c>
      <c r="S1601">
        <v>4</v>
      </c>
      <c r="T1601">
        <v>4</v>
      </c>
      <c r="U1601">
        <v>1</v>
      </c>
      <c r="V1601" s="1">
        <v>45068</v>
      </c>
      <c r="W1601" t="s">
        <v>62</v>
      </c>
      <c r="X1601" t="s">
        <v>51</v>
      </c>
      <c r="Y1601" t="s">
        <v>52</v>
      </c>
      <c r="Z1601">
        <v>1</v>
      </c>
      <c r="AA1601">
        <v>131.78</v>
      </c>
      <c r="AB1601">
        <v>51</v>
      </c>
    </row>
    <row r="1602" spans="1:28" x14ac:dyDescent="0.2">
      <c r="A1602">
        <v>2121</v>
      </c>
      <c r="B1602" s="1">
        <v>44063</v>
      </c>
      <c r="C1602" t="s">
        <v>106</v>
      </c>
      <c r="D1602" t="s">
        <v>64</v>
      </c>
      <c r="E1602" t="s">
        <v>30</v>
      </c>
      <c r="F1602" t="s">
        <v>46</v>
      </c>
      <c r="G1602" t="s">
        <v>45</v>
      </c>
      <c r="H1602" t="s">
        <v>55</v>
      </c>
      <c r="I1602" t="s">
        <v>34</v>
      </c>
      <c r="J1602" t="s">
        <v>89</v>
      </c>
      <c r="K1602" s="2">
        <v>36049</v>
      </c>
      <c r="L1602" t="s">
        <v>36</v>
      </c>
      <c r="M1602" t="s">
        <v>37</v>
      </c>
      <c r="N1602" t="s">
        <v>84</v>
      </c>
      <c r="O1602" t="s">
        <v>67</v>
      </c>
      <c r="P1602" t="s">
        <v>78</v>
      </c>
      <c r="Q1602">
        <v>5</v>
      </c>
      <c r="R1602" s="2">
        <v>44955</v>
      </c>
      <c r="S1602">
        <v>4</v>
      </c>
      <c r="T1602">
        <v>1</v>
      </c>
      <c r="U1602">
        <v>3</v>
      </c>
      <c r="V1602" s="1">
        <v>44926</v>
      </c>
      <c r="W1602" t="s">
        <v>62</v>
      </c>
      <c r="X1602" t="s">
        <v>42</v>
      </c>
      <c r="Y1602" t="s">
        <v>73</v>
      </c>
      <c r="Z1602">
        <v>2</v>
      </c>
      <c r="AA1602">
        <v>459.39</v>
      </c>
      <c r="AB1602">
        <v>22</v>
      </c>
    </row>
    <row r="1603" spans="1:28" x14ac:dyDescent="0.2">
      <c r="A1603">
        <v>2122</v>
      </c>
      <c r="B1603" s="1">
        <v>44358</v>
      </c>
      <c r="C1603" t="s">
        <v>28</v>
      </c>
      <c r="D1603" t="s">
        <v>69</v>
      </c>
      <c r="E1603" t="s">
        <v>30</v>
      </c>
      <c r="F1603" t="s">
        <v>55</v>
      </c>
      <c r="G1603" t="s">
        <v>32</v>
      </c>
      <c r="H1603" t="s">
        <v>33</v>
      </c>
      <c r="I1603" t="s">
        <v>34</v>
      </c>
      <c r="J1603" t="s">
        <v>65</v>
      </c>
      <c r="K1603" s="2">
        <v>27688</v>
      </c>
      <c r="L1603" t="s">
        <v>36</v>
      </c>
      <c r="M1603" t="s">
        <v>37</v>
      </c>
      <c r="N1603" t="s">
        <v>84</v>
      </c>
      <c r="O1603" t="s">
        <v>67</v>
      </c>
      <c r="P1603" t="s">
        <v>98</v>
      </c>
      <c r="Q1603">
        <v>5</v>
      </c>
      <c r="R1603" s="2">
        <v>44951</v>
      </c>
      <c r="S1603">
        <v>3</v>
      </c>
      <c r="T1603">
        <v>3</v>
      </c>
      <c r="U1603">
        <v>2</v>
      </c>
      <c r="V1603" s="1">
        <v>44928</v>
      </c>
      <c r="W1603" t="s">
        <v>68</v>
      </c>
      <c r="X1603" t="s">
        <v>51</v>
      </c>
      <c r="Y1603" t="s">
        <v>73</v>
      </c>
      <c r="Z1603">
        <v>1</v>
      </c>
      <c r="AA1603">
        <v>949.46</v>
      </c>
      <c r="AB1603">
        <v>46</v>
      </c>
    </row>
    <row r="1604" spans="1:28" x14ac:dyDescent="0.2">
      <c r="A1604">
        <v>2123</v>
      </c>
      <c r="B1604" s="1">
        <v>44449</v>
      </c>
      <c r="C1604" t="s">
        <v>28</v>
      </c>
      <c r="D1604" t="s">
        <v>29</v>
      </c>
      <c r="E1604" t="s">
        <v>30</v>
      </c>
      <c r="F1604" t="s">
        <v>31</v>
      </c>
      <c r="G1604" t="s">
        <v>56</v>
      </c>
      <c r="H1604" t="s">
        <v>33</v>
      </c>
      <c r="I1604" t="s">
        <v>34</v>
      </c>
      <c r="J1604" t="s">
        <v>102</v>
      </c>
      <c r="K1604" s="2">
        <v>28898</v>
      </c>
      <c r="L1604" t="s">
        <v>36</v>
      </c>
      <c r="M1604" t="s">
        <v>37</v>
      </c>
      <c r="N1604" t="s">
        <v>38</v>
      </c>
      <c r="O1604" t="s">
        <v>39</v>
      </c>
      <c r="P1604" t="s">
        <v>78</v>
      </c>
      <c r="Q1604">
        <v>2</v>
      </c>
      <c r="R1604" s="2">
        <v>44863</v>
      </c>
      <c r="S1604">
        <v>3</v>
      </c>
      <c r="T1604">
        <v>5</v>
      </c>
      <c r="U1604">
        <v>3</v>
      </c>
      <c r="V1604" s="1">
        <v>44827</v>
      </c>
      <c r="W1604" t="s">
        <v>62</v>
      </c>
      <c r="X1604" t="s">
        <v>51</v>
      </c>
      <c r="Y1604" t="s">
        <v>43</v>
      </c>
      <c r="Z1604">
        <v>4</v>
      </c>
      <c r="AA1604">
        <v>169.71</v>
      </c>
      <c r="AB1604">
        <v>42</v>
      </c>
    </row>
    <row r="1605" spans="1:28" x14ac:dyDescent="0.2">
      <c r="A1605">
        <v>2124</v>
      </c>
      <c r="B1605" s="1">
        <v>44978</v>
      </c>
      <c r="C1605" t="s">
        <v>28</v>
      </c>
      <c r="D1605" t="s">
        <v>85</v>
      </c>
      <c r="E1605" t="s">
        <v>108</v>
      </c>
      <c r="F1605" t="s">
        <v>31</v>
      </c>
      <c r="G1605" t="s">
        <v>56</v>
      </c>
      <c r="H1605" t="s">
        <v>33</v>
      </c>
      <c r="I1605" t="s">
        <v>34</v>
      </c>
      <c r="J1605" t="s">
        <v>101</v>
      </c>
      <c r="K1605" s="2">
        <v>18484</v>
      </c>
      <c r="L1605" t="s">
        <v>36</v>
      </c>
      <c r="M1605" t="s">
        <v>37</v>
      </c>
      <c r="N1605" t="s">
        <v>38</v>
      </c>
      <c r="O1605" t="s">
        <v>61</v>
      </c>
      <c r="P1605" t="s">
        <v>78</v>
      </c>
      <c r="Q1605">
        <v>2</v>
      </c>
      <c r="R1605" s="2">
        <v>45037</v>
      </c>
      <c r="S1605">
        <v>4</v>
      </c>
      <c r="T1605">
        <v>1</v>
      </c>
      <c r="U1605">
        <v>5</v>
      </c>
      <c r="V1605" s="1">
        <v>45042</v>
      </c>
      <c r="W1605" t="s">
        <v>41</v>
      </c>
      <c r="X1605" t="s">
        <v>42</v>
      </c>
      <c r="Y1605" t="s">
        <v>63</v>
      </c>
      <c r="Z1605">
        <v>2</v>
      </c>
      <c r="AA1605">
        <v>238.23</v>
      </c>
      <c r="AB1605">
        <v>73</v>
      </c>
    </row>
    <row r="1606" spans="1:28" x14ac:dyDescent="0.2">
      <c r="A1606">
        <v>2125</v>
      </c>
      <c r="B1606" s="1">
        <v>43686</v>
      </c>
      <c r="C1606" t="s">
        <v>28</v>
      </c>
      <c r="D1606" t="s">
        <v>44</v>
      </c>
      <c r="E1606" t="s">
        <v>30</v>
      </c>
      <c r="F1606" t="s">
        <v>55</v>
      </c>
      <c r="G1606" t="s">
        <v>56</v>
      </c>
      <c r="H1606" t="s">
        <v>46</v>
      </c>
      <c r="I1606" t="s">
        <v>34</v>
      </c>
      <c r="J1606" t="s">
        <v>79</v>
      </c>
      <c r="K1606" s="2">
        <v>37041</v>
      </c>
      <c r="L1606" t="s">
        <v>36</v>
      </c>
      <c r="M1606" t="s">
        <v>37</v>
      </c>
      <c r="N1606" t="s">
        <v>38</v>
      </c>
      <c r="O1606" t="s">
        <v>77</v>
      </c>
      <c r="P1606" t="s">
        <v>78</v>
      </c>
      <c r="Q1606">
        <v>4</v>
      </c>
      <c r="R1606" s="2">
        <v>44827</v>
      </c>
      <c r="S1606">
        <v>4</v>
      </c>
      <c r="T1606">
        <v>5</v>
      </c>
      <c r="U1606">
        <v>3</v>
      </c>
      <c r="V1606" s="1">
        <v>44792</v>
      </c>
      <c r="W1606" t="s">
        <v>92</v>
      </c>
      <c r="X1606" t="s">
        <v>51</v>
      </c>
      <c r="Y1606" t="s">
        <v>52</v>
      </c>
      <c r="Z1606">
        <v>2</v>
      </c>
      <c r="AA1606">
        <v>486.63</v>
      </c>
      <c r="AB1606">
        <v>18</v>
      </c>
    </row>
    <row r="1607" spans="1:28" x14ac:dyDescent="0.2">
      <c r="A1607">
        <v>2126</v>
      </c>
      <c r="B1607" s="1">
        <v>44263</v>
      </c>
      <c r="C1607" t="s">
        <v>28</v>
      </c>
      <c r="D1607" t="s">
        <v>87</v>
      </c>
      <c r="E1607" t="s">
        <v>30</v>
      </c>
      <c r="F1607" t="s">
        <v>46</v>
      </c>
      <c r="G1607" t="s">
        <v>32</v>
      </c>
      <c r="H1607" t="s">
        <v>33</v>
      </c>
      <c r="I1607" t="s">
        <v>34</v>
      </c>
      <c r="J1607" t="s">
        <v>110</v>
      </c>
      <c r="K1607" s="2">
        <v>25374</v>
      </c>
      <c r="L1607" t="s">
        <v>36</v>
      </c>
      <c r="M1607" t="s">
        <v>37</v>
      </c>
      <c r="N1607" t="s">
        <v>72</v>
      </c>
      <c r="O1607" t="s">
        <v>67</v>
      </c>
      <c r="P1607" t="s">
        <v>107</v>
      </c>
      <c r="Q1607">
        <v>1</v>
      </c>
      <c r="R1607" s="2">
        <v>45030</v>
      </c>
      <c r="S1607">
        <v>3</v>
      </c>
      <c r="T1607">
        <v>4</v>
      </c>
      <c r="U1607">
        <v>4</v>
      </c>
      <c r="V1607" s="1">
        <v>44950</v>
      </c>
      <c r="W1607" t="s">
        <v>92</v>
      </c>
      <c r="X1607" t="s">
        <v>51</v>
      </c>
      <c r="Y1607" t="s">
        <v>43</v>
      </c>
      <c r="Z1607">
        <v>2</v>
      </c>
      <c r="AA1607">
        <v>692.5</v>
      </c>
      <c r="AB1607">
        <v>52</v>
      </c>
    </row>
    <row r="1608" spans="1:28" x14ac:dyDescent="0.2">
      <c r="A1608">
        <v>2127</v>
      </c>
      <c r="B1608" s="1">
        <v>43666</v>
      </c>
      <c r="C1608" t="s">
        <v>28</v>
      </c>
      <c r="D1608" t="s">
        <v>64</v>
      </c>
      <c r="E1608" t="s">
        <v>30</v>
      </c>
      <c r="F1608" t="s">
        <v>31</v>
      </c>
      <c r="G1608" t="s">
        <v>45</v>
      </c>
      <c r="H1608" t="s">
        <v>46</v>
      </c>
      <c r="I1608" t="s">
        <v>34</v>
      </c>
      <c r="J1608" t="s">
        <v>70</v>
      </c>
      <c r="K1608" s="2">
        <v>19689</v>
      </c>
      <c r="L1608" t="s">
        <v>36</v>
      </c>
      <c r="M1608" t="s">
        <v>37</v>
      </c>
      <c r="N1608" t="s">
        <v>72</v>
      </c>
      <c r="O1608" t="s">
        <v>61</v>
      </c>
      <c r="P1608" t="s">
        <v>98</v>
      </c>
      <c r="Q1608">
        <v>4</v>
      </c>
      <c r="R1608" s="2">
        <v>45139</v>
      </c>
      <c r="S1608">
        <v>2</v>
      </c>
      <c r="T1608">
        <v>2</v>
      </c>
      <c r="U1608">
        <v>3</v>
      </c>
      <c r="V1608" s="1">
        <v>45019</v>
      </c>
      <c r="W1608" t="s">
        <v>41</v>
      </c>
      <c r="X1608" t="s">
        <v>42</v>
      </c>
      <c r="Y1608" t="s">
        <v>73</v>
      </c>
      <c r="Z1608">
        <v>5</v>
      </c>
      <c r="AA1608">
        <v>119.71</v>
      </c>
      <c r="AB1608">
        <v>66</v>
      </c>
    </row>
    <row r="1609" spans="1:28" x14ac:dyDescent="0.2">
      <c r="A1609">
        <v>2128</v>
      </c>
      <c r="B1609" s="1">
        <v>45012</v>
      </c>
      <c r="C1609" t="s">
        <v>28</v>
      </c>
      <c r="D1609" t="s">
        <v>94</v>
      </c>
      <c r="E1609" t="s">
        <v>30</v>
      </c>
      <c r="F1609" t="s">
        <v>55</v>
      </c>
      <c r="G1609" t="s">
        <v>45</v>
      </c>
      <c r="H1609" t="s">
        <v>33</v>
      </c>
      <c r="I1609" t="s">
        <v>34</v>
      </c>
      <c r="J1609" t="s">
        <v>70</v>
      </c>
      <c r="K1609" s="2">
        <v>20364</v>
      </c>
      <c r="L1609" t="s">
        <v>36</v>
      </c>
      <c r="M1609" t="s">
        <v>37</v>
      </c>
      <c r="N1609" t="s">
        <v>72</v>
      </c>
      <c r="O1609" t="s">
        <v>39</v>
      </c>
      <c r="P1609" t="s">
        <v>98</v>
      </c>
      <c r="Q1609">
        <v>2</v>
      </c>
      <c r="R1609" s="2">
        <v>45017</v>
      </c>
      <c r="S1609">
        <v>1</v>
      </c>
      <c r="T1609">
        <v>3</v>
      </c>
      <c r="U1609">
        <v>1</v>
      </c>
      <c r="V1609" s="1">
        <v>44917</v>
      </c>
      <c r="W1609" t="s">
        <v>62</v>
      </c>
      <c r="X1609" t="s">
        <v>51</v>
      </c>
      <c r="Y1609" t="s">
        <v>73</v>
      </c>
      <c r="Z1609">
        <v>2</v>
      </c>
      <c r="AA1609">
        <v>168.47</v>
      </c>
      <c r="AB1609">
        <v>68</v>
      </c>
    </row>
    <row r="1610" spans="1:28" x14ac:dyDescent="0.2">
      <c r="A1610">
        <v>2129</v>
      </c>
      <c r="B1610" s="1">
        <v>43745</v>
      </c>
      <c r="C1610" t="s">
        <v>28</v>
      </c>
      <c r="D1610" t="s">
        <v>74</v>
      </c>
      <c r="E1610" t="s">
        <v>30</v>
      </c>
      <c r="F1610" t="s">
        <v>46</v>
      </c>
      <c r="G1610" t="s">
        <v>56</v>
      </c>
      <c r="H1610" t="s">
        <v>33</v>
      </c>
      <c r="I1610" t="s">
        <v>34</v>
      </c>
      <c r="J1610" t="s">
        <v>70</v>
      </c>
      <c r="K1610" s="2">
        <v>32175</v>
      </c>
      <c r="L1610" t="s">
        <v>36</v>
      </c>
      <c r="M1610" t="s">
        <v>48</v>
      </c>
      <c r="N1610" t="s">
        <v>60</v>
      </c>
      <c r="O1610" t="s">
        <v>77</v>
      </c>
      <c r="P1610" t="s">
        <v>98</v>
      </c>
      <c r="Q1610">
        <v>2</v>
      </c>
      <c r="R1610" s="2">
        <v>44834</v>
      </c>
      <c r="S1610">
        <v>5</v>
      </c>
      <c r="T1610">
        <v>5</v>
      </c>
      <c r="U1610">
        <v>2</v>
      </c>
      <c r="V1610" s="1">
        <v>44988</v>
      </c>
      <c r="W1610" t="s">
        <v>92</v>
      </c>
      <c r="X1610" t="s">
        <v>51</v>
      </c>
      <c r="Y1610" t="s">
        <v>52</v>
      </c>
      <c r="Z1610">
        <v>4</v>
      </c>
      <c r="AA1610">
        <v>951.82</v>
      </c>
      <c r="AB1610">
        <v>31</v>
      </c>
    </row>
    <row r="1611" spans="1:28" x14ac:dyDescent="0.2">
      <c r="A1611">
        <v>2130</v>
      </c>
      <c r="B1611" s="1">
        <v>44908</v>
      </c>
      <c r="C1611" t="s">
        <v>28</v>
      </c>
      <c r="D1611" t="s">
        <v>81</v>
      </c>
      <c r="E1611" t="s">
        <v>30</v>
      </c>
      <c r="F1611" t="s">
        <v>31</v>
      </c>
      <c r="G1611" t="s">
        <v>32</v>
      </c>
      <c r="H1611" t="s">
        <v>46</v>
      </c>
      <c r="I1611" t="s">
        <v>34</v>
      </c>
      <c r="J1611" t="s">
        <v>70</v>
      </c>
      <c r="K1611" s="2">
        <v>26719</v>
      </c>
      <c r="L1611" t="s">
        <v>36</v>
      </c>
      <c r="M1611" t="s">
        <v>37</v>
      </c>
      <c r="N1611" t="s">
        <v>60</v>
      </c>
      <c r="O1611" t="s">
        <v>67</v>
      </c>
      <c r="P1611" t="s">
        <v>98</v>
      </c>
      <c r="Q1611">
        <v>1</v>
      </c>
      <c r="R1611" s="2">
        <v>45015</v>
      </c>
      <c r="S1611">
        <v>3</v>
      </c>
      <c r="T1611">
        <v>5</v>
      </c>
      <c r="U1611">
        <v>2</v>
      </c>
      <c r="V1611" s="1">
        <v>44886</v>
      </c>
      <c r="W1611" t="s">
        <v>62</v>
      </c>
      <c r="X1611" t="s">
        <v>42</v>
      </c>
      <c r="Y1611" t="s">
        <v>63</v>
      </c>
      <c r="Z1611">
        <v>4</v>
      </c>
      <c r="AA1611">
        <v>444.22</v>
      </c>
      <c r="AB1611">
        <v>49</v>
      </c>
    </row>
    <row r="1612" spans="1:28" x14ac:dyDescent="0.2">
      <c r="A1612">
        <v>2131</v>
      </c>
      <c r="B1612" s="1">
        <v>43988</v>
      </c>
      <c r="C1612" t="s">
        <v>28</v>
      </c>
      <c r="D1612" t="s">
        <v>54</v>
      </c>
      <c r="E1612" t="s">
        <v>108</v>
      </c>
      <c r="F1612" t="s">
        <v>46</v>
      </c>
      <c r="G1612" t="s">
        <v>32</v>
      </c>
      <c r="H1612" t="s">
        <v>46</v>
      </c>
      <c r="I1612" t="s">
        <v>34</v>
      </c>
      <c r="J1612" t="s">
        <v>70</v>
      </c>
      <c r="K1612" s="2">
        <v>18699</v>
      </c>
      <c r="L1612" t="s">
        <v>36</v>
      </c>
      <c r="M1612" t="s">
        <v>37</v>
      </c>
      <c r="N1612" t="s">
        <v>72</v>
      </c>
      <c r="O1612" t="s">
        <v>39</v>
      </c>
      <c r="P1612" t="s">
        <v>98</v>
      </c>
      <c r="Q1612">
        <v>4</v>
      </c>
      <c r="R1612" s="2">
        <v>44923</v>
      </c>
      <c r="S1612">
        <v>1</v>
      </c>
      <c r="T1612">
        <v>2</v>
      </c>
      <c r="U1612">
        <v>1</v>
      </c>
      <c r="V1612" s="1">
        <v>44947</v>
      </c>
      <c r="W1612" t="s">
        <v>62</v>
      </c>
      <c r="X1612" t="s">
        <v>42</v>
      </c>
      <c r="Y1612" t="s">
        <v>73</v>
      </c>
      <c r="Z1612">
        <v>5</v>
      </c>
      <c r="AA1612">
        <v>591.83000000000004</v>
      </c>
      <c r="AB1612">
        <v>69</v>
      </c>
    </row>
    <row r="1613" spans="1:28" x14ac:dyDescent="0.2">
      <c r="A1613">
        <v>2132</v>
      </c>
      <c r="B1613" s="1">
        <v>44676</v>
      </c>
      <c r="C1613" t="s">
        <v>28</v>
      </c>
      <c r="D1613" t="s">
        <v>69</v>
      </c>
      <c r="E1613" t="s">
        <v>30</v>
      </c>
      <c r="F1613" t="s">
        <v>55</v>
      </c>
      <c r="G1613" t="s">
        <v>45</v>
      </c>
      <c r="H1613" t="s">
        <v>55</v>
      </c>
      <c r="I1613" t="s">
        <v>34</v>
      </c>
      <c r="J1613" t="s">
        <v>97</v>
      </c>
      <c r="K1613" s="2">
        <v>23546</v>
      </c>
      <c r="L1613" t="s">
        <v>36</v>
      </c>
      <c r="M1613" t="s">
        <v>37</v>
      </c>
      <c r="N1613" t="s">
        <v>60</v>
      </c>
      <c r="O1613" t="s">
        <v>39</v>
      </c>
      <c r="P1613" t="s">
        <v>98</v>
      </c>
      <c r="Q1613">
        <v>2</v>
      </c>
      <c r="R1613" s="2">
        <v>44910</v>
      </c>
      <c r="S1613">
        <v>2</v>
      </c>
      <c r="T1613">
        <v>3</v>
      </c>
      <c r="U1613">
        <v>3</v>
      </c>
      <c r="V1613" s="1">
        <v>44819</v>
      </c>
      <c r="W1613" t="s">
        <v>92</v>
      </c>
      <c r="X1613" t="s">
        <v>42</v>
      </c>
      <c r="Y1613" t="s">
        <v>73</v>
      </c>
      <c r="Z1613">
        <v>5</v>
      </c>
      <c r="AA1613">
        <v>936.77</v>
      </c>
      <c r="AB1613">
        <v>58</v>
      </c>
    </row>
    <row r="1614" spans="1:28" x14ac:dyDescent="0.2">
      <c r="A1614">
        <v>2133</v>
      </c>
      <c r="B1614" s="1">
        <v>44040</v>
      </c>
      <c r="C1614" t="s">
        <v>28</v>
      </c>
      <c r="D1614" t="s">
        <v>29</v>
      </c>
      <c r="E1614" t="s">
        <v>30</v>
      </c>
      <c r="F1614" t="s">
        <v>31</v>
      </c>
      <c r="G1614" t="s">
        <v>45</v>
      </c>
      <c r="H1614" t="s">
        <v>55</v>
      </c>
      <c r="I1614" t="s">
        <v>34</v>
      </c>
      <c r="J1614" t="s">
        <v>70</v>
      </c>
      <c r="K1614" s="2">
        <v>27261</v>
      </c>
      <c r="L1614" t="s">
        <v>36</v>
      </c>
      <c r="M1614" t="s">
        <v>37</v>
      </c>
      <c r="N1614" t="s">
        <v>72</v>
      </c>
      <c r="O1614" t="s">
        <v>61</v>
      </c>
      <c r="P1614" t="s">
        <v>107</v>
      </c>
      <c r="Q1614">
        <v>1</v>
      </c>
      <c r="R1614" s="2">
        <v>44987</v>
      </c>
      <c r="S1614">
        <v>2</v>
      </c>
      <c r="T1614">
        <v>3</v>
      </c>
      <c r="U1614">
        <v>2</v>
      </c>
      <c r="V1614" s="1">
        <v>45001</v>
      </c>
      <c r="W1614" t="s">
        <v>68</v>
      </c>
      <c r="X1614" t="s">
        <v>51</v>
      </c>
      <c r="Y1614" t="s">
        <v>73</v>
      </c>
      <c r="Z1614">
        <v>4</v>
      </c>
      <c r="AA1614">
        <v>797.13</v>
      </c>
      <c r="AB1614">
        <v>46</v>
      </c>
    </row>
    <row r="1615" spans="1:28" x14ac:dyDescent="0.2">
      <c r="A1615">
        <v>2134</v>
      </c>
      <c r="B1615" s="1">
        <v>44620</v>
      </c>
      <c r="C1615" t="s">
        <v>28</v>
      </c>
      <c r="D1615" t="s">
        <v>85</v>
      </c>
      <c r="E1615" t="s">
        <v>30</v>
      </c>
      <c r="F1615" t="s">
        <v>46</v>
      </c>
      <c r="G1615" t="s">
        <v>56</v>
      </c>
      <c r="H1615" t="s">
        <v>33</v>
      </c>
      <c r="I1615" t="s">
        <v>34</v>
      </c>
      <c r="J1615" t="s">
        <v>47</v>
      </c>
      <c r="K1615" s="2">
        <v>37081</v>
      </c>
      <c r="L1615" t="s">
        <v>36</v>
      </c>
      <c r="M1615" t="s">
        <v>37</v>
      </c>
      <c r="N1615" t="s">
        <v>49</v>
      </c>
      <c r="O1615" t="s">
        <v>39</v>
      </c>
      <c r="P1615" t="s">
        <v>78</v>
      </c>
      <c r="Q1615">
        <v>2</v>
      </c>
      <c r="R1615" s="2">
        <v>44984</v>
      </c>
      <c r="S1615">
        <v>4</v>
      </c>
      <c r="T1615">
        <v>2</v>
      </c>
      <c r="U1615">
        <v>5</v>
      </c>
      <c r="V1615" s="1">
        <v>44854</v>
      </c>
      <c r="W1615" t="s">
        <v>68</v>
      </c>
      <c r="X1615" t="s">
        <v>42</v>
      </c>
      <c r="Y1615" t="s">
        <v>63</v>
      </c>
      <c r="Z1615">
        <v>1</v>
      </c>
      <c r="AA1615">
        <v>420.72</v>
      </c>
      <c r="AB1615">
        <v>21</v>
      </c>
    </row>
    <row r="1616" spans="1:28" x14ac:dyDescent="0.2">
      <c r="A1616">
        <v>2135</v>
      </c>
      <c r="B1616" s="1">
        <v>44494</v>
      </c>
      <c r="C1616" t="s">
        <v>28</v>
      </c>
      <c r="D1616" t="s">
        <v>44</v>
      </c>
      <c r="E1616" t="s">
        <v>30</v>
      </c>
      <c r="F1616" t="s">
        <v>31</v>
      </c>
      <c r="G1616" t="s">
        <v>45</v>
      </c>
      <c r="H1616" t="s">
        <v>46</v>
      </c>
      <c r="I1616" t="s">
        <v>34</v>
      </c>
      <c r="J1616" t="s">
        <v>79</v>
      </c>
      <c r="K1616" s="2">
        <v>20204</v>
      </c>
      <c r="L1616" t="s">
        <v>36</v>
      </c>
      <c r="M1616" t="s">
        <v>37</v>
      </c>
      <c r="N1616" t="s">
        <v>84</v>
      </c>
      <c r="O1616" t="s">
        <v>67</v>
      </c>
      <c r="P1616" t="s">
        <v>78</v>
      </c>
      <c r="Q1616">
        <v>2</v>
      </c>
      <c r="R1616" s="2">
        <v>45140</v>
      </c>
      <c r="S1616">
        <v>2</v>
      </c>
      <c r="T1616">
        <v>2</v>
      </c>
      <c r="U1616">
        <v>4</v>
      </c>
      <c r="V1616" s="1">
        <v>44886</v>
      </c>
      <c r="W1616" t="s">
        <v>68</v>
      </c>
      <c r="X1616" t="s">
        <v>42</v>
      </c>
      <c r="Y1616" t="s">
        <v>63</v>
      </c>
      <c r="Z1616">
        <v>5</v>
      </c>
      <c r="AA1616">
        <v>218.13</v>
      </c>
      <c r="AB1616">
        <v>66</v>
      </c>
    </row>
    <row r="1617" spans="1:28" x14ac:dyDescent="0.2">
      <c r="A1617">
        <v>2136</v>
      </c>
      <c r="B1617" s="1">
        <v>43355</v>
      </c>
      <c r="C1617" t="s">
        <v>28</v>
      </c>
      <c r="D1617" t="s">
        <v>87</v>
      </c>
      <c r="E1617" t="s">
        <v>30</v>
      </c>
      <c r="F1617" t="s">
        <v>46</v>
      </c>
      <c r="G1617" t="s">
        <v>45</v>
      </c>
      <c r="H1617" t="s">
        <v>46</v>
      </c>
      <c r="I1617" t="s">
        <v>34</v>
      </c>
      <c r="J1617" t="s">
        <v>111</v>
      </c>
      <c r="K1617" s="2">
        <v>33519</v>
      </c>
      <c r="L1617" t="s">
        <v>36</v>
      </c>
      <c r="M1617" t="s">
        <v>37</v>
      </c>
      <c r="N1617" t="s">
        <v>60</v>
      </c>
      <c r="O1617" t="s">
        <v>77</v>
      </c>
      <c r="P1617" t="s">
        <v>78</v>
      </c>
      <c r="Q1617">
        <v>1</v>
      </c>
      <c r="R1617" s="2">
        <v>44975</v>
      </c>
      <c r="S1617">
        <v>2</v>
      </c>
      <c r="T1617">
        <v>2</v>
      </c>
      <c r="U1617">
        <v>2</v>
      </c>
      <c r="V1617" s="1">
        <v>44893</v>
      </c>
      <c r="W1617" t="s">
        <v>92</v>
      </c>
      <c r="X1617" t="s">
        <v>42</v>
      </c>
      <c r="Y1617" t="s">
        <v>52</v>
      </c>
      <c r="Z1617">
        <v>1</v>
      </c>
      <c r="AA1617">
        <v>659.25</v>
      </c>
      <c r="AB1617">
        <v>27</v>
      </c>
    </row>
    <row r="1618" spans="1:28" x14ac:dyDescent="0.2">
      <c r="A1618">
        <v>2138</v>
      </c>
      <c r="B1618" s="1">
        <v>44504</v>
      </c>
      <c r="C1618" t="s">
        <v>106</v>
      </c>
      <c r="D1618" t="s">
        <v>44</v>
      </c>
      <c r="E1618" t="s">
        <v>30</v>
      </c>
      <c r="F1618" t="s">
        <v>31</v>
      </c>
      <c r="G1618" t="s">
        <v>32</v>
      </c>
      <c r="H1618" t="s">
        <v>33</v>
      </c>
      <c r="I1618" t="s">
        <v>34</v>
      </c>
      <c r="J1618" t="s">
        <v>96</v>
      </c>
      <c r="K1618" s="2">
        <v>24330</v>
      </c>
      <c r="L1618" t="s">
        <v>36</v>
      </c>
      <c r="M1618" t="s">
        <v>37</v>
      </c>
      <c r="N1618" t="s">
        <v>49</v>
      </c>
      <c r="O1618" t="s">
        <v>77</v>
      </c>
      <c r="P1618" t="s">
        <v>78</v>
      </c>
      <c r="Q1618">
        <v>2</v>
      </c>
      <c r="R1618" s="2">
        <v>44795</v>
      </c>
      <c r="S1618">
        <v>1</v>
      </c>
      <c r="T1618">
        <v>5</v>
      </c>
      <c r="U1618">
        <v>2</v>
      </c>
      <c r="V1618" s="1">
        <v>44790</v>
      </c>
      <c r="W1618" t="s">
        <v>62</v>
      </c>
      <c r="X1618" t="s">
        <v>42</v>
      </c>
      <c r="Y1618" t="s">
        <v>63</v>
      </c>
      <c r="Z1618">
        <v>3</v>
      </c>
      <c r="AA1618">
        <v>282.20999999999998</v>
      </c>
      <c r="AB1618">
        <v>55</v>
      </c>
    </row>
    <row r="1619" spans="1:28" x14ac:dyDescent="0.2">
      <c r="A1619">
        <v>2139</v>
      </c>
      <c r="B1619" s="1">
        <v>43956</v>
      </c>
      <c r="C1619" t="s">
        <v>106</v>
      </c>
      <c r="D1619" t="s">
        <v>87</v>
      </c>
      <c r="E1619" t="s">
        <v>30</v>
      </c>
      <c r="F1619" t="s">
        <v>46</v>
      </c>
      <c r="G1619" t="s">
        <v>56</v>
      </c>
      <c r="H1619" t="s">
        <v>55</v>
      </c>
      <c r="I1619" t="s">
        <v>34</v>
      </c>
      <c r="J1619" t="s">
        <v>47</v>
      </c>
      <c r="K1619" s="2">
        <v>24927</v>
      </c>
      <c r="L1619" t="s">
        <v>36</v>
      </c>
      <c r="M1619" t="s">
        <v>37</v>
      </c>
      <c r="N1619" t="s">
        <v>38</v>
      </c>
      <c r="O1619" t="s">
        <v>39</v>
      </c>
      <c r="P1619" t="s">
        <v>78</v>
      </c>
      <c r="Q1619">
        <v>2</v>
      </c>
      <c r="R1619" s="2">
        <v>45051</v>
      </c>
      <c r="S1619">
        <v>1</v>
      </c>
      <c r="T1619">
        <v>4</v>
      </c>
      <c r="U1619">
        <v>4</v>
      </c>
      <c r="V1619" s="1">
        <v>45067</v>
      </c>
      <c r="W1619" t="s">
        <v>68</v>
      </c>
      <c r="X1619" t="s">
        <v>42</v>
      </c>
      <c r="Y1619" t="s">
        <v>73</v>
      </c>
      <c r="Z1619">
        <v>2</v>
      </c>
      <c r="AA1619">
        <v>935.49</v>
      </c>
      <c r="AB1619">
        <v>52</v>
      </c>
    </row>
    <row r="1620" spans="1:28" x14ac:dyDescent="0.2">
      <c r="A1620">
        <v>2140</v>
      </c>
      <c r="B1620" s="1">
        <v>44173</v>
      </c>
      <c r="C1620" t="s">
        <v>106</v>
      </c>
      <c r="D1620" t="s">
        <v>81</v>
      </c>
      <c r="E1620" t="s">
        <v>30</v>
      </c>
      <c r="F1620" t="s">
        <v>31</v>
      </c>
      <c r="G1620" t="s">
        <v>45</v>
      </c>
      <c r="H1620" t="s">
        <v>46</v>
      </c>
      <c r="I1620" t="s">
        <v>34</v>
      </c>
      <c r="J1620" t="s">
        <v>79</v>
      </c>
      <c r="K1620" s="2">
        <v>25437</v>
      </c>
      <c r="L1620" t="s">
        <v>36</v>
      </c>
      <c r="M1620" t="s">
        <v>37</v>
      </c>
      <c r="N1620" t="s">
        <v>72</v>
      </c>
      <c r="O1620" t="s">
        <v>39</v>
      </c>
      <c r="P1620" t="s">
        <v>78</v>
      </c>
      <c r="Q1620">
        <v>2</v>
      </c>
      <c r="R1620" s="2">
        <v>45057</v>
      </c>
      <c r="S1620">
        <v>4</v>
      </c>
      <c r="T1620">
        <v>5</v>
      </c>
      <c r="U1620">
        <v>4</v>
      </c>
      <c r="V1620" s="1">
        <v>45043</v>
      </c>
      <c r="W1620" t="s">
        <v>62</v>
      </c>
      <c r="X1620" t="s">
        <v>51</v>
      </c>
      <c r="Y1620" t="s">
        <v>63</v>
      </c>
      <c r="Z1620">
        <v>3</v>
      </c>
      <c r="AA1620">
        <v>264.83999999999997</v>
      </c>
      <c r="AB1620">
        <v>51</v>
      </c>
    </row>
    <row r="1621" spans="1:28" x14ac:dyDescent="0.2">
      <c r="A1621">
        <v>2141</v>
      </c>
      <c r="B1621" s="1">
        <v>43372</v>
      </c>
      <c r="C1621" t="s">
        <v>106</v>
      </c>
      <c r="D1621" t="s">
        <v>54</v>
      </c>
      <c r="E1621" t="s">
        <v>30</v>
      </c>
      <c r="F1621" t="s">
        <v>31</v>
      </c>
      <c r="G1621" t="s">
        <v>32</v>
      </c>
      <c r="H1621" t="s">
        <v>55</v>
      </c>
      <c r="I1621" t="s">
        <v>34</v>
      </c>
      <c r="J1621" t="s">
        <v>47</v>
      </c>
      <c r="K1621" s="2">
        <v>17008</v>
      </c>
      <c r="L1621" t="s">
        <v>36</v>
      </c>
      <c r="M1621" t="s">
        <v>37</v>
      </c>
      <c r="N1621" t="s">
        <v>49</v>
      </c>
      <c r="O1621" t="s">
        <v>67</v>
      </c>
      <c r="P1621" t="s">
        <v>78</v>
      </c>
      <c r="Q1621">
        <v>2</v>
      </c>
      <c r="R1621" s="2">
        <v>44879</v>
      </c>
      <c r="S1621">
        <v>2</v>
      </c>
      <c r="T1621">
        <v>3</v>
      </c>
      <c r="U1621">
        <v>3</v>
      </c>
      <c r="V1621" s="1">
        <v>45084</v>
      </c>
      <c r="W1621" t="s">
        <v>50</v>
      </c>
      <c r="X1621" t="s">
        <v>42</v>
      </c>
      <c r="Y1621" t="s">
        <v>63</v>
      </c>
      <c r="Z1621">
        <v>1</v>
      </c>
      <c r="AA1621">
        <v>619.72</v>
      </c>
      <c r="AB1621">
        <v>72</v>
      </c>
    </row>
    <row r="1622" spans="1:28" x14ac:dyDescent="0.2">
      <c r="A1622">
        <v>2142</v>
      </c>
      <c r="B1622" s="1">
        <v>43839</v>
      </c>
      <c r="C1622" t="s">
        <v>106</v>
      </c>
      <c r="D1622" t="s">
        <v>94</v>
      </c>
      <c r="E1622" t="s">
        <v>30</v>
      </c>
      <c r="F1622" t="s">
        <v>31</v>
      </c>
      <c r="G1622" t="s">
        <v>45</v>
      </c>
      <c r="H1622" t="s">
        <v>33</v>
      </c>
      <c r="I1622" t="s">
        <v>34</v>
      </c>
      <c r="J1622" t="s">
        <v>79</v>
      </c>
      <c r="K1622" s="2">
        <v>23767</v>
      </c>
      <c r="L1622" t="s">
        <v>36</v>
      </c>
      <c r="M1622" t="s">
        <v>37</v>
      </c>
      <c r="N1622" t="s">
        <v>60</v>
      </c>
      <c r="O1622" t="s">
        <v>39</v>
      </c>
      <c r="P1622" t="s">
        <v>78</v>
      </c>
      <c r="Q1622">
        <v>2</v>
      </c>
      <c r="R1622" s="2">
        <v>45052</v>
      </c>
      <c r="S1622">
        <v>2</v>
      </c>
      <c r="T1622">
        <v>5</v>
      </c>
      <c r="U1622">
        <v>1</v>
      </c>
      <c r="V1622" s="1">
        <v>44937</v>
      </c>
      <c r="W1622" t="s">
        <v>41</v>
      </c>
      <c r="X1622" t="s">
        <v>42</v>
      </c>
      <c r="Y1622" t="s">
        <v>43</v>
      </c>
      <c r="Z1622">
        <v>3</v>
      </c>
      <c r="AA1622">
        <v>248.83</v>
      </c>
      <c r="AB1622">
        <v>55</v>
      </c>
    </row>
    <row r="1623" spans="1:28" x14ac:dyDescent="0.2">
      <c r="A1623">
        <v>2144</v>
      </c>
      <c r="B1623" s="1">
        <v>44798</v>
      </c>
      <c r="C1623" t="s">
        <v>106</v>
      </c>
      <c r="D1623" t="s">
        <v>64</v>
      </c>
      <c r="E1623" t="s">
        <v>30</v>
      </c>
      <c r="F1623" t="s">
        <v>55</v>
      </c>
      <c r="G1623" t="s">
        <v>56</v>
      </c>
      <c r="H1623" t="s">
        <v>33</v>
      </c>
      <c r="I1623" t="s">
        <v>34</v>
      </c>
      <c r="J1623" t="s">
        <v>70</v>
      </c>
      <c r="K1623" s="2">
        <v>35823</v>
      </c>
      <c r="L1623" t="s">
        <v>36</v>
      </c>
      <c r="M1623" t="s">
        <v>37</v>
      </c>
      <c r="N1623" t="s">
        <v>49</v>
      </c>
      <c r="O1623" t="s">
        <v>77</v>
      </c>
      <c r="P1623" t="s">
        <v>78</v>
      </c>
      <c r="Q1623">
        <v>2</v>
      </c>
      <c r="R1623" s="2">
        <v>45086</v>
      </c>
      <c r="S1623">
        <v>2</v>
      </c>
      <c r="T1623">
        <v>5</v>
      </c>
      <c r="U1623">
        <v>4</v>
      </c>
      <c r="V1623" s="1">
        <v>44952</v>
      </c>
      <c r="W1623" t="s">
        <v>92</v>
      </c>
      <c r="X1623" t="s">
        <v>42</v>
      </c>
      <c r="Y1623" t="s">
        <v>63</v>
      </c>
      <c r="Z1623">
        <v>4</v>
      </c>
      <c r="AA1623">
        <v>474.09</v>
      </c>
      <c r="AB1623">
        <v>24</v>
      </c>
    </row>
    <row r="1624" spans="1:28" x14ac:dyDescent="0.2">
      <c r="A1624">
        <v>2145</v>
      </c>
      <c r="B1624" s="1">
        <v>43523</v>
      </c>
      <c r="C1624" t="s">
        <v>106</v>
      </c>
      <c r="D1624" t="s">
        <v>74</v>
      </c>
      <c r="E1624" t="s">
        <v>30</v>
      </c>
      <c r="F1624" t="s">
        <v>55</v>
      </c>
      <c r="G1624" t="s">
        <v>45</v>
      </c>
      <c r="H1624" t="s">
        <v>55</v>
      </c>
      <c r="I1624" t="s">
        <v>34</v>
      </c>
      <c r="J1624" t="s">
        <v>58</v>
      </c>
      <c r="K1624" s="2">
        <v>32785</v>
      </c>
      <c r="L1624" t="s">
        <v>36</v>
      </c>
      <c r="M1624" t="s">
        <v>37</v>
      </c>
      <c r="N1624" t="s">
        <v>60</v>
      </c>
      <c r="O1624" t="s">
        <v>77</v>
      </c>
      <c r="P1624" t="s">
        <v>78</v>
      </c>
      <c r="Q1624">
        <v>1</v>
      </c>
      <c r="R1624" s="2">
        <v>45065</v>
      </c>
      <c r="S1624">
        <v>3</v>
      </c>
      <c r="T1624">
        <v>3</v>
      </c>
      <c r="U1624">
        <v>5</v>
      </c>
      <c r="V1624" s="1">
        <v>44900</v>
      </c>
      <c r="W1624" t="s">
        <v>62</v>
      </c>
      <c r="X1624" t="s">
        <v>51</v>
      </c>
      <c r="Y1624" t="s">
        <v>43</v>
      </c>
      <c r="Z1624">
        <v>4</v>
      </c>
      <c r="AA1624">
        <v>251.83</v>
      </c>
      <c r="AB1624">
        <v>30</v>
      </c>
    </row>
    <row r="1625" spans="1:28" x14ac:dyDescent="0.2">
      <c r="A1625">
        <v>2146</v>
      </c>
      <c r="B1625" s="1">
        <v>43824</v>
      </c>
      <c r="C1625" t="s">
        <v>28</v>
      </c>
      <c r="D1625" t="s">
        <v>87</v>
      </c>
      <c r="E1625" t="s">
        <v>108</v>
      </c>
      <c r="F1625" t="s">
        <v>55</v>
      </c>
      <c r="G1625" t="s">
        <v>45</v>
      </c>
      <c r="H1625" t="s">
        <v>33</v>
      </c>
      <c r="I1625" t="s">
        <v>34</v>
      </c>
      <c r="J1625" t="s">
        <v>89</v>
      </c>
      <c r="K1625" s="2">
        <v>16013</v>
      </c>
      <c r="L1625" t="s">
        <v>36</v>
      </c>
      <c r="M1625" t="s">
        <v>37</v>
      </c>
      <c r="N1625" t="s">
        <v>60</v>
      </c>
      <c r="O1625" t="s">
        <v>77</v>
      </c>
      <c r="P1625" t="s">
        <v>78</v>
      </c>
      <c r="Q1625">
        <v>2</v>
      </c>
      <c r="R1625" s="2">
        <v>44981</v>
      </c>
      <c r="S1625">
        <v>3</v>
      </c>
      <c r="T1625">
        <v>1</v>
      </c>
      <c r="U1625">
        <v>1</v>
      </c>
      <c r="V1625" s="1">
        <v>44994</v>
      </c>
      <c r="W1625" t="s">
        <v>41</v>
      </c>
      <c r="X1625" t="s">
        <v>51</v>
      </c>
      <c r="Y1625" t="s">
        <v>63</v>
      </c>
      <c r="Z1625">
        <v>1</v>
      </c>
      <c r="AA1625">
        <v>386.89</v>
      </c>
      <c r="AB1625">
        <v>76</v>
      </c>
    </row>
    <row r="1626" spans="1:28" x14ac:dyDescent="0.2">
      <c r="A1626">
        <v>2147</v>
      </c>
      <c r="B1626" s="1">
        <v>44057</v>
      </c>
      <c r="C1626" t="s">
        <v>28</v>
      </c>
      <c r="D1626" t="s">
        <v>81</v>
      </c>
      <c r="E1626" t="s">
        <v>30</v>
      </c>
      <c r="F1626" t="s">
        <v>31</v>
      </c>
      <c r="G1626" t="s">
        <v>56</v>
      </c>
      <c r="H1626" t="s">
        <v>33</v>
      </c>
      <c r="I1626" t="s">
        <v>34</v>
      </c>
      <c r="J1626" t="s">
        <v>47</v>
      </c>
      <c r="K1626" s="2">
        <v>29896</v>
      </c>
      <c r="L1626" t="s">
        <v>36</v>
      </c>
      <c r="M1626" t="s">
        <v>37</v>
      </c>
      <c r="N1626" t="s">
        <v>49</v>
      </c>
      <c r="O1626" t="s">
        <v>77</v>
      </c>
      <c r="P1626" t="s">
        <v>78</v>
      </c>
      <c r="Q1626">
        <v>4</v>
      </c>
      <c r="R1626" s="2">
        <v>44868</v>
      </c>
      <c r="S1626">
        <v>2</v>
      </c>
      <c r="T1626">
        <v>1</v>
      </c>
      <c r="U1626">
        <v>2</v>
      </c>
      <c r="V1626" s="1">
        <v>44951</v>
      </c>
      <c r="W1626" t="s">
        <v>68</v>
      </c>
      <c r="X1626" t="s">
        <v>51</v>
      </c>
      <c r="Y1626" t="s">
        <v>73</v>
      </c>
      <c r="Z1626">
        <v>3</v>
      </c>
      <c r="AA1626">
        <v>535.19000000000005</v>
      </c>
      <c r="AB1626">
        <v>39</v>
      </c>
    </row>
    <row r="1627" spans="1:28" x14ac:dyDescent="0.2">
      <c r="A1627">
        <v>2148</v>
      </c>
      <c r="B1627" s="1">
        <v>44407</v>
      </c>
      <c r="C1627" t="s">
        <v>28</v>
      </c>
      <c r="D1627" t="s">
        <v>54</v>
      </c>
      <c r="E1627" t="s">
        <v>30</v>
      </c>
      <c r="F1627" t="s">
        <v>55</v>
      </c>
      <c r="G1627" t="s">
        <v>45</v>
      </c>
      <c r="H1627" t="s">
        <v>55</v>
      </c>
      <c r="I1627" t="s">
        <v>34</v>
      </c>
      <c r="J1627" t="s">
        <v>89</v>
      </c>
      <c r="K1627" s="2">
        <v>18009</v>
      </c>
      <c r="L1627" t="s">
        <v>36</v>
      </c>
      <c r="M1627" t="s">
        <v>37</v>
      </c>
      <c r="N1627" t="s">
        <v>72</v>
      </c>
      <c r="O1627" t="s">
        <v>39</v>
      </c>
      <c r="P1627" t="s">
        <v>78</v>
      </c>
      <c r="Q1627">
        <v>5</v>
      </c>
      <c r="R1627" s="2">
        <v>45089</v>
      </c>
      <c r="S1627">
        <v>1</v>
      </c>
      <c r="T1627">
        <v>1</v>
      </c>
      <c r="U1627">
        <v>2</v>
      </c>
      <c r="V1627" s="1">
        <v>45032</v>
      </c>
      <c r="W1627" t="s">
        <v>92</v>
      </c>
      <c r="X1627" t="s">
        <v>42</v>
      </c>
      <c r="Y1627" t="s">
        <v>73</v>
      </c>
      <c r="Z1627">
        <v>1</v>
      </c>
      <c r="AA1627">
        <v>409.66</v>
      </c>
      <c r="AB1627">
        <v>72</v>
      </c>
    </row>
    <row r="1628" spans="1:28" x14ac:dyDescent="0.2">
      <c r="A1628">
        <v>2149</v>
      </c>
      <c r="B1628" s="1">
        <v>44318</v>
      </c>
      <c r="C1628" t="s">
        <v>28</v>
      </c>
      <c r="D1628" t="s">
        <v>94</v>
      </c>
      <c r="E1628" t="s">
        <v>108</v>
      </c>
      <c r="F1628" t="s">
        <v>55</v>
      </c>
      <c r="G1628" t="s">
        <v>45</v>
      </c>
      <c r="H1628" t="s">
        <v>33</v>
      </c>
      <c r="I1628" t="s">
        <v>34</v>
      </c>
      <c r="J1628" t="s">
        <v>96</v>
      </c>
      <c r="K1628" s="2">
        <v>35515</v>
      </c>
      <c r="L1628" t="s">
        <v>36</v>
      </c>
      <c r="M1628" t="s">
        <v>37</v>
      </c>
      <c r="N1628" t="s">
        <v>38</v>
      </c>
      <c r="O1628" t="s">
        <v>61</v>
      </c>
      <c r="P1628" t="s">
        <v>78</v>
      </c>
      <c r="Q1628">
        <v>5</v>
      </c>
      <c r="R1628" s="2">
        <v>45067</v>
      </c>
      <c r="S1628">
        <v>5</v>
      </c>
      <c r="T1628">
        <v>3</v>
      </c>
      <c r="U1628">
        <v>5</v>
      </c>
      <c r="V1628" s="1">
        <v>45054</v>
      </c>
      <c r="W1628" t="s">
        <v>68</v>
      </c>
      <c r="X1628" t="s">
        <v>42</v>
      </c>
      <c r="Y1628" t="s">
        <v>43</v>
      </c>
      <c r="Z1628">
        <v>2</v>
      </c>
      <c r="AA1628">
        <v>747.63</v>
      </c>
      <c r="AB1628">
        <v>24</v>
      </c>
    </row>
    <row r="1629" spans="1:28" x14ac:dyDescent="0.2">
      <c r="A1629">
        <v>2150</v>
      </c>
      <c r="B1629" s="1">
        <v>44947</v>
      </c>
      <c r="C1629" t="s">
        <v>28</v>
      </c>
      <c r="D1629" t="s">
        <v>85</v>
      </c>
      <c r="E1629" t="s">
        <v>30</v>
      </c>
      <c r="F1629" t="s">
        <v>55</v>
      </c>
      <c r="G1629" t="s">
        <v>56</v>
      </c>
      <c r="H1629" t="s">
        <v>55</v>
      </c>
      <c r="I1629" t="s">
        <v>34</v>
      </c>
      <c r="J1629" t="s">
        <v>89</v>
      </c>
      <c r="K1629" s="2">
        <v>26212</v>
      </c>
      <c r="L1629" t="s">
        <v>36</v>
      </c>
      <c r="M1629" t="s">
        <v>37</v>
      </c>
      <c r="N1629" t="s">
        <v>84</v>
      </c>
      <c r="O1629" t="s">
        <v>39</v>
      </c>
      <c r="P1629" t="s">
        <v>78</v>
      </c>
      <c r="Q1629">
        <v>5</v>
      </c>
      <c r="R1629" s="2">
        <v>44891</v>
      </c>
      <c r="S1629">
        <v>2</v>
      </c>
      <c r="T1629">
        <v>1</v>
      </c>
      <c r="U1629">
        <v>1</v>
      </c>
      <c r="V1629" s="1">
        <v>45141</v>
      </c>
      <c r="W1629" t="s">
        <v>62</v>
      </c>
      <c r="X1629" t="s">
        <v>51</v>
      </c>
      <c r="Y1629" t="s">
        <v>52</v>
      </c>
      <c r="Z1629">
        <v>3</v>
      </c>
      <c r="AA1629">
        <v>794.12</v>
      </c>
      <c r="AB1629">
        <v>52</v>
      </c>
    </row>
    <row r="1630" spans="1:28" x14ac:dyDescent="0.2">
      <c r="A1630">
        <v>2151</v>
      </c>
      <c r="B1630" s="1">
        <v>44216</v>
      </c>
      <c r="C1630" t="s">
        <v>28</v>
      </c>
      <c r="D1630" t="s">
        <v>64</v>
      </c>
      <c r="E1630" t="s">
        <v>30</v>
      </c>
      <c r="F1630" t="s">
        <v>31</v>
      </c>
      <c r="G1630" t="s">
        <v>56</v>
      </c>
      <c r="H1630" t="s">
        <v>33</v>
      </c>
      <c r="I1630" t="s">
        <v>34</v>
      </c>
      <c r="J1630" t="s">
        <v>97</v>
      </c>
      <c r="K1630" s="2">
        <v>18602</v>
      </c>
      <c r="L1630" t="s">
        <v>36</v>
      </c>
      <c r="M1630" t="s">
        <v>37</v>
      </c>
      <c r="N1630" t="s">
        <v>49</v>
      </c>
      <c r="O1630" t="s">
        <v>67</v>
      </c>
      <c r="P1630" t="s">
        <v>78</v>
      </c>
      <c r="Q1630">
        <v>1</v>
      </c>
      <c r="R1630" s="2">
        <v>45027</v>
      </c>
      <c r="S1630">
        <v>4</v>
      </c>
      <c r="T1630">
        <v>4</v>
      </c>
      <c r="U1630">
        <v>4</v>
      </c>
      <c r="V1630" s="1">
        <v>44995</v>
      </c>
      <c r="W1630" t="s">
        <v>41</v>
      </c>
      <c r="X1630" t="s">
        <v>51</v>
      </c>
      <c r="Y1630" t="s">
        <v>43</v>
      </c>
      <c r="Z1630">
        <v>3</v>
      </c>
      <c r="AA1630">
        <v>845.94</v>
      </c>
      <c r="AB1630">
        <v>71</v>
      </c>
    </row>
    <row r="1631" spans="1:28" x14ac:dyDescent="0.2">
      <c r="A1631">
        <v>2152</v>
      </c>
      <c r="B1631" s="1">
        <v>44111</v>
      </c>
      <c r="C1631" t="s">
        <v>28</v>
      </c>
      <c r="D1631" t="s">
        <v>74</v>
      </c>
      <c r="E1631" t="s">
        <v>30</v>
      </c>
      <c r="F1631" t="s">
        <v>46</v>
      </c>
      <c r="G1631" t="s">
        <v>32</v>
      </c>
      <c r="H1631" t="s">
        <v>33</v>
      </c>
      <c r="I1631" t="s">
        <v>34</v>
      </c>
      <c r="J1631" t="s">
        <v>79</v>
      </c>
      <c r="K1631" s="2">
        <v>20461</v>
      </c>
      <c r="L1631" t="s">
        <v>36</v>
      </c>
      <c r="M1631" t="s">
        <v>37</v>
      </c>
      <c r="N1631" t="s">
        <v>38</v>
      </c>
      <c r="O1631" t="s">
        <v>39</v>
      </c>
      <c r="P1631" t="s">
        <v>78</v>
      </c>
      <c r="Q1631">
        <v>2</v>
      </c>
      <c r="R1631" s="2">
        <v>45015</v>
      </c>
      <c r="S1631">
        <v>3</v>
      </c>
      <c r="T1631">
        <v>1</v>
      </c>
      <c r="U1631">
        <v>4</v>
      </c>
      <c r="V1631" s="1">
        <v>44849</v>
      </c>
      <c r="W1631" t="s">
        <v>92</v>
      </c>
      <c r="X1631" t="s">
        <v>51</v>
      </c>
      <c r="Y1631" t="s">
        <v>63</v>
      </c>
      <c r="Z1631">
        <v>4</v>
      </c>
      <c r="AA1631">
        <v>606.89</v>
      </c>
      <c r="AB1631">
        <v>64</v>
      </c>
    </row>
    <row r="1632" spans="1:28" x14ac:dyDescent="0.2">
      <c r="A1632">
        <v>2153</v>
      </c>
      <c r="B1632" s="1">
        <v>43631</v>
      </c>
      <c r="C1632" t="s">
        <v>28</v>
      </c>
      <c r="D1632" t="s">
        <v>69</v>
      </c>
      <c r="E1632" t="s">
        <v>30</v>
      </c>
      <c r="F1632" t="s">
        <v>31</v>
      </c>
      <c r="G1632" t="s">
        <v>32</v>
      </c>
      <c r="H1632" t="s">
        <v>46</v>
      </c>
      <c r="I1632" t="s">
        <v>34</v>
      </c>
      <c r="J1632" t="s">
        <v>96</v>
      </c>
      <c r="K1632" s="2">
        <v>16325</v>
      </c>
      <c r="L1632" t="s">
        <v>36</v>
      </c>
      <c r="M1632" t="s">
        <v>37</v>
      </c>
      <c r="N1632" t="s">
        <v>60</v>
      </c>
      <c r="O1632" t="s">
        <v>67</v>
      </c>
      <c r="P1632" t="s">
        <v>78</v>
      </c>
      <c r="Q1632">
        <v>4</v>
      </c>
      <c r="R1632" s="2">
        <v>44945</v>
      </c>
      <c r="S1632">
        <v>3</v>
      </c>
      <c r="T1632">
        <v>5</v>
      </c>
      <c r="U1632">
        <v>3</v>
      </c>
      <c r="V1632" s="1">
        <v>44981</v>
      </c>
      <c r="W1632" t="s">
        <v>50</v>
      </c>
      <c r="X1632" t="s">
        <v>42</v>
      </c>
      <c r="Y1632" t="s">
        <v>63</v>
      </c>
      <c r="Z1632">
        <v>2</v>
      </c>
      <c r="AA1632">
        <v>190.07</v>
      </c>
      <c r="AB1632">
        <v>75</v>
      </c>
    </row>
    <row r="1633" spans="1:28" x14ac:dyDescent="0.2">
      <c r="A1633">
        <v>2154</v>
      </c>
      <c r="B1633" s="1">
        <v>44679</v>
      </c>
      <c r="C1633" t="s">
        <v>28</v>
      </c>
      <c r="D1633" t="s">
        <v>29</v>
      </c>
      <c r="E1633" t="s">
        <v>30</v>
      </c>
      <c r="F1633" t="s">
        <v>46</v>
      </c>
      <c r="G1633" t="s">
        <v>45</v>
      </c>
      <c r="H1633" t="s">
        <v>33</v>
      </c>
      <c r="I1633" t="s">
        <v>34</v>
      </c>
      <c r="J1633" t="s">
        <v>70</v>
      </c>
      <c r="K1633" s="2">
        <v>27645</v>
      </c>
      <c r="L1633" t="s">
        <v>36</v>
      </c>
      <c r="M1633" t="s">
        <v>48</v>
      </c>
      <c r="N1633" t="s">
        <v>60</v>
      </c>
      <c r="O1633" t="s">
        <v>67</v>
      </c>
      <c r="P1633" t="s">
        <v>78</v>
      </c>
      <c r="Q1633">
        <v>4</v>
      </c>
      <c r="R1633" s="2">
        <v>45064</v>
      </c>
      <c r="S1633">
        <v>1</v>
      </c>
      <c r="T1633">
        <v>3</v>
      </c>
      <c r="U1633">
        <v>2</v>
      </c>
      <c r="V1633" s="1">
        <v>44996</v>
      </c>
      <c r="W1633" t="s">
        <v>62</v>
      </c>
      <c r="X1633" t="s">
        <v>51</v>
      </c>
      <c r="Y1633" t="s">
        <v>43</v>
      </c>
      <c r="Z1633">
        <v>4</v>
      </c>
      <c r="AA1633">
        <v>795.38</v>
      </c>
      <c r="AB1633">
        <v>47</v>
      </c>
    </row>
    <row r="1634" spans="1:28" x14ac:dyDescent="0.2">
      <c r="A1634">
        <v>2155</v>
      </c>
      <c r="B1634" s="1">
        <v>43645</v>
      </c>
      <c r="C1634" t="s">
        <v>28</v>
      </c>
      <c r="D1634" t="s">
        <v>44</v>
      </c>
      <c r="E1634" t="s">
        <v>108</v>
      </c>
      <c r="F1634" t="s">
        <v>46</v>
      </c>
      <c r="G1634" t="s">
        <v>56</v>
      </c>
      <c r="H1634" t="s">
        <v>55</v>
      </c>
      <c r="I1634" t="s">
        <v>34</v>
      </c>
      <c r="J1634" t="s">
        <v>35</v>
      </c>
      <c r="K1634" s="2">
        <v>15396</v>
      </c>
      <c r="L1634" t="s">
        <v>36</v>
      </c>
      <c r="M1634" t="s">
        <v>37</v>
      </c>
      <c r="N1634" t="s">
        <v>60</v>
      </c>
      <c r="O1634" t="s">
        <v>61</v>
      </c>
      <c r="P1634" t="s">
        <v>78</v>
      </c>
      <c r="Q1634">
        <v>4</v>
      </c>
      <c r="R1634" s="2">
        <v>44998</v>
      </c>
      <c r="S1634">
        <v>1</v>
      </c>
      <c r="T1634">
        <v>2</v>
      </c>
      <c r="U1634">
        <v>4</v>
      </c>
      <c r="V1634" s="1">
        <v>45006</v>
      </c>
      <c r="W1634" t="s">
        <v>50</v>
      </c>
      <c r="X1634" t="s">
        <v>42</v>
      </c>
      <c r="Y1634" t="s">
        <v>73</v>
      </c>
      <c r="Z1634">
        <v>1</v>
      </c>
      <c r="AA1634">
        <v>972.82</v>
      </c>
      <c r="AB1634">
        <v>77</v>
      </c>
    </row>
    <row r="1635" spans="1:28" x14ac:dyDescent="0.2">
      <c r="A1635">
        <v>2156</v>
      </c>
      <c r="B1635" s="1">
        <v>43354</v>
      </c>
      <c r="C1635" t="s">
        <v>28</v>
      </c>
      <c r="D1635" t="s">
        <v>87</v>
      </c>
      <c r="E1635" t="s">
        <v>30</v>
      </c>
      <c r="F1635" t="s">
        <v>46</v>
      </c>
      <c r="G1635" t="s">
        <v>56</v>
      </c>
      <c r="H1635" t="s">
        <v>33</v>
      </c>
      <c r="I1635" t="s">
        <v>34</v>
      </c>
      <c r="J1635" t="s">
        <v>82</v>
      </c>
      <c r="K1635" s="2">
        <v>32537</v>
      </c>
      <c r="L1635" t="s">
        <v>36</v>
      </c>
      <c r="M1635" t="s">
        <v>37</v>
      </c>
      <c r="N1635" t="s">
        <v>72</v>
      </c>
      <c r="O1635" t="s">
        <v>39</v>
      </c>
      <c r="P1635" t="s">
        <v>78</v>
      </c>
      <c r="Q1635">
        <v>3</v>
      </c>
      <c r="R1635" s="2">
        <v>44988</v>
      </c>
      <c r="S1635">
        <v>5</v>
      </c>
      <c r="T1635">
        <v>1</v>
      </c>
      <c r="U1635">
        <v>3</v>
      </c>
      <c r="V1635" s="1">
        <v>44945</v>
      </c>
      <c r="W1635" t="s">
        <v>50</v>
      </c>
      <c r="X1635" t="s">
        <v>42</v>
      </c>
      <c r="Y1635" t="s">
        <v>43</v>
      </c>
      <c r="Z1635">
        <v>2</v>
      </c>
      <c r="AA1635">
        <v>763.44</v>
      </c>
      <c r="AB1635">
        <v>29</v>
      </c>
    </row>
    <row r="1636" spans="1:28" x14ac:dyDescent="0.2">
      <c r="A1636">
        <v>2157</v>
      </c>
      <c r="B1636" s="1">
        <v>43966</v>
      </c>
      <c r="C1636" t="s">
        <v>28</v>
      </c>
      <c r="D1636" t="s">
        <v>81</v>
      </c>
      <c r="E1636" t="s">
        <v>30</v>
      </c>
      <c r="F1636" t="s">
        <v>31</v>
      </c>
      <c r="G1636" t="s">
        <v>45</v>
      </c>
      <c r="H1636" t="s">
        <v>55</v>
      </c>
      <c r="I1636" t="s">
        <v>34</v>
      </c>
      <c r="J1636" t="s">
        <v>58</v>
      </c>
      <c r="K1636" s="2">
        <v>18296</v>
      </c>
      <c r="L1636" t="s">
        <v>36</v>
      </c>
      <c r="M1636" t="s">
        <v>37</v>
      </c>
      <c r="N1636" t="s">
        <v>84</v>
      </c>
      <c r="O1636" t="s">
        <v>67</v>
      </c>
      <c r="P1636" t="s">
        <v>78</v>
      </c>
      <c r="Q1636">
        <v>4</v>
      </c>
      <c r="R1636" s="2">
        <v>44905</v>
      </c>
      <c r="S1636">
        <v>4</v>
      </c>
      <c r="T1636">
        <v>2</v>
      </c>
      <c r="U1636">
        <v>5</v>
      </c>
      <c r="V1636" s="1">
        <v>44836</v>
      </c>
      <c r="W1636" t="s">
        <v>41</v>
      </c>
      <c r="X1636" t="s">
        <v>42</v>
      </c>
      <c r="Y1636" t="s">
        <v>52</v>
      </c>
      <c r="Z1636">
        <v>1</v>
      </c>
      <c r="AA1636">
        <v>152.69</v>
      </c>
      <c r="AB1636">
        <v>70</v>
      </c>
    </row>
    <row r="1637" spans="1:28" x14ac:dyDescent="0.2">
      <c r="A1637">
        <v>2158</v>
      </c>
      <c r="B1637" s="1">
        <v>44980</v>
      </c>
      <c r="C1637" t="s">
        <v>28</v>
      </c>
      <c r="D1637" t="s">
        <v>54</v>
      </c>
      <c r="E1637" t="s">
        <v>30</v>
      </c>
      <c r="F1637" t="s">
        <v>55</v>
      </c>
      <c r="G1637" t="s">
        <v>56</v>
      </c>
      <c r="H1637" t="s">
        <v>55</v>
      </c>
      <c r="I1637" t="s">
        <v>34</v>
      </c>
      <c r="J1637" t="s">
        <v>70</v>
      </c>
      <c r="K1637" s="2">
        <v>22834</v>
      </c>
      <c r="L1637" t="s">
        <v>36</v>
      </c>
      <c r="M1637" t="s">
        <v>37</v>
      </c>
      <c r="N1637" t="s">
        <v>38</v>
      </c>
      <c r="O1637" t="s">
        <v>67</v>
      </c>
      <c r="P1637" t="s">
        <v>78</v>
      </c>
      <c r="Q1637">
        <v>3</v>
      </c>
      <c r="R1637" s="2">
        <v>44930</v>
      </c>
      <c r="S1637">
        <v>2</v>
      </c>
      <c r="T1637">
        <v>4</v>
      </c>
      <c r="U1637">
        <v>3</v>
      </c>
      <c r="V1637" s="1">
        <v>45022</v>
      </c>
      <c r="W1637" t="s">
        <v>92</v>
      </c>
      <c r="X1637" t="s">
        <v>51</v>
      </c>
      <c r="Y1637" t="s">
        <v>43</v>
      </c>
      <c r="Z1637">
        <v>1</v>
      </c>
      <c r="AA1637">
        <v>989.3</v>
      </c>
      <c r="AB1637">
        <v>61</v>
      </c>
    </row>
    <row r="1638" spans="1:28" x14ac:dyDescent="0.2">
      <c r="A1638">
        <v>2159</v>
      </c>
      <c r="B1638" s="1">
        <v>44278</v>
      </c>
      <c r="C1638" t="s">
        <v>28</v>
      </c>
      <c r="D1638" t="s">
        <v>94</v>
      </c>
      <c r="E1638" t="s">
        <v>30</v>
      </c>
      <c r="F1638" t="s">
        <v>55</v>
      </c>
      <c r="G1638" t="s">
        <v>32</v>
      </c>
      <c r="H1638" t="s">
        <v>33</v>
      </c>
      <c r="I1638" t="s">
        <v>34</v>
      </c>
      <c r="J1638" t="s">
        <v>47</v>
      </c>
      <c r="K1638" s="2">
        <v>30467</v>
      </c>
      <c r="L1638" t="s">
        <v>36</v>
      </c>
      <c r="M1638" t="s">
        <v>37</v>
      </c>
      <c r="N1638" t="s">
        <v>38</v>
      </c>
      <c r="O1638" t="s">
        <v>39</v>
      </c>
      <c r="P1638" t="s">
        <v>78</v>
      </c>
      <c r="Q1638">
        <v>5</v>
      </c>
      <c r="R1638" s="2">
        <v>44824</v>
      </c>
      <c r="S1638">
        <v>1</v>
      </c>
      <c r="T1638">
        <v>1</v>
      </c>
      <c r="U1638">
        <v>1</v>
      </c>
      <c r="V1638" s="1">
        <v>44950</v>
      </c>
      <c r="W1638" t="s">
        <v>50</v>
      </c>
      <c r="X1638" t="s">
        <v>51</v>
      </c>
      <c r="Y1638" t="s">
        <v>63</v>
      </c>
      <c r="Z1638">
        <v>3</v>
      </c>
      <c r="AA1638">
        <v>833.52</v>
      </c>
      <c r="AB1638">
        <v>38</v>
      </c>
    </row>
    <row r="1639" spans="1:28" x14ac:dyDescent="0.2">
      <c r="A1639">
        <v>2160</v>
      </c>
      <c r="B1639" s="1">
        <v>44872</v>
      </c>
      <c r="C1639" t="s">
        <v>28</v>
      </c>
      <c r="D1639" t="s">
        <v>85</v>
      </c>
      <c r="E1639" t="s">
        <v>30</v>
      </c>
      <c r="F1639" t="s">
        <v>55</v>
      </c>
      <c r="G1639" t="s">
        <v>45</v>
      </c>
      <c r="H1639" t="s">
        <v>46</v>
      </c>
      <c r="I1639" t="s">
        <v>34</v>
      </c>
      <c r="J1639" t="s">
        <v>65</v>
      </c>
      <c r="K1639" s="2">
        <v>32285</v>
      </c>
      <c r="L1639" t="s">
        <v>36</v>
      </c>
      <c r="M1639" t="s">
        <v>37</v>
      </c>
      <c r="N1639" t="s">
        <v>60</v>
      </c>
      <c r="O1639" t="s">
        <v>67</v>
      </c>
      <c r="P1639" t="s">
        <v>78</v>
      </c>
      <c r="Q1639">
        <v>3</v>
      </c>
      <c r="R1639" s="2">
        <v>44946</v>
      </c>
      <c r="S1639">
        <v>1</v>
      </c>
      <c r="T1639">
        <v>1</v>
      </c>
      <c r="U1639">
        <v>5</v>
      </c>
      <c r="V1639" s="1">
        <v>45093</v>
      </c>
      <c r="W1639" t="s">
        <v>50</v>
      </c>
      <c r="X1639" t="s">
        <v>42</v>
      </c>
      <c r="Y1639" t="s">
        <v>63</v>
      </c>
      <c r="Z1639">
        <v>5</v>
      </c>
      <c r="AA1639">
        <v>329.65</v>
      </c>
      <c r="AB1639">
        <v>34</v>
      </c>
    </row>
    <row r="1640" spans="1:28" x14ac:dyDescent="0.2">
      <c r="A1640">
        <v>2161</v>
      </c>
      <c r="B1640" s="1">
        <v>44335</v>
      </c>
      <c r="C1640" t="s">
        <v>28</v>
      </c>
      <c r="D1640" t="s">
        <v>64</v>
      </c>
      <c r="E1640" t="s">
        <v>30</v>
      </c>
      <c r="F1640" t="s">
        <v>31</v>
      </c>
      <c r="G1640" t="s">
        <v>32</v>
      </c>
      <c r="H1640" t="s">
        <v>55</v>
      </c>
      <c r="I1640" t="s">
        <v>34</v>
      </c>
      <c r="J1640" t="s">
        <v>96</v>
      </c>
      <c r="K1640" s="2">
        <v>18774</v>
      </c>
      <c r="L1640" t="s">
        <v>36</v>
      </c>
      <c r="M1640" t="s">
        <v>37</v>
      </c>
      <c r="N1640" t="s">
        <v>84</v>
      </c>
      <c r="O1640" t="s">
        <v>61</v>
      </c>
      <c r="P1640" t="s">
        <v>78</v>
      </c>
      <c r="Q1640">
        <v>3</v>
      </c>
      <c r="R1640" s="2">
        <v>45073</v>
      </c>
      <c r="S1640">
        <v>1</v>
      </c>
      <c r="T1640">
        <v>4</v>
      </c>
      <c r="U1640">
        <v>3</v>
      </c>
      <c r="V1640" s="1">
        <v>44833</v>
      </c>
      <c r="W1640" t="s">
        <v>92</v>
      </c>
      <c r="X1640" t="s">
        <v>42</v>
      </c>
      <c r="Y1640" t="s">
        <v>63</v>
      </c>
      <c r="Z1640">
        <v>1</v>
      </c>
      <c r="AA1640">
        <v>443.04</v>
      </c>
      <c r="AB1640">
        <v>70</v>
      </c>
    </row>
    <row r="1641" spans="1:28" x14ac:dyDescent="0.2">
      <c r="A1641">
        <v>2162</v>
      </c>
      <c r="B1641" s="1">
        <v>44198</v>
      </c>
      <c r="C1641" t="s">
        <v>106</v>
      </c>
      <c r="D1641" t="s">
        <v>74</v>
      </c>
      <c r="E1641" t="s">
        <v>30</v>
      </c>
      <c r="F1641" t="s">
        <v>55</v>
      </c>
      <c r="G1641" t="s">
        <v>56</v>
      </c>
      <c r="H1641" t="s">
        <v>33</v>
      </c>
      <c r="I1641" t="s">
        <v>34</v>
      </c>
      <c r="J1641" t="s">
        <v>96</v>
      </c>
      <c r="K1641" s="2">
        <v>25663</v>
      </c>
      <c r="L1641" t="s">
        <v>36</v>
      </c>
      <c r="M1641" t="s">
        <v>37</v>
      </c>
      <c r="N1641" t="s">
        <v>84</v>
      </c>
      <c r="O1641" t="s">
        <v>67</v>
      </c>
      <c r="P1641" t="s">
        <v>78</v>
      </c>
      <c r="Q1641">
        <v>3</v>
      </c>
      <c r="R1641" s="2">
        <v>44974</v>
      </c>
      <c r="S1641">
        <v>3</v>
      </c>
      <c r="T1641">
        <v>5</v>
      </c>
      <c r="U1641">
        <v>4</v>
      </c>
      <c r="V1641" s="1">
        <v>45080</v>
      </c>
      <c r="W1641" t="s">
        <v>62</v>
      </c>
      <c r="X1641" t="s">
        <v>51</v>
      </c>
      <c r="Y1641" t="s">
        <v>52</v>
      </c>
      <c r="Z1641">
        <v>5</v>
      </c>
      <c r="AA1641">
        <v>136.81</v>
      </c>
      <c r="AB1641">
        <v>51</v>
      </c>
    </row>
    <row r="1642" spans="1:28" x14ac:dyDescent="0.2">
      <c r="A1642">
        <v>2163</v>
      </c>
      <c r="B1642" s="1">
        <v>43550</v>
      </c>
      <c r="C1642" t="s">
        <v>106</v>
      </c>
      <c r="D1642" t="s">
        <v>81</v>
      </c>
      <c r="E1642" t="s">
        <v>30</v>
      </c>
      <c r="F1642" t="s">
        <v>31</v>
      </c>
      <c r="G1642" t="s">
        <v>56</v>
      </c>
      <c r="H1642" t="s">
        <v>55</v>
      </c>
      <c r="I1642" t="s">
        <v>34</v>
      </c>
      <c r="J1642" t="s">
        <v>58</v>
      </c>
      <c r="K1642" s="2">
        <v>24430</v>
      </c>
      <c r="L1642" t="s">
        <v>36</v>
      </c>
      <c r="M1642" t="s">
        <v>37</v>
      </c>
      <c r="N1642" t="s">
        <v>38</v>
      </c>
      <c r="O1642" t="s">
        <v>67</v>
      </c>
      <c r="P1642" t="s">
        <v>78</v>
      </c>
      <c r="Q1642">
        <v>1</v>
      </c>
      <c r="R1642" s="2">
        <v>44938</v>
      </c>
      <c r="S1642">
        <v>5</v>
      </c>
      <c r="T1642">
        <v>5</v>
      </c>
      <c r="U1642">
        <v>4</v>
      </c>
      <c r="V1642" s="1">
        <v>44945</v>
      </c>
      <c r="W1642" t="s">
        <v>92</v>
      </c>
      <c r="X1642" t="s">
        <v>42</v>
      </c>
      <c r="Y1642" t="s">
        <v>43</v>
      </c>
      <c r="Z1642">
        <v>3</v>
      </c>
      <c r="AA1642">
        <v>665.2</v>
      </c>
      <c r="AB1642">
        <v>53</v>
      </c>
    </row>
    <row r="1643" spans="1:28" x14ac:dyDescent="0.2">
      <c r="A1643">
        <v>2164</v>
      </c>
      <c r="B1643" s="1">
        <v>44102</v>
      </c>
      <c r="C1643" t="s">
        <v>106</v>
      </c>
      <c r="D1643" t="s">
        <v>54</v>
      </c>
      <c r="E1643" t="s">
        <v>30</v>
      </c>
      <c r="F1643" t="s">
        <v>46</v>
      </c>
      <c r="G1643" t="s">
        <v>32</v>
      </c>
      <c r="H1643" t="s">
        <v>55</v>
      </c>
      <c r="I1643" t="s">
        <v>34</v>
      </c>
      <c r="J1643" t="s">
        <v>75</v>
      </c>
      <c r="K1643" s="2">
        <v>18471</v>
      </c>
      <c r="L1643" t="s">
        <v>36</v>
      </c>
      <c r="M1643" t="s">
        <v>37</v>
      </c>
      <c r="N1643" t="s">
        <v>72</v>
      </c>
      <c r="O1643" t="s">
        <v>77</v>
      </c>
      <c r="P1643" t="s">
        <v>78</v>
      </c>
      <c r="Q1643">
        <v>3</v>
      </c>
      <c r="R1643" s="2">
        <v>44904</v>
      </c>
      <c r="S1643">
        <v>3</v>
      </c>
      <c r="T1643">
        <v>1</v>
      </c>
      <c r="U1643">
        <v>3</v>
      </c>
      <c r="V1643" s="1">
        <v>45088</v>
      </c>
      <c r="W1643" t="s">
        <v>68</v>
      </c>
      <c r="X1643" t="s">
        <v>42</v>
      </c>
      <c r="Y1643" t="s">
        <v>52</v>
      </c>
      <c r="Z1643">
        <v>2</v>
      </c>
      <c r="AA1643">
        <v>978.55</v>
      </c>
      <c r="AB1643">
        <v>70</v>
      </c>
    </row>
    <row r="1644" spans="1:28" x14ac:dyDescent="0.2">
      <c r="A1644">
        <v>2165</v>
      </c>
      <c r="B1644" s="1">
        <v>43540</v>
      </c>
      <c r="C1644" t="s">
        <v>106</v>
      </c>
      <c r="D1644" t="s">
        <v>69</v>
      </c>
      <c r="E1644" t="s">
        <v>30</v>
      </c>
      <c r="F1644" t="s">
        <v>31</v>
      </c>
      <c r="G1644" t="s">
        <v>32</v>
      </c>
      <c r="H1644" t="s">
        <v>55</v>
      </c>
      <c r="I1644" t="s">
        <v>34</v>
      </c>
      <c r="J1644" t="s">
        <v>70</v>
      </c>
      <c r="K1644" s="2">
        <v>17569</v>
      </c>
      <c r="L1644" t="s">
        <v>36</v>
      </c>
      <c r="M1644" t="s">
        <v>37</v>
      </c>
      <c r="N1644" t="s">
        <v>84</v>
      </c>
      <c r="O1644" t="s">
        <v>77</v>
      </c>
      <c r="P1644" t="s">
        <v>78</v>
      </c>
      <c r="Q1644">
        <v>3</v>
      </c>
      <c r="R1644" s="2">
        <v>44862</v>
      </c>
      <c r="S1644">
        <v>5</v>
      </c>
      <c r="T1644">
        <v>3</v>
      </c>
      <c r="U1644">
        <v>3</v>
      </c>
      <c r="V1644" s="1">
        <v>45130</v>
      </c>
      <c r="W1644" t="s">
        <v>62</v>
      </c>
      <c r="X1644" t="s">
        <v>51</v>
      </c>
      <c r="Y1644" t="s">
        <v>43</v>
      </c>
      <c r="Z1644">
        <v>4</v>
      </c>
      <c r="AA1644">
        <v>652.57000000000005</v>
      </c>
      <c r="AB1644">
        <v>71</v>
      </c>
    </row>
    <row r="1645" spans="1:28" x14ac:dyDescent="0.2">
      <c r="A1645">
        <v>2166</v>
      </c>
      <c r="B1645" s="1">
        <v>43544</v>
      </c>
      <c r="C1645" t="s">
        <v>106</v>
      </c>
      <c r="D1645" t="s">
        <v>29</v>
      </c>
      <c r="E1645" t="s">
        <v>30</v>
      </c>
      <c r="F1645" t="s">
        <v>31</v>
      </c>
      <c r="G1645" t="s">
        <v>56</v>
      </c>
      <c r="H1645" t="s">
        <v>46</v>
      </c>
      <c r="I1645" t="s">
        <v>34</v>
      </c>
      <c r="J1645" t="s">
        <v>70</v>
      </c>
      <c r="K1645" s="2">
        <v>35682</v>
      </c>
      <c r="L1645" t="s">
        <v>36</v>
      </c>
      <c r="M1645" t="s">
        <v>37</v>
      </c>
      <c r="N1645" t="s">
        <v>84</v>
      </c>
      <c r="O1645" t="s">
        <v>39</v>
      </c>
      <c r="P1645" t="s">
        <v>78</v>
      </c>
      <c r="Q1645">
        <v>3</v>
      </c>
      <c r="R1645" s="2">
        <v>44942</v>
      </c>
      <c r="S1645">
        <v>2</v>
      </c>
      <c r="T1645">
        <v>2</v>
      </c>
      <c r="U1645">
        <v>1</v>
      </c>
      <c r="V1645" s="1">
        <v>44836</v>
      </c>
      <c r="W1645" t="s">
        <v>68</v>
      </c>
      <c r="X1645" t="s">
        <v>51</v>
      </c>
      <c r="Y1645" t="s">
        <v>73</v>
      </c>
      <c r="Z1645">
        <v>2</v>
      </c>
      <c r="AA1645">
        <v>953.59</v>
      </c>
      <c r="AB1645">
        <v>22</v>
      </c>
    </row>
    <row r="1646" spans="1:28" x14ac:dyDescent="0.2">
      <c r="A1646">
        <v>2168</v>
      </c>
      <c r="B1646" s="1">
        <v>43320</v>
      </c>
      <c r="C1646" t="s">
        <v>106</v>
      </c>
      <c r="D1646" t="s">
        <v>44</v>
      </c>
      <c r="E1646" t="s">
        <v>30</v>
      </c>
      <c r="F1646" t="s">
        <v>46</v>
      </c>
      <c r="G1646" t="s">
        <v>56</v>
      </c>
      <c r="H1646" t="s">
        <v>55</v>
      </c>
      <c r="I1646" t="s">
        <v>34</v>
      </c>
      <c r="J1646" t="s">
        <v>70</v>
      </c>
      <c r="K1646" s="2">
        <v>34715</v>
      </c>
      <c r="L1646" t="s">
        <v>36</v>
      </c>
      <c r="M1646" t="s">
        <v>37</v>
      </c>
      <c r="N1646" t="s">
        <v>72</v>
      </c>
      <c r="O1646" t="s">
        <v>77</v>
      </c>
      <c r="P1646" t="s">
        <v>78</v>
      </c>
      <c r="Q1646">
        <v>3</v>
      </c>
      <c r="R1646" s="2">
        <v>44934</v>
      </c>
      <c r="S1646">
        <v>5</v>
      </c>
      <c r="T1646">
        <v>1</v>
      </c>
      <c r="U1646">
        <v>4</v>
      </c>
      <c r="V1646" s="1">
        <v>45139</v>
      </c>
      <c r="W1646" t="s">
        <v>50</v>
      </c>
      <c r="X1646" t="s">
        <v>42</v>
      </c>
      <c r="Y1646" t="s">
        <v>52</v>
      </c>
      <c r="Z1646">
        <v>2</v>
      </c>
      <c r="AA1646">
        <v>851.51</v>
      </c>
      <c r="AB1646">
        <v>23</v>
      </c>
    </row>
    <row r="1647" spans="1:28" x14ac:dyDescent="0.2">
      <c r="A1647">
        <v>2169</v>
      </c>
      <c r="B1647" s="1">
        <v>44016</v>
      </c>
      <c r="C1647" t="s">
        <v>106</v>
      </c>
      <c r="D1647" t="s">
        <v>87</v>
      </c>
      <c r="E1647" t="s">
        <v>30</v>
      </c>
      <c r="F1647" t="s">
        <v>55</v>
      </c>
      <c r="G1647" t="s">
        <v>45</v>
      </c>
      <c r="H1647" t="s">
        <v>55</v>
      </c>
      <c r="I1647" t="s">
        <v>34</v>
      </c>
      <c r="J1647" t="s">
        <v>65</v>
      </c>
      <c r="K1647" s="2">
        <v>35059</v>
      </c>
      <c r="L1647" t="s">
        <v>36</v>
      </c>
      <c r="M1647" t="s">
        <v>37</v>
      </c>
      <c r="N1647" t="s">
        <v>72</v>
      </c>
      <c r="O1647" t="s">
        <v>39</v>
      </c>
      <c r="P1647" t="s">
        <v>78</v>
      </c>
      <c r="Q1647">
        <v>3</v>
      </c>
      <c r="R1647" s="2">
        <v>45034</v>
      </c>
      <c r="S1647">
        <v>5</v>
      </c>
      <c r="T1647">
        <v>2</v>
      </c>
      <c r="U1647">
        <v>4</v>
      </c>
      <c r="V1647" s="1">
        <v>45002</v>
      </c>
      <c r="W1647" t="s">
        <v>50</v>
      </c>
      <c r="X1647" t="s">
        <v>51</v>
      </c>
      <c r="Y1647" t="s">
        <v>43</v>
      </c>
      <c r="Z1647">
        <v>1</v>
      </c>
      <c r="AA1647">
        <v>200.13</v>
      </c>
      <c r="AB1647">
        <v>25</v>
      </c>
    </row>
    <row r="1648" spans="1:28" x14ac:dyDescent="0.2">
      <c r="A1648">
        <v>2170</v>
      </c>
      <c r="B1648" s="1">
        <v>44955</v>
      </c>
      <c r="C1648" t="s">
        <v>28</v>
      </c>
      <c r="D1648" t="s">
        <v>54</v>
      </c>
      <c r="E1648" t="s">
        <v>30</v>
      </c>
      <c r="F1648" t="s">
        <v>55</v>
      </c>
      <c r="G1648" t="s">
        <v>32</v>
      </c>
      <c r="H1648" t="s">
        <v>46</v>
      </c>
      <c r="I1648" t="s">
        <v>34</v>
      </c>
      <c r="J1648" t="s">
        <v>101</v>
      </c>
      <c r="K1648" s="2">
        <v>18431</v>
      </c>
      <c r="L1648" t="s">
        <v>36</v>
      </c>
      <c r="M1648" t="s">
        <v>37</v>
      </c>
      <c r="N1648" t="s">
        <v>72</v>
      </c>
      <c r="O1648" t="s">
        <v>39</v>
      </c>
      <c r="P1648" t="s">
        <v>78</v>
      </c>
      <c r="Q1648">
        <v>3</v>
      </c>
      <c r="R1648" s="2">
        <v>44956</v>
      </c>
      <c r="S1648">
        <v>1</v>
      </c>
      <c r="T1648">
        <v>5</v>
      </c>
      <c r="U1648">
        <v>2</v>
      </c>
      <c r="V1648" s="1">
        <v>44999</v>
      </c>
      <c r="W1648" t="s">
        <v>41</v>
      </c>
      <c r="X1648" t="s">
        <v>51</v>
      </c>
      <c r="Y1648" t="s">
        <v>63</v>
      </c>
      <c r="Z1648">
        <v>2</v>
      </c>
      <c r="AA1648">
        <v>347.4</v>
      </c>
      <c r="AB1648">
        <v>73</v>
      </c>
    </row>
    <row r="1649" spans="1:28" x14ac:dyDescent="0.2">
      <c r="A1649">
        <v>2171</v>
      </c>
      <c r="B1649" s="1">
        <v>44417</v>
      </c>
      <c r="C1649" t="s">
        <v>28</v>
      </c>
      <c r="D1649" t="s">
        <v>69</v>
      </c>
      <c r="E1649" t="s">
        <v>30</v>
      </c>
      <c r="F1649" t="s">
        <v>55</v>
      </c>
      <c r="G1649" t="s">
        <v>45</v>
      </c>
      <c r="H1649" t="s">
        <v>46</v>
      </c>
      <c r="I1649" t="s">
        <v>34</v>
      </c>
      <c r="J1649" t="s">
        <v>82</v>
      </c>
      <c r="K1649" s="2">
        <v>33645</v>
      </c>
      <c r="L1649" t="s">
        <v>36</v>
      </c>
      <c r="M1649" t="s">
        <v>37</v>
      </c>
      <c r="N1649" t="s">
        <v>49</v>
      </c>
      <c r="O1649" t="s">
        <v>67</v>
      </c>
      <c r="P1649" t="s">
        <v>78</v>
      </c>
      <c r="Q1649">
        <v>3</v>
      </c>
      <c r="R1649" s="2">
        <v>45001</v>
      </c>
      <c r="S1649">
        <v>1</v>
      </c>
      <c r="T1649">
        <v>3</v>
      </c>
      <c r="U1649">
        <v>2</v>
      </c>
      <c r="V1649" s="1">
        <v>45096</v>
      </c>
      <c r="W1649" t="s">
        <v>92</v>
      </c>
      <c r="X1649" t="s">
        <v>51</v>
      </c>
      <c r="Y1649" t="s">
        <v>73</v>
      </c>
      <c r="Z1649">
        <v>3</v>
      </c>
      <c r="AA1649">
        <v>243.07</v>
      </c>
      <c r="AB1649">
        <v>29</v>
      </c>
    </row>
    <row r="1650" spans="1:28" x14ac:dyDescent="0.2">
      <c r="A1650">
        <v>2172</v>
      </c>
      <c r="B1650" s="1">
        <v>44332</v>
      </c>
      <c r="C1650" t="s">
        <v>28</v>
      </c>
      <c r="D1650" t="s">
        <v>29</v>
      </c>
      <c r="E1650" t="s">
        <v>108</v>
      </c>
      <c r="F1650" t="s">
        <v>46</v>
      </c>
      <c r="G1650" t="s">
        <v>32</v>
      </c>
      <c r="H1650" t="s">
        <v>33</v>
      </c>
      <c r="I1650" t="s">
        <v>34</v>
      </c>
      <c r="J1650" t="s">
        <v>70</v>
      </c>
      <c r="K1650" s="2">
        <v>34486</v>
      </c>
      <c r="L1650" t="s">
        <v>36</v>
      </c>
      <c r="M1650" t="s">
        <v>37</v>
      </c>
      <c r="N1650" t="s">
        <v>60</v>
      </c>
      <c r="O1650" t="s">
        <v>61</v>
      </c>
      <c r="P1650" t="s">
        <v>78</v>
      </c>
      <c r="Q1650">
        <v>3</v>
      </c>
      <c r="R1650" s="2">
        <v>45002</v>
      </c>
      <c r="S1650">
        <v>2</v>
      </c>
      <c r="T1650">
        <v>4</v>
      </c>
      <c r="U1650">
        <v>1</v>
      </c>
      <c r="V1650" s="1">
        <v>45100</v>
      </c>
      <c r="W1650" t="s">
        <v>62</v>
      </c>
      <c r="X1650" t="s">
        <v>51</v>
      </c>
      <c r="Y1650" t="s">
        <v>52</v>
      </c>
      <c r="Z1650">
        <v>2</v>
      </c>
      <c r="AA1650">
        <v>198.08</v>
      </c>
      <c r="AB1650">
        <v>27</v>
      </c>
    </row>
    <row r="1651" spans="1:28" x14ac:dyDescent="0.2">
      <c r="A1651">
        <v>2173</v>
      </c>
      <c r="B1651" s="1">
        <v>44422</v>
      </c>
      <c r="C1651" t="s">
        <v>28</v>
      </c>
      <c r="D1651" t="s">
        <v>85</v>
      </c>
      <c r="E1651" t="s">
        <v>108</v>
      </c>
      <c r="F1651" t="s">
        <v>31</v>
      </c>
      <c r="G1651" t="s">
        <v>45</v>
      </c>
      <c r="H1651" t="s">
        <v>46</v>
      </c>
      <c r="I1651" t="s">
        <v>34</v>
      </c>
      <c r="J1651" t="s">
        <v>79</v>
      </c>
      <c r="K1651" s="2">
        <v>32054</v>
      </c>
      <c r="L1651" t="s">
        <v>36</v>
      </c>
      <c r="M1651" t="s">
        <v>37</v>
      </c>
      <c r="N1651" t="s">
        <v>84</v>
      </c>
      <c r="O1651" t="s">
        <v>77</v>
      </c>
      <c r="P1651" t="s">
        <v>78</v>
      </c>
      <c r="Q1651">
        <v>3</v>
      </c>
      <c r="R1651" s="2">
        <v>44970</v>
      </c>
      <c r="S1651">
        <v>1</v>
      </c>
      <c r="T1651">
        <v>4</v>
      </c>
      <c r="U1651">
        <v>3</v>
      </c>
      <c r="V1651" s="1">
        <v>45034</v>
      </c>
      <c r="W1651" t="s">
        <v>68</v>
      </c>
      <c r="X1651" t="s">
        <v>51</v>
      </c>
      <c r="Y1651" t="s">
        <v>63</v>
      </c>
      <c r="Z1651">
        <v>5</v>
      </c>
      <c r="AA1651">
        <v>372.55</v>
      </c>
      <c r="AB1651">
        <v>34</v>
      </c>
    </row>
    <row r="1652" spans="1:28" x14ac:dyDescent="0.2">
      <c r="A1652">
        <v>2174</v>
      </c>
      <c r="B1652" s="1">
        <v>44600</v>
      </c>
      <c r="C1652" t="s">
        <v>28</v>
      </c>
      <c r="D1652" t="s">
        <v>44</v>
      </c>
      <c r="E1652" t="s">
        <v>30</v>
      </c>
      <c r="F1652" t="s">
        <v>55</v>
      </c>
      <c r="G1652" t="s">
        <v>56</v>
      </c>
      <c r="H1652" t="s">
        <v>33</v>
      </c>
      <c r="I1652" t="s">
        <v>34</v>
      </c>
      <c r="J1652" t="s">
        <v>75</v>
      </c>
      <c r="K1652" s="2">
        <v>25931</v>
      </c>
      <c r="L1652" t="s">
        <v>36</v>
      </c>
      <c r="M1652" t="s">
        <v>37</v>
      </c>
      <c r="N1652" t="s">
        <v>72</v>
      </c>
      <c r="O1652" t="s">
        <v>67</v>
      </c>
      <c r="P1652" t="s">
        <v>78</v>
      </c>
      <c r="Q1652">
        <v>3</v>
      </c>
      <c r="R1652" s="2">
        <v>44920</v>
      </c>
      <c r="S1652">
        <v>1</v>
      </c>
      <c r="T1652">
        <v>1</v>
      </c>
      <c r="U1652">
        <v>5</v>
      </c>
      <c r="V1652" s="1">
        <v>44878</v>
      </c>
      <c r="W1652" t="s">
        <v>68</v>
      </c>
      <c r="X1652" t="s">
        <v>51</v>
      </c>
      <c r="Y1652" t="s">
        <v>52</v>
      </c>
      <c r="Z1652">
        <v>2</v>
      </c>
      <c r="AA1652">
        <v>446.22</v>
      </c>
      <c r="AB1652">
        <v>52</v>
      </c>
    </row>
    <row r="1653" spans="1:28" x14ac:dyDescent="0.2">
      <c r="A1653">
        <v>2175</v>
      </c>
      <c r="B1653" s="1">
        <v>43815</v>
      </c>
      <c r="C1653" t="s">
        <v>28</v>
      </c>
      <c r="D1653" t="s">
        <v>87</v>
      </c>
      <c r="E1653" t="s">
        <v>30</v>
      </c>
      <c r="F1653" t="s">
        <v>31</v>
      </c>
      <c r="G1653" t="s">
        <v>32</v>
      </c>
      <c r="H1653" t="s">
        <v>33</v>
      </c>
      <c r="I1653" t="s">
        <v>34</v>
      </c>
      <c r="J1653" t="s">
        <v>70</v>
      </c>
      <c r="K1653" s="2">
        <v>32052</v>
      </c>
      <c r="L1653" t="s">
        <v>36</v>
      </c>
      <c r="M1653" t="s">
        <v>37</v>
      </c>
      <c r="N1653" t="s">
        <v>49</v>
      </c>
      <c r="O1653" t="s">
        <v>39</v>
      </c>
      <c r="P1653" t="s">
        <v>78</v>
      </c>
      <c r="Q1653">
        <v>2</v>
      </c>
      <c r="R1653" s="2">
        <v>45001</v>
      </c>
      <c r="S1653">
        <v>1</v>
      </c>
      <c r="T1653">
        <v>3</v>
      </c>
      <c r="U1653">
        <v>3</v>
      </c>
      <c r="V1653" s="1">
        <v>44979</v>
      </c>
      <c r="W1653" t="s">
        <v>92</v>
      </c>
      <c r="X1653" t="s">
        <v>51</v>
      </c>
      <c r="Y1653" t="s">
        <v>63</v>
      </c>
      <c r="Z1653">
        <v>2</v>
      </c>
      <c r="AA1653">
        <v>512.6</v>
      </c>
      <c r="AB1653">
        <v>32</v>
      </c>
    </row>
    <row r="1654" spans="1:28" x14ac:dyDescent="0.2">
      <c r="A1654">
        <v>2176</v>
      </c>
      <c r="B1654" s="1">
        <v>44476</v>
      </c>
      <c r="C1654" t="s">
        <v>28</v>
      </c>
      <c r="D1654" t="s">
        <v>64</v>
      </c>
      <c r="E1654" t="s">
        <v>30</v>
      </c>
      <c r="F1654" t="s">
        <v>55</v>
      </c>
      <c r="G1654" t="s">
        <v>56</v>
      </c>
      <c r="H1654" t="s">
        <v>55</v>
      </c>
      <c r="I1654" t="s">
        <v>34</v>
      </c>
      <c r="J1654" t="s">
        <v>70</v>
      </c>
      <c r="K1654" s="2">
        <v>32499</v>
      </c>
      <c r="L1654" t="s">
        <v>36</v>
      </c>
      <c r="M1654" t="s">
        <v>37</v>
      </c>
      <c r="N1654" t="s">
        <v>84</v>
      </c>
      <c r="O1654" t="s">
        <v>67</v>
      </c>
      <c r="P1654" t="s">
        <v>78</v>
      </c>
      <c r="Q1654">
        <v>2</v>
      </c>
      <c r="R1654" s="2">
        <v>45045</v>
      </c>
      <c r="S1654">
        <v>2</v>
      </c>
      <c r="T1654">
        <v>1</v>
      </c>
      <c r="U1654">
        <v>1</v>
      </c>
      <c r="V1654" s="1">
        <v>45035</v>
      </c>
      <c r="W1654" t="s">
        <v>92</v>
      </c>
      <c r="X1654" t="s">
        <v>51</v>
      </c>
      <c r="Y1654" t="s">
        <v>63</v>
      </c>
      <c r="Z1654">
        <v>5</v>
      </c>
      <c r="AA1654">
        <v>357.52</v>
      </c>
      <c r="AB1654">
        <v>33</v>
      </c>
    </row>
    <row r="1655" spans="1:28" x14ac:dyDescent="0.2">
      <c r="A1655">
        <v>2177</v>
      </c>
      <c r="B1655" s="1">
        <v>44188</v>
      </c>
      <c r="C1655" t="s">
        <v>28</v>
      </c>
      <c r="D1655" t="s">
        <v>94</v>
      </c>
      <c r="E1655" t="s">
        <v>30</v>
      </c>
      <c r="F1655" t="s">
        <v>55</v>
      </c>
      <c r="G1655" t="s">
        <v>45</v>
      </c>
      <c r="H1655" t="s">
        <v>55</v>
      </c>
      <c r="I1655" t="s">
        <v>34</v>
      </c>
      <c r="J1655" t="s">
        <v>102</v>
      </c>
      <c r="K1655" s="2">
        <v>18873</v>
      </c>
      <c r="L1655" t="s">
        <v>36</v>
      </c>
      <c r="M1655" t="s">
        <v>48</v>
      </c>
      <c r="N1655" t="s">
        <v>84</v>
      </c>
      <c r="O1655" t="s">
        <v>61</v>
      </c>
      <c r="P1655" t="s">
        <v>107</v>
      </c>
      <c r="Q1655">
        <v>4</v>
      </c>
      <c r="R1655" s="2">
        <v>44851</v>
      </c>
      <c r="S1655">
        <v>4</v>
      </c>
      <c r="T1655">
        <v>2</v>
      </c>
      <c r="U1655">
        <v>1</v>
      </c>
      <c r="V1655" s="1">
        <v>45114</v>
      </c>
      <c r="W1655" t="s">
        <v>50</v>
      </c>
      <c r="X1655" t="s">
        <v>51</v>
      </c>
      <c r="Y1655" t="s">
        <v>73</v>
      </c>
      <c r="Z1655">
        <v>4</v>
      </c>
      <c r="AA1655">
        <v>616.66</v>
      </c>
      <c r="AB1655">
        <v>69</v>
      </c>
    </row>
    <row r="1656" spans="1:28" x14ac:dyDescent="0.2">
      <c r="A1656">
        <v>2178</v>
      </c>
      <c r="B1656" s="1">
        <v>44866</v>
      </c>
      <c r="C1656" t="s">
        <v>28</v>
      </c>
      <c r="D1656" t="s">
        <v>74</v>
      </c>
      <c r="E1656" t="s">
        <v>30</v>
      </c>
      <c r="F1656" t="s">
        <v>31</v>
      </c>
      <c r="G1656" t="s">
        <v>56</v>
      </c>
      <c r="H1656" t="s">
        <v>46</v>
      </c>
      <c r="I1656" t="s">
        <v>34</v>
      </c>
      <c r="J1656" t="s">
        <v>97</v>
      </c>
      <c r="K1656" s="2">
        <v>33115</v>
      </c>
      <c r="L1656" t="s">
        <v>36</v>
      </c>
      <c r="M1656" t="s">
        <v>37</v>
      </c>
      <c r="N1656" t="s">
        <v>49</v>
      </c>
      <c r="O1656" t="s">
        <v>67</v>
      </c>
      <c r="P1656" t="s">
        <v>107</v>
      </c>
      <c r="Q1656">
        <v>4</v>
      </c>
      <c r="R1656" s="2">
        <v>44815</v>
      </c>
      <c r="S1656">
        <v>4</v>
      </c>
      <c r="T1656">
        <v>1</v>
      </c>
      <c r="U1656">
        <v>5</v>
      </c>
      <c r="V1656" s="1">
        <v>45054</v>
      </c>
      <c r="W1656" t="s">
        <v>92</v>
      </c>
      <c r="X1656" t="s">
        <v>42</v>
      </c>
      <c r="Y1656" t="s">
        <v>63</v>
      </c>
      <c r="Z1656">
        <v>5</v>
      </c>
      <c r="AA1656">
        <v>368.55</v>
      </c>
      <c r="AB1656">
        <v>32</v>
      </c>
    </row>
    <row r="1657" spans="1:28" x14ac:dyDescent="0.2">
      <c r="A1657">
        <v>2179</v>
      </c>
      <c r="B1657" s="1">
        <v>44862</v>
      </c>
      <c r="C1657" t="s">
        <v>28</v>
      </c>
      <c r="D1657" t="s">
        <v>81</v>
      </c>
      <c r="E1657" t="s">
        <v>108</v>
      </c>
      <c r="F1657" t="s">
        <v>31</v>
      </c>
      <c r="G1657" t="s">
        <v>56</v>
      </c>
      <c r="H1657" t="s">
        <v>55</v>
      </c>
      <c r="I1657" t="s">
        <v>34</v>
      </c>
      <c r="J1657" t="s">
        <v>96</v>
      </c>
      <c r="K1657" s="2">
        <v>35068</v>
      </c>
      <c r="L1657" t="s">
        <v>36</v>
      </c>
      <c r="M1657" t="s">
        <v>37</v>
      </c>
      <c r="N1657" t="s">
        <v>72</v>
      </c>
      <c r="O1657" t="s">
        <v>39</v>
      </c>
      <c r="P1657" t="s">
        <v>107</v>
      </c>
      <c r="Q1657">
        <v>4</v>
      </c>
      <c r="R1657" s="2">
        <v>45093</v>
      </c>
      <c r="S1657">
        <v>1</v>
      </c>
      <c r="T1657">
        <v>3</v>
      </c>
      <c r="U1657">
        <v>1</v>
      </c>
      <c r="V1657" s="1">
        <v>44812</v>
      </c>
      <c r="W1657" t="s">
        <v>41</v>
      </c>
      <c r="X1657" t="s">
        <v>51</v>
      </c>
      <c r="Y1657" t="s">
        <v>73</v>
      </c>
      <c r="Z1657">
        <v>4</v>
      </c>
      <c r="AA1657">
        <v>937.57</v>
      </c>
      <c r="AB1657">
        <v>26</v>
      </c>
    </row>
    <row r="1658" spans="1:28" x14ac:dyDescent="0.2">
      <c r="A1658">
        <v>2180</v>
      </c>
      <c r="B1658" s="1">
        <v>43407</v>
      </c>
      <c r="C1658" t="s">
        <v>28</v>
      </c>
      <c r="D1658" t="s">
        <v>54</v>
      </c>
      <c r="E1658" t="s">
        <v>30</v>
      </c>
      <c r="F1658" t="s">
        <v>55</v>
      </c>
      <c r="G1658" t="s">
        <v>45</v>
      </c>
      <c r="H1658" t="s">
        <v>55</v>
      </c>
      <c r="I1658" t="s">
        <v>34</v>
      </c>
      <c r="J1658" t="s">
        <v>70</v>
      </c>
      <c r="K1658" s="2">
        <v>29443</v>
      </c>
      <c r="L1658" t="s">
        <v>36</v>
      </c>
      <c r="M1658" t="s">
        <v>37</v>
      </c>
      <c r="N1658" t="s">
        <v>49</v>
      </c>
      <c r="O1658" t="s">
        <v>39</v>
      </c>
      <c r="P1658" t="s">
        <v>107</v>
      </c>
      <c r="Q1658">
        <v>5</v>
      </c>
      <c r="R1658" s="2">
        <v>45075</v>
      </c>
      <c r="S1658">
        <v>4</v>
      </c>
      <c r="T1658">
        <v>4</v>
      </c>
      <c r="U1658">
        <v>4</v>
      </c>
      <c r="V1658" s="1">
        <v>44962</v>
      </c>
      <c r="W1658" t="s">
        <v>68</v>
      </c>
      <c r="X1658" t="s">
        <v>51</v>
      </c>
      <c r="Y1658" t="s">
        <v>52</v>
      </c>
      <c r="Z1658">
        <v>4</v>
      </c>
      <c r="AA1658">
        <v>706.08</v>
      </c>
      <c r="AB1658">
        <v>38</v>
      </c>
    </row>
    <row r="1659" spans="1:28" x14ac:dyDescent="0.2">
      <c r="A1659">
        <v>2181</v>
      </c>
      <c r="B1659" s="1">
        <v>43529</v>
      </c>
      <c r="C1659" t="s">
        <v>28</v>
      </c>
      <c r="D1659" t="s">
        <v>69</v>
      </c>
      <c r="E1659" t="s">
        <v>30</v>
      </c>
      <c r="F1659" t="s">
        <v>31</v>
      </c>
      <c r="G1659" t="s">
        <v>45</v>
      </c>
      <c r="H1659" t="s">
        <v>33</v>
      </c>
      <c r="I1659" t="s">
        <v>34</v>
      </c>
      <c r="J1659" t="s">
        <v>70</v>
      </c>
      <c r="K1659" s="2">
        <v>33463</v>
      </c>
      <c r="L1659" t="s">
        <v>36</v>
      </c>
      <c r="M1659" t="s">
        <v>37</v>
      </c>
      <c r="N1659" t="s">
        <v>72</v>
      </c>
      <c r="O1659" t="s">
        <v>61</v>
      </c>
      <c r="P1659" t="s">
        <v>107</v>
      </c>
      <c r="Q1659">
        <v>5</v>
      </c>
      <c r="R1659" s="2">
        <v>44961</v>
      </c>
      <c r="S1659">
        <v>2</v>
      </c>
      <c r="T1659">
        <v>1</v>
      </c>
      <c r="U1659">
        <v>4</v>
      </c>
      <c r="V1659" s="1">
        <v>45105</v>
      </c>
      <c r="W1659" t="s">
        <v>92</v>
      </c>
      <c r="X1659" t="s">
        <v>42</v>
      </c>
      <c r="Y1659" t="s">
        <v>52</v>
      </c>
      <c r="Z1659">
        <v>2</v>
      </c>
      <c r="AA1659">
        <v>542.94000000000005</v>
      </c>
      <c r="AB1659">
        <v>28</v>
      </c>
    </row>
    <row r="1660" spans="1:28" x14ac:dyDescent="0.2">
      <c r="A1660">
        <v>2182</v>
      </c>
      <c r="B1660" s="1">
        <v>44269</v>
      </c>
      <c r="C1660" t="s">
        <v>28</v>
      </c>
      <c r="D1660" t="s">
        <v>29</v>
      </c>
      <c r="E1660" t="s">
        <v>30</v>
      </c>
      <c r="F1660" t="s">
        <v>55</v>
      </c>
      <c r="G1660" t="s">
        <v>45</v>
      </c>
      <c r="H1660" t="s">
        <v>46</v>
      </c>
      <c r="I1660" t="s">
        <v>34</v>
      </c>
      <c r="J1660" t="s">
        <v>75</v>
      </c>
      <c r="K1660" s="2">
        <v>33623</v>
      </c>
      <c r="L1660" t="s">
        <v>36</v>
      </c>
      <c r="M1660" t="s">
        <v>37</v>
      </c>
      <c r="N1660" t="s">
        <v>72</v>
      </c>
      <c r="O1660" t="s">
        <v>39</v>
      </c>
      <c r="P1660" t="s">
        <v>78</v>
      </c>
      <c r="Q1660">
        <v>4</v>
      </c>
      <c r="R1660" s="2">
        <v>45028</v>
      </c>
      <c r="S1660">
        <v>1</v>
      </c>
      <c r="T1660">
        <v>1</v>
      </c>
      <c r="U1660">
        <v>2</v>
      </c>
      <c r="V1660" s="1">
        <v>45129</v>
      </c>
      <c r="W1660" t="s">
        <v>92</v>
      </c>
      <c r="X1660" t="s">
        <v>51</v>
      </c>
      <c r="Y1660" t="s">
        <v>63</v>
      </c>
      <c r="Z1660">
        <v>2</v>
      </c>
      <c r="AA1660">
        <v>105.18</v>
      </c>
      <c r="AB1660">
        <v>29</v>
      </c>
    </row>
    <row r="1661" spans="1:28" x14ac:dyDescent="0.2">
      <c r="A1661">
        <v>2183</v>
      </c>
      <c r="B1661" s="1">
        <v>43447</v>
      </c>
      <c r="C1661" t="s">
        <v>28</v>
      </c>
      <c r="D1661" t="s">
        <v>85</v>
      </c>
      <c r="E1661" t="s">
        <v>30</v>
      </c>
      <c r="F1661" t="s">
        <v>31</v>
      </c>
      <c r="G1661" t="s">
        <v>32</v>
      </c>
      <c r="H1661" t="s">
        <v>55</v>
      </c>
      <c r="I1661" t="s">
        <v>34</v>
      </c>
      <c r="J1661" t="s">
        <v>35</v>
      </c>
      <c r="K1661" s="2">
        <v>18153</v>
      </c>
      <c r="L1661" t="s">
        <v>36</v>
      </c>
      <c r="M1661" t="s">
        <v>37</v>
      </c>
      <c r="N1661" t="s">
        <v>38</v>
      </c>
      <c r="O1661" t="s">
        <v>77</v>
      </c>
      <c r="P1661" t="s">
        <v>78</v>
      </c>
      <c r="Q1661">
        <v>5</v>
      </c>
      <c r="R1661" s="2">
        <v>44908</v>
      </c>
      <c r="S1661">
        <v>4</v>
      </c>
      <c r="T1661">
        <v>4</v>
      </c>
      <c r="U1661">
        <v>2</v>
      </c>
      <c r="V1661" s="1">
        <v>45039</v>
      </c>
      <c r="W1661" t="s">
        <v>92</v>
      </c>
      <c r="X1661" t="s">
        <v>51</v>
      </c>
      <c r="Y1661" t="s">
        <v>63</v>
      </c>
      <c r="Z1661">
        <v>3</v>
      </c>
      <c r="AA1661">
        <v>287.3</v>
      </c>
      <c r="AB1661">
        <v>69</v>
      </c>
    </row>
    <row r="1662" spans="1:28" x14ac:dyDescent="0.2">
      <c r="A1662">
        <v>2184</v>
      </c>
      <c r="B1662" s="1">
        <v>44444</v>
      </c>
      <c r="C1662" t="s">
        <v>28</v>
      </c>
      <c r="D1662" t="s">
        <v>44</v>
      </c>
      <c r="E1662" t="s">
        <v>30</v>
      </c>
      <c r="F1662" t="s">
        <v>55</v>
      </c>
      <c r="G1662" t="s">
        <v>32</v>
      </c>
      <c r="H1662" t="s">
        <v>46</v>
      </c>
      <c r="I1662" t="s">
        <v>34</v>
      </c>
      <c r="J1662" t="s">
        <v>47</v>
      </c>
      <c r="K1662" s="2">
        <v>30732</v>
      </c>
      <c r="L1662" t="s">
        <v>36</v>
      </c>
      <c r="M1662" t="s">
        <v>37</v>
      </c>
      <c r="N1662" t="s">
        <v>60</v>
      </c>
      <c r="O1662" t="s">
        <v>77</v>
      </c>
      <c r="P1662" t="s">
        <v>78</v>
      </c>
      <c r="Q1662">
        <v>2</v>
      </c>
      <c r="R1662" s="2">
        <v>44994</v>
      </c>
      <c r="S1662">
        <v>2</v>
      </c>
      <c r="T1662">
        <v>4</v>
      </c>
      <c r="U1662">
        <v>4</v>
      </c>
      <c r="V1662" s="1">
        <v>44829</v>
      </c>
      <c r="W1662" t="s">
        <v>92</v>
      </c>
      <c r="X1662" t="s">
        <v>51</v>
      </c>
      <c r="Y1662" t="s">
        <v>43</v>
      </c>
      <c r="Z1662">
        <v>3</v>
      </c>
      <c r="AA1662">
        <v>661.36</v>
      </c>
      <c r="AB1662">
        <v>37</v>
      </c>
    </row>
    <row r="1663" spans="1:28" x14ac:dyDescent="0.2">
      <c r="A1663">
        <v>2185</v>
      </c>
      <c r="B1663" s="1">
        <v>43968</v>
      </c>
      <c r="C1663" t="s">
        <v>106</v>
      </c>
      <c r="D1663" t="s">
        <v>74</v>
      </c>
      <c r="E1663" t="s">
        <v>108</v>
      </c>
      <c r="F1663" t="s">
        <v>31</v>
      </c>
      <c r="G1663" t="s">
        <v>45</v>
      </c>
      <c r="H1663" t="s">
        <v>55</v>
      </c>
      <c r="I1663" t="s">
        <v>34</v>
      </c>
      <c r="J1663" t="s">
        <v>47</v>
      </c>
      <c r="K1663" s="2">
        <v>21661</v>
      </c>
      <c r="L1663" t="s">
        <v>36</v>
      </c>
      <c r="M1663" t="s">
        <v>37</v>
      </c>
      <c r="N1663" t="s">
        <v>84</v>
      </c>
      <c r="O1663" t="s">
        <v>61</v>
      </c>
      <c r="P1663" t="s">
        <v>78</v>
      </c>
      <c r="Q1663">
        <v>5</v>
      </c>
      <c r="R1663" s="2">
        <v>44872</v>
      </c>
      <c r="S1663">
        <v>4</v>
      </c>
      <c r="T1663">
        <v>5</v>
      </c>
      <c r="U1663">
        <v>5</v>
      </c>
      <c r="V1663" s="1">
        <v>45139</v>
      </c>
      <c r="W1663" t="s">
        <v>50</v>
      </c>
      <c r="X1663" t="s">
        <v>42</v>
      </c>
      <c r="Y1663" t="s">
        <v>52</v>
      </c>
      <c r="Z1663">
        <v>5</v>
      </c>
      <c r="AA1663">
        <v>220.95</v>
      </c>
      <c r="AB1663">
        <v>61</v>
      </c>
    </row>
    <row r="1664" spans="1:28" x14ac:dyDescent="0.2">
      <c r="A1664">
        <v>2186</v>
      </c>
      <c r="B1664" s="1">
        <v>44988</v>
      </c>
      <c r="C1664" t="s">
        <v>106</v>
      </c>
      <c r="D1664" t="s">
        <v>81</v>
      </c>
      <c r="E1664" t="s">
        <v>30</v>
      </c>
      <c r="F1664" t="s">
        <v>46</v>
      </c>
      <c r="G1664" t="s">
        <v>45</v>
      </c>
      <c r="H1664" t="s">
        <v>33</v>
      </c>
      <c r="I1664" t="s">
        <v>34</v>
      </c>
      <c r="J1664" t="s">
        <v>70</v>
      </c>
      <c r="K1664" s="2">
        <v>35567</v>
      </c>
      <c r="L1664" t="s">
        <v>36</v>
      </c>
      <c r="M1664" t="s">
        <v>48</v>
      </c>
      <c r="N1664" t="s">
        <v>49</v>
      </c>
      <c r="O1664" t="s">
        <v>67</v>
      </c>
      <c r="P1664" t="s">
        <v>78</v>
      </c>
      <c r="Q1664">
        <v>1</v>
      </c>
      <c r="R1664" s="2">
        <v>44821</v>
      </c>
      <c r="S1664">
        <v>4</v>
      </c>
      <c r="T1664">
        <v>1</v>
      </c>
      <c r="U1664">
        <v>1</v>
      </c>
      <c r="V1664" s="1">
        <v>44825</v>
      </c>
      <c r="W1664" t="s">
        <v>41</v>
      </c>
      <c r="X1664" t="s">
        <v>51</v>
      </c>
      <c r="Y1664" t="s">
        <v>43</v>
      </c>
      <c r="Z1664">
        <v>5</v>
      </c>
      <c r="AA1664">
        <v>747.61</v>
      </c>
      <c r="AB1664">
        <v>26</v>
      </c>
    </row>
    <row r="1665" spans="1:28" x14ac:dyDescent="0.2">
      <c r="A1665">
        <v>2187</v>
      </c>
      <c r="B1665" s="1">
        <v>43889</v>
      </c>
      <c r="C1665" t="s">
        <v>106</v>
      </c>
      <c r="D1665" t="s">
        <v>54</v>
      </c>
      <c r="E1665" t="s">
        <v>30</v>
      </c>
      <c r="F1665" t="s">
        <v>46</v>
      </c>
      <c r="G1665" t="s">
        <v>56</v>
      </c>
      <c r="H1665" t="s">
        <v>55</v>
      </c>
      <c r="I1665" t="s">
        <v>34</v>
      </c>
      <c r="J1665" t="s">
        <v>79</v>
      </c>
      <c r="K1665" s="2">
        <v>35821</v>
      </c>
      <c r="L1665" t="s">
        <v>36</v>
      </c>
      <c r="M1665" t="s">
        <v>37</v>
      </c>
      <c r="N1665" t="s">
        <v>49</v>
      </c>
      <c r="O1665" t="s">
        <v>67</v>
      </c>
      <c r="P1665" t="s">
        <v>78</v>
      </c>
      <c r="Q1665">
        <v>5</v>
      </c>
      <c r="R1665" s="2">
        <v>44940</v>
      </c>
      <c r="S1665">
        <v>2</v>
      </c>
      <c r="T1665">
        <v>1</v>
      </c>
      <c r="U1665">
        <v>5</v>
      </c>
      <c r="V1665" s="1">
        <v>45084</v>
      </c>
      <c r="W1665" t="s">
        <v>92</v>
      </c>
      <c r="X1665" t="s">
        <v>42</v>
      </c>
      <c r="Y1665" t="s">
        <v>63</v>
      </c>
      <c r="Z1665">
        <v>1</v>
      </c>
      <c r="AA1665">
        <v>575.77</v>
      </c>
      <c r="AB1665">
        <v>22</v>
      </c>
    </row>
    <row r="1666" spans="1:28" x14ac:dyDescent="0.2">
      <c r="A1666">
        <v>2188</v>
      </c>
      <c r="B1666" s="1">
        <v>44238</v>
      </c>
      <c r="C1666" t="s">
        <v>106</v>
      </c>
      <c r="D1666" t="s">
        <v>69</v>
      </c>
      <c r="E1666" t="s">
        <v>30</v>
      </c>
      <c r="F1666" t="s">
        <v>46</v>
      </c>
      <c r="G1666" t="s">
        <v>45</v>
      </c>
      <c r="H1666" t="s">
        <v>46</v>
      </c>
      <c r="I1666" t="s">
        <v>34</v>
      </c>
      <c r="J1666" t="s">
        <v>70</v>
      </c>
      <c r="K1666" s="2">
        <v>23794</v>
      </c>
      <c r="L1666" t="s">
        <v>36</v>
      </c>
      <c r="M1666" t="s">
        <v>37</v>
      </c>
      <c r="N1666" t="s">
        <v>72</v>
      </c>
      <c r="O1666" t="s">
        <v>67</v>
      </c>
      <c r="P1666" t="s">
        <v>78</v>
      </c>
      <c r="Q1666">
        <v>2</v>
      </c>
      <c r="R1666" s="2">
        <v>44951</v>
      </c>
      <c r="S1666">
        <v>5</v>
      </c>
      <c r="T1666">
        <v>4</v>
      </c>
      <c r="U1666">
        <v>2</v>
      </c>
      <c r="V1666" s="1">
        <v>45094</v>
      </c>
      <c r="W1666" t="s">
        <v>41</v>
      </c>
      <c r="X1666" t="s">
        <v>42</v>
      </c>
      <c r="Y1666" t="s">
        <v>52</v>
      </c>
      <c r="Z1666">
        <v>2</v>
      </c>
      <c r="AA1666">
        <v>754.8</v>
      </c>
      <c r="AB1666">
        <v>56</v>
      </c>
    </row>
    <row r="1667" spans="1:28" x14ac:dyDescent="0.2">
      <c r="A1667">
        <v>2189</v>
      </c>
      <c r="B1667" s="1">
        <v>43490</v>
      </c>
      <c r="C1667" t="s">
        <v>106</v>
      </c>
      <c r="D1667" t="s">
        <v>29</v>
      </c>
      <c r="E1667" t="s">
        <v>30</v>
      </c>
      <c r="F1667" t="s">
        <v>46</v>
      </c>
      <c r="G1667" t="s">
        <v>56</v>
      </c>
      <c r="H1667" t="s">
        <v>33</v>
      </c>
      <c r="I1667" t="s">
        <v>34</v>
      </c>
      <c r="J1667" t="s">
        <v>100</v>
      </c>
      <c r="K1667" s="2">
        <v>16257</v>
      </c>
      <c r="L1667" t="s">
        <v>36</v>
      </c>
      <c r="M1667" t="s">
        <v>37</v>
      </c>
      <c r="N1667" t="s">
        <v>38</v>
      </c>
      <c r="O1667" t="s">
        <v>77</v>
      </c>
      <c r="P1667" t="s">
        <v>98</v>
      </c>
      <c r="Q1667">
        <v>5</v>
      </c>
      <c r="R1667" s="2">
        <v>44792</v>
      </c>
      <c r="S1667">
        <v>1</v>
      </c>
      <c r="T1667">
        <v>2</v>
      </c>
      <c r="U1667">
        <v>4</v>
      </c>
      <c r="V1667" s="1">
        <v>44893</v>
      </c>
      <c r="W1667" t="s">
        <v>50</v>
      </c>
      <c r="X1667" t="s">
        <v>51</v>
      </c>
      <c r="Y1667" t="s">
        <v>73</v>
      </c>
      <c r="Z1667">
        <v>2</v>
      </c>
      <c r="AA1667">
        <v>585.65</v>
      </c>
      <c r="AB1667">
        <v>75</v>
      </c>
    </row>
    <row r="1668" spans="1:28" x14ac:dyDescent="0.2">
      <c r="A1668">
        <v>2190</v>
      </c>
      <c r="B1668" s="1">
        <v>45041</v>
      </c>
      <c r="C1668" t="s">
        <v>106</v>
      </c>
      <c r="D1668" t="s">
        <v>85</v>
      </c>
      <c r="E1668" t="s">
        <v>30</v>
      </c>
      <c r="F1668" t="s">
        <v>46</v>
      </c>
      <c r="G1668" t="s">
        <v>32</v>
      </c>
      <c r="H1668" t="s">
        <v>55</v>
      </c>
      <c r="I1668" t="s">
        <v>34</v>
      </c>
      <c r="J1668" t="s">
        <v>65</v>
      </c>
      <c r="K1668" s="2">
        <v>31067</v>
      </c>
      <c r="L1668" t="s">
        <v>36</v>
      </c>
      <c r="M1668" t="s">
        <v>37</v>
      </c>
      <c r="N1668" t="s">
        <v>84</v>
      </c>
      <c r="O1668" t="s">
        <v>61</v>
      </c>
      <c r="P1668" t="s">
        <v>98</v>
      </c>
      <c r="Q1668">
        <v>5</v>
      </c>
      <c r="R1668" s="2">
        <v>45016</v>
      </c>
      <c r="S1668">
        <v>5</v>
      </c>
      <c r="T1668">
        <v>2</v>
      </c>
      <c r="U1668">
        <v>3</v>
      </c>
      <c r="V1668" s="1">
        <v>45045</v>
      </c>
      <c r="W1668" t="s">
        <v>68</v>
      </c>
      <c r="X1668" t="s">
        <v>42</v>
      </c>
      <c r="Y1668" t="s">
        <v>63</v>
      </c>
      <c r="Z1668">
        <v>2</v>
      </c>
      <c r="AA1668">
        <v>623.98</v>
      </c>
      <c r="AB1668">
        <v>38</v>
      </c>
    </row>
    <row r="1669" spans="1:28" x14ac:dyDescent="0.2">
      <c r="A1669">
        <v>2191</v>
      </c>
      <c r="B1669" s="1">
        <v>44241</v>
      </c>
      <c r="C1669" t="s">
        <v>106</v>
      </c>
      <c r="D1669" t="s">
        <v>44</v>
      </c>
      <c r="E1669" t="s">
        <v>30</v>
      </c>
      <c r="F1669" t="s">
        <v>31</v>
      </c>
      <c r="G1669" t="s">
        <v>32</v>
      </c>
      <c r="H1669" t="s">
        <v>46</v>
      </c>
      <c r="I1669" t="s">
        <v>34</v>
      </c>
      <c r="J1669" t="s">
        <v>79</v>
      </c>
      <c r="K1669" s="2">
        <v>26256</v>
      </c>
      <c r="L1669" t="s">
        <v>36</v>
      </c>
      <c r="M1669" t="s">
        <v>37</v>
      </c>
      <c r="N1669" t="s">
        <v>84</v>
      </c>
      <c r="O1669" t="s">
        <v>67</v>
      </c>
      <c r="P1669" t="s">
        <v>98</v>
      </c>
      <c r="Q1669">
        <v>5</v>
      </c>
      <c r="R1669" s="2">
        <v>45027</v>
      </c>
      <c r="S1669">
        <v>2</v>
      </c>
      <c r="T1669">
        <v>2</v>
      </c>
      <c r="U1669">
        <v>3</v>
      </c>
      <c r="V1669" s="1">
        <v>45059</v>
      </c>
      <c r="W1669" t="s">
        <v>92</v>
      </c>
      <c r="X1669" t="s">
        <v>42</v>
      </c>
      <c r="Y1669" t="s">
        <v>43</v>
      </c>
      <c r="Z1669">
        <v>3</v>
      </c>
      <c r="AA1669">
        <v>774.02</v>
      </c>
      <c r="AB1669">
        <v>50</v>
      </c>
    </row>
    <row r="1670" spans="1:28" x14ac:dyDescent="0.2">
      <c r="A1670">
        <v>2192</v>
      </c>
      <c r="B1670" s="1">
        <v>44111</v>
      </c>
      <c r="C1670" t="s">
        <v>106</v>
      </c>
      <c r="D1670" t="s">
        <v>87</v>
      </c>
      <c r="E1670" t="s">
        <v>30</v>
      </c>
      <c r="F1670" t="s">
        <v>46</v>
      </c>
      <c r="G1670" t="s">
        <v>32</v>
      </c>
      <c r="H1670" t="s">
        <v>46</v>
      </c>
      <c r="I1670" t="s">
        <v>34</v>
      </c>
      <c r="J1670" t="s">
        <v>65</v>
      </c>
      <c r="K1670" s="2">
        <v>16617</v>
      </c>
      <c r="L1670" t="s">
        <v>36</v>
      </c>
      <c r="M1670" t="s">
        <v>37</v>
      </c>
      <c r="N1670" t="s">
        <v>72</v>
      </c>
      <c r="O1670" t="s">
        <v>77</v>
      </c>
      <c r="P1670" t="s">
        <v>98</v>
      </c>
      <c r="Q1670">
        <v>1</v>
      </c>
      <c r="R1670" s="2">
        <v>44921</v>
      </c>
      <c r="S1670">
        <v>5</v>
      </c>
      <c r="T1670">
        <v>3</v>
      </c>
      <c r="U1670">
        <v>4</v>
      </c>
      <c r="V1670" s="1">
        <v>44836</v>
      </c>
      <c r="W1670" t="s">
        <v>41</v>
      </c>
      <c r="X1670" t="s">
        <v>51</v>
      </c>
      <c r="Y1670" t="s">
        <v>63</v>
      </c>
      <c r="Z1670">
        <v>4</v>
      </c>
      <c r="AA1670">
        <v>866.14</v>
      </c>
      <c r="AB1670">
        <v>75</v>
      </c>
    </row>
    <row r="1671" spans="1:28" x14ac:dyDescent="0.2">
      <c r="A1671">
        <v>2193</v>
      </c>
      <c r="B1671" s="1">
        <v>43524</v>
      </c>
      <c r="C1671" t="s">
        <v>28</v>
      </c>
      <c r="D1671" t="s">
        <v>81</v>
      </c>
      <c r="E1671" t="s">
        <v>108</v>
      </c>
      <c r="F1671" t="s">
        <v>46</v>
      </c>
      <c r="G1671" t="s">
        <v>45</v>
      </c>
      <c r="H1671" t="s">
        <v>46</v>
      </c>
      <c r="I1671" t="s">
        <v>34</v>
      </c>
      <c r="J1671" t="s">
        <v>70</v>
      </c>
      <c r="K1671" s="2">
        <v>23224</v>
      </c>
      <c r="L1671" t="s">
        <v>36</v>
      </c>
      <c r="M1671" t="s">
        <v>48</v>
      </c>
      <c r="N1671" t="s">
        <v>38</v>
      </c>
      <c r="O1671" t="s">
        <v>67</v>
      </c>
      <c r="P1671" t="s">
        <v>98</v>
      </c>
      <c r="Q1671">
        <v>4</v>
      </c>
      <c r="R1671" s="2">
        <v>45117</v>
      </c>
      <c r="S1671">
        <v>2</v>
      </c>
      <c r="T1671">
        <v>2</v>
      </c>
      <c r="U1671">
        <v>3</v>
      </c>
      <c r="V1671" s="1">
        <v>45123</v>
      </c>
      <c r="W1671" t="s">
        <v>68</v>
      </c>
      <c r="X1671" t="s">
        <v>51</v>
      </c>
      <c r="Y1671" t="s">
        <v>52</v>
      </c>
      <c r="Z1671">
        <v>2</v>
      </c>
      <c r="AA1671">
        <v>704.42</v>
      </c>
      <c r="AB1671">
        <v>56</v>
      </c>
    </row>
    <row r="1672" spans="1:28" x14ac:dyDescent="0.2">
      <c r="A1672">
        <v>2194</v>
      </c>
      <c r="B1672" s="1">
        <v>43673</v>
      </c>
      <c r="C1672" t="s">
        <v>28</v>
      </c>
      <c r="D1672" t="s">
        <v>54</v>
      </c>
      <c r="E1672" t="s">
        <v>30</v>
      </c>
      <c r="F1672" t="s">
        <v>55</v>
      </c>
      <c r="G1672" t="s">
        <v>56</v>
      </c>
      <c r="H1672" t="s">
        <v>33</v>
      </c>
      <c r="I1672" t="s">
        <v>34</v>
      </c>
      <c r="J1672" t="s">
        <v>70</v>
      </c>
      <c r="K1672" s="2">
        <v>33652</v>
      </c>
      <c r="L1672" t="s">
        <v>36</v>
      </c>
      <c r="M1672" t="s">
        <v>37</v>
      </c>
      <c r="N1672" t="s">
        <v>60</v>
      </c>
      <c r="O1672" t="s">
        <v>39</v>
      </c>
      <c r="P1672" t="s">
        <v>98</v>
      </c>
      <c r="Q1672">
        <v>2</v>
      </c>
      <c r="R1672" s="2">
        <v>44836</v>
      </c>
      <c r="S1672">
        <v>1</v>
      </c>
      <c r="T1672">
        <v>4</v>
      </c>
      <c r="U1672">
        <v>1</v>
      </c>
      <c r="V1672" s="1">
        <v>44993</v>
      </c>
      <c r="W1672" t="s">
        <v>50</v>
      </c>
      <c r="X1672" t="s">
        <v>51</v>
      </c>
      <c r="Y1672" t="s">
        <v>52</v>
      </c>
      <c r="Z1672">
        <v>5</v>
      </c>
      <c r="AA1672">
        <v>164.41</v>
      </c>
      <c r="AB1672">
        <v>27</v>
      </c>
    </row>
    <row r="1673" spans="1:28" x14ac:dyDescent="0.2">
      <c r="A1673">
        <v>2195</v>
      </c>
      <c r="B1673" s="1">
        <v>45079</v>
      </c>
      <c r="C1673" t="s">
        <v>28</v>
      </c>
      <c r="D1673" t="s">
        <v>69</v>
      </c>
      <c r="E1673" t="s">
        <v>30</v>
      </c>
      <c r="F1673" t="s">
        <v>31</v>
      </c>
      <c r="G1673" t="s">
        <v>32</v>
      </c>
      <c r="H1673" t="s">
        <v>46</v>
      </c>
      <c r="I1673" t="s">
        <v>34</v>
      </c>
      <c r="J1673" t="s">
        <v>111</v>
      </c>
      <c r="K1673" s="2">
        <v>20028</v>
      </c>
      <c r="L1673" t="s">
        <v>36</v>
      </c>
      <c r="M1673" t="s">
        <v>37</v>
      </c>
      <c r="N1673" t="s">
        <v>72</v>
      </c>
      <c r="O1673" t="s">
        <v>61</v>
      </c>
      <c r="P1673" t="s">
        <v>98</v>
      </c>
      <c r="Q1673">
        <v>2</v>
      </c>
      <c r="R1673" s="2">
        <v>44895</v>
      </c>
      <c r="S1673">
        <v>1</v>
      </c>
      <c r="T1673">
        <v>5</v>
      </c>
      <c r="U1673">
        <v>1</v>
      </c>
      <c r="V1673" s="1">
        <v>45054</v>
      </c>
      <c r="W1673" t="s">
        <v>62</v>
      </c>
      <c r="X1673" t="s">
        <v>51</v>
      </c>
      <c r="Y1673" t="s">
        <v>43</v>
      </c>
      <c r="Z1673">
        <v>3</v>
      </c>
      <c r="AA1673">
        <v>559.87</v>
      </c>
      <c r="AB1673">
        <v>69</v>
      </c>
    </row>
    <row r="1674" spans="1:28" x14ac:dyDescent="0.2">
      <c r="A1674">
        <v>2196</v>
      </c>
      <c r="B1674" s="1">
        <v>44879</v>
      </c>
      <c r="C1674" t="s">
        <v>28</v>
      </c>
      <c r="D1674" t="s">
        <v>29</v>
      </c>
      <c r="E1674" t="s">
        <v>108</v>
      </c>
      <c r="F1674" t="s">
        <v>55</v>
      </c>
      <c r="G1674" t="s">
        <v>45</v>
      </c>
      <c r="H1674" t="s">
        <v>55</v>
      </c>
      <c r="I1674" t="s">
        <v>34</v>
      </c>
      <c r="J1674" t="s">
        <v>111</v>
      </c>
      <c r="K1674" s="2">
        <v>30492</v>
      </c>
      <c r="L1674" t="s">
        <v>36</v>
      </c>
      <c r="M1674" t="s">
        <v>48</v>
      </c>
      <c r="N1674" t="s">
        <v>38</v>
      </c>
      <c r="O1674" t="s">
        <v>61</v>
      </c>
      <c r="P1674" t="s">
        <v>98</v>
      </c>
      <c r="Q1674">
        <v>5</v>
      </c>
      <c r="R1674" s="2">
        <v>45139</v>
      </c>
      <c r="S1674">
        <v>5</v>
      </c>
      <c r="T1674">
        <v>2</v>
      </c>
      <c r="U1674">
        <v>3</v>
      </c>
      <c r="V1674" s="1">
        <v>44905</v>
      </c>
      <c r="W1674" t="s">
        <v>68</v>
      </c>
      <c r="X1674" t="s">
        <v>51</v>
      </c>
      <c r="Y1674" t="s">
        <v>63</v>
      </c>
      <c r="Z1674">
        <v>2</v>
      </c>
      <c r="AA1674">
        <v>572.11</v>
      </c>
      <c r="AB1674">
        <v>39</v>
      </c>
    </row>
    <row r="1675" spans="1:28" x14ac:dyDescent="0.2">
      <c r="A1675">
        <v>2197</v>
      </c>
      <c r="B1675" s="1">
        <v>43334</v>
      </c>
      <c r="C1675" t="s">
        <v>28</v>
      </c>
      <c r="D1675" t="s">
        <v>85</v>
      </c>
      <c r="E1675" t="s">
        <v>108</v>
      </c>
      <c r="F1675" t="s">
        <v>31</v>
      </c>
      <c r="G1675" t="s">
        <v>32</v>
      </c>
      <c r="H1675" t="s">
        <v>55</v>
      </c>
      <c r="I1675" t="s">
        <v>34</v>
      </c>
      <c r="J1675" t="s">
        <v>101</v>
      </c>
      <c r="K1675" s="2">
        <v>30418</v>
      </c>
      <c r="L1675" t="s">
        <v>36</v>
      </c>
      <c r="M1675" t="s">
        <v>37</v>
      </c>
      <c r="N1675" t="s">
        <v>84</v>
      </c>
      <c r="O1675" t="s">
        <v>77</v>
      </c>
      <c r="P1675" t="s">
        <v>98</v>
      </c>
      <c r="Q1675">
        <v>4</v>
      </c>
      <c r="R1675" s="2">
        <v>45031</v>
      </c>
      <c r="S1675">
        <v>2</v>
      </c>
      <c r="T1675">
        <v>3</v>
      </c>
      <c r="U1675">
        <v>1</v>
      </c>
      <c r="V1675" s="1">
        <v>45002</v>
      </c>
      <c r="W1675" t="s">
        <v>68</v>
      </c>
      <c r="X1675" t="s">
        <v>51</v>
      </c>
      <c r="Y1675" t="s">
        <v>73</v>
      </c>
      <c r="Z1675">
        <v>2</v>
      </c>
      <c r="AA1675">
        <v>724.83</v>
      </c>
      <c r="AB1675">
        <v>35</v>
      </c>
    </row>
    <row r="1676" spans="1:28" x14ac:dyDescent="0.2">
      <c r="A1676">
        <v>2198</v>
      </c>
      <c r="B1676" s="1">
        <v>44910</v>
      </c>
      <c r="C1676" t="s">
        <v>28</v>
      </c>
      <c r="D1676" t="s">
        <v>44</v>
      </c>
      <c r="E1676" t="s">
        <v>30</v>
      </c>
      <c r="F1676" t="s">
        <v>31</v>
      </c>
      <c r="G1676" t="s">
        <v>56</v>
      </c>
      <c r="H1676" t="s">
        <v>33</v>
      </c>
      <c r="I1676" t="s">
        <v>34</v>
      </c>
      <c r="J1676" t="s">
        <v>70</v>
      </c>
      <c r="K1676" s="2">
        <v>23193</v>
      </c>
      <c r="L1676" t="s">
        <v>36</v>
      </c>
      <c r="M1676" t="s">
        <v>37</v>
      </c>
      <c r="N1676" t="s">
        <v>38</v>
      </c>
      <c r="O1676" t="s">
        <v>61</v>
      </c>
      <c r="P1676" t="s">
        <v>78</v>
      </c>
      <c r="Q1676">
        <v>1</v>
      </c>
      <c r="R1676" s="2">
        <v>45120</v>
      </c>
      <c r="S1676">
        <v>2</v>
      </c>
      <c r="T1676">
        <v>4</v>
      </c>
      <c r="U1676">
        <v>2</v>
      </c>
      <c r="V1676" s="1">
        <v>44787</v>
      </c>
      <c r="W1676" t="s">
        <v>41</v>
      </c>
      <c r="X1676" t="s">
        <v>42</v>
      </c>
      <c r="Y1676" t="s">
        <v>43</v>
      </c>
      <c r="Z1676">
        <v>5</v>
      </c>
      <c r="AA1676">
        <v>198.35</v>
      </c>
      <c r="AB1676">
        <v>59</v>
      </c>
    </row>
    <row r="1677" spans="1:28" x14ac:dyDescent="0.2">
      <c r="A1677">
        <v>2199</v>
      </c>
      <c r="B1677" s="1">
        <v>43982</v>
      </c>
      <c r="C1677" t="s">
        <v>28</v>
      </c>
      <c r="D1677" t="s">
        <v>87</v>
      </c>
      <c r="E1677" t="s">
        <v>30</v>
      </c>
      <c r="F1677" t="s">
        <v>55</v>
      </c>
      <c r="G1677" t="s">
        <v>32</v>
      </c>
      <c r="H1677" t="s">
        <v>55</v>
      </c>
      <c r="I1677" t="s">
        <v>34</v>
      </c>
      <c r="J1677" t="s">
        <v>65</v>
      </c>
      <c r="K1677" s="2">
        <v>28316</v>
      </c>
      <c r="L1677" t="s">
        <v>36</v>
      </c>
      <c r="M1677" t="s">
        <v>37</v>
      </c>
      <c r="N1677" t="s">
        <v>38</v>
      </c>
      <c r="O1677" t="s">
        <v>77</v>
      </c>
      <c r="P1677" t="s">
        <v>78</v>
      </c>
      <c r="Q1677">
        <v>4</v>
      </c>
      <c r="R1677" s="2">
        <v>45080</v>
      </c>
      <c r="S1677">
        <v>4</v>
      </c>
      <c r="T1677">
        <v>3</v>
      </c>
      <c r="U1677">
        <v>4</v>
      </c>
      <c r="V1677" s="1">
        <v>45096</v>
      </c>
      <c r="W1677" t="s">
        <v>62</v>
      </c>
      <c r="X1677" t="s">
        <v>51</v>
      </c>
      <c r="Y1677" t="s">
        <v>73</v>
      </c>
      <c r="Z1677">
        <v>3</v>
      </c>
      <c r="AA1677">
        <v>142.69999999999999</v>
      </c>
      <c r="AB1677">
        <v>43</v>
      </c>
    </row>
    <row r="1678" spans="1:28" x14ac:dyDescent="0.2">
      <c r="A1678">
        <v>2200</v>
      </c>
      <c r="B1678" s="1">
        <v>44761</v>
      </c>
      <c r="C1678" t="s">
        <v>28</v>
      </c>
      <c r="D1678" t="s">
        <v>64</v>
      </c>
      <c r="E1678" t="s">
        <v>30</v>
      </c>
      <c r="F1678" t="s">
        <v>31</v>
      </c>
      <c r="G1678" t="s">
        <v>45</v>
      </c>
      <c r="H1678" t="s">
        <v>55</v>
      </c>
      <c r="I1678" t="s">
        <v>34</v>
      </c>
      <c r="J1678" t="s">
        <v>70</v>
      </c>
      <c r="K1678" s="2">
        <v>19798</v>
      </c>
      <c r="L1678" t="s">
        <v>36</v>
      </c>
      <c r="M1678" t="s">
        <v>37</v>
      </c>
      <c r="N1678" t="s">
        <v>84</v>
      </c>
      <c r="O1678" t="s">
        <v>61</v>
      </c>
      <c r="P1678" t="s">
        <v>78</v>
      </c>
      <c r="Q1678">
        <v>4</v>
      </c>
      <c r="R1678" s="2">
        <v>44911</v>
      </c>
      <c r="S1678">
        <v>3</v>
      </c>
      <c r="T1678">
        <v>1</v>
      </c>
      <c r="U1678">
        <v>5</v>
      </c>
      <c r="V1678" s="1">
        <v>45014</v>
      </c>
      <c r="W1678" t="s">
        <v>62</v>
      </c>
      <c r="X1678" t="s">
        <v>51</v>
      </c>
      <c r="Y1678" t="s">
        <v>52</v>
      </c>
      <c r="Z1678">
        <v>2</v>
      </c>
      <c r="AA1678">
        <v>910.99</v>
      </c>
      <c r="AB1678">
        <v>68</v>
      </c>
    </row>
    <row r="1679" spans="1:28" x14ac:dyDescent="0.2">
      <c r="A1679">
        <v>2201</v>
      </c>
      <c r="B1679" s="1">
        <v>44013</v>
      </c>
      <c r="C1679" t="s">
        <v>28</v>
      </c>
      <c r="D1679" t="s">
        <v>94</v>
      </c>
      <c r="E1679" t="s">
        <v>30</v>
      </c>
      <c r="F1679" t="s">
        <v>31</v>
      </c>
      <c r="G1679" t="s">
        <v>32</v>
      </c>
      <c r="H1679" t="s">
        <v>46</v>
      </c>
      <c r="I1679" t="s">
        <v>34</v>
      </c>
      <c r="J1679" t="s">
        <v>96</v>
      </c>
      <c r="K1679" s="2">
        <v>33051</v>
      </c>
      <c r="L1679" t="s">
        <v>36</v>
      </c>
      <c r="M1679" t="s">
        <v>48</v>
      </c>
      <c r="N1679" t="s">
        <v>60</v>
      </c>
      <c r="O1679" t="s">
        <v>67</v>
      </c>
      <c r="P1679" t="s">
        <v>78</v>
      </c>
      <c r="Q1679">
        <v>2</v>
      </c>
      <c r="R1679" s="2">
        <v>45101</v>
      </c>
      <c r="S1679">
        <v>5</v>
      </c>
      <c r="T1679">
        <v>1</v>
      </c>
      <c r="U1679">
        <v>5</v>
      </c>
      <c r="V1679" s="1">
        <v>45000</v>
      </c>
      <c r="W1679" t="s">
        <v>41</v>
      </c>
      <c r="X1679" t="s">
        <v>42</v>
      </c>
      <c r="Y1679" t="s">
        <v>63</v>
      </c>
      <c r="Z1679">
        <v>4</v>
      </c>
      <c r="AA1679">
        <v>863.83</v>
      </c>
      <c r="AB1679">
        <v>30</v>
      </c>
    </row>
    <row r="1680" spans="1:28" x14ac:dyDescent="0.2">
      <c r="A1680">
        <v>2202</v>
      </c>
      <c r="B1680" s="1">
        <v>44153</v>
      </c>
      <c r="C1680" t="s">
        <v>28</v>
      </c>
      <c r="D1680" t="s">
        <v>74</v>
      </c>
      <c r="E1680" t="s">
        <v>30</v>
      </c>
      <c r="F1680" t="s">
        <v>31</v>
      </c>
      <c r="G1680" t="s">
        <v>45</v>
      </c>
      <c r="H1680" t="s">
        <v>46</v>
      </c>
      <c r="I1680" t="s">
        <v>34</v>
      </c>
      <c r="J1680" t="s">
        <v>96</v>
      </c>
      <c r="K1680" s="2">
        <v>25204</v>
      </c>
      <c r="L1680" t="s">
        <v>36</v>
      </c>
      <c r="M1680" t="s">
        <v>37</v>
      </c>
      <c r="N1680" t="s">
        <v>84</v>
      </c>
      <c r="O1680" t="s">
        <v>67</v>
      </c>
      <c r="P1680" t="s">
        <v>78</v>
      </c>
      <c r="Q1680">
        <v>4</v>
      </c>
      <c r="R1680" s="2">
        <v>45101</v>
      </c>
      <c r="S1680">
        <v>5</v>
      </c>
      <c r="T1680">
        <v>4</v>
      </c>
      <c r="U1680">
        <v>5</v>
      </c>
      <c r="V1680" s="1">
        <v>44812</v>
      </c>
      <c r="W1680" t="s">
        <v>50</v>
      </c>
      <c r="X1680" t="s">
        <v>42</v>
      </c>
      <c r="Y1680" t="s">
        <v>63</v>
      </c>
      <c r="Z1680">
        <v>4</v>
      </c>
      <c r="AA1680">
        <v>606.57000000000005</v>
      </c>
      <c r="AB1680">
        <v>51</v>
      </c>
    </row>
    <row r="1681" spans="1:28" x14ac:dyDescent="0.2">
      <c r="A1681">
        <v>2203</v>
      </c>
      <c r="B1681" s="1">
        <v>43890</v>
      </c>
      <c r="C1681" t="s">
        <v>28</v>
      </c>
      <c r="D1681" t="s">
        <v>81</v>
      </c>
      <c r="E1681" t="s">
        <v>108</v>
      </c>
      <c r="F1681" t="s">
        <v>31</v>
      </c>
      <c r="G1681" t="s">
        <v>45</v>
      </c>
      <c r="H1681" t="s">
        <v>46</v>
      </c>
      <c r="I1681" t="s">
        <v>34</v>
      </c>
      <c r="J1681" t="s">
        <v>65</v>
      </c>
      <c r="K1681" s="2">
        <v>31507</v>
      </c>
      <c r="L1681" t="s">
        <v>36</v>
      </c>
      <c r="M1681" t="s">
        <v>37</v>
      </c>
      <c r="N1681" t="s">
        <v>84</v>
      </c>
      <c r="O1681" t="s">
        <v>67</v>
      </c>
      <c r="P1681" t="s">
        <v>78</v>
      </c>
      <c r="Q1681">
        <v>1</v>
      </c>
      <c r="R1681" s="2">
        <v>44802</v>
      </c>
      <c r="S1681">
        <v>1</v>
      </c>
      <c r="T1681">
        <v>4</v>
      </c>
      <c r="U1681">
        <v>1</v>
      </c>
      <c r="V1681" s="1">
        <v>44909</v>
      </c>
      <c r="W1681" t="s">
        <v>68</v>
      </c>
      <c r="X1681" t="s">
        <v>51</v>
      </c>
      <c r="Y1681" t="s">
        <v>52</v>
      </c>
      <c r="Z1681">
        <v>2</v>
      </c>
      <c r="AA1681">
        <v>333.27</v>
      </c>
      <c r="AB1681">
        <v>34</v>
      </c>
    </row>
    <row r="1682" spans="1:28" x14ac:dyDescent="0.2">
      <c r="A1682">
        <v>2204</v>
      </c>
      <c r="B1682" s="1">
        <v>44463</v>
      </c>
      <c r="C1682" t="s">
        <v>28</v>
      </c>
      <c r="D1682" t="s">
        <v>54</v>
      </c>
      <c r="E1682" t="s">
        <v>30</v>
      </c>
      <c r="F1682" t="s">
        <v>46</v>
      </c>
      <c r="G1682" t="s">
        <v>56</v>
      </c>
      <c r="H1682" t="s">
        <v>46</v>
      </c>
      <c r="I1682" t="s">
        <v>34</v>
      </c>
      <c r="J1682" t="s">
        <v>100</v>
      </c>
      <c r="K1682" s="2">
        <v>30978</v>
      </c>
      <c r="L1682" t="s">
        <v>36</v>
      </c>
      <c r="M1682" t="s">
        <v>37</v>
      </c>
      <c r="N1682" t="s">
        <v>60</v>
      </c>
      <c r="O1682" t="s">
        <v>77</v>
      </c>
      <c r="P1682" t="s">
        <v>98</v>
      </c>
      <c r="Q1682">
        <v>2</v>
      </c>
      <c r="R1682" s="2">
        <v>44835</v>
      </c>
      <c r="S1682">
        <v>5</v>
      </c>
      <c r="T1682">
        <v>2</v>
      </c>
      <c r="U1682">
        <v>3</v>
      </c>
      <c r="V1682" s="1">
        <v>44892</v>
      </c>
      <c r="W1682" t="s">
        <v>50</v>
      </c>
      <c r="X1682" t="s">
        <v>42</v>
      </c>
      <c r="Y1682" t="s">
        <v>73</v>
      </c>
      <c r="Z1682">
        <v>3</v>
      </c>
      <c r="AA1682">
        <v>284.05</v>
      </c>
      <c r="AB1682">
        <v>37</v>
      </c>
    </row>
    <row r="1683" spans="1:28" x14ac:dyDescent="0.2">
      <c r="A1683">
        <v>2205</v>
      </c>
      <c r="B1683" s="1">
        <v>44664</v>
      </c>
      <c r="C1683" t="s">
        <v>28</v>
      </c>
      <c r="D1683" t="s">
        <v>69</v>
      </c>
      <c r="E1683" t="s">
        <v>30</v>
      </c>
      <c r="F1683" t="s">
        <v>55</v>
      </c>
      <c r="G1683" t="s">
        <v>56</v>
      </c>
      <c r="H1683" t="s">
        <v>55</v>
      </c>
      <c r="I1683" t="s">
        <v>34</v>
      </c>
      <c r="J1683" t="s">
        <v>58</v>
      </c>
      <c r="K1683" s="2">
        <v>16084</v>
      </c>
      <c r="L1683" t="s">
        <v>36</v>
      </c>
      <c r="M1683" t="s">
        <v>37</v>
      </c>
      <c r="N1683" t="s">
        <v>72</v>
      </c>
      <c r="O1683" t="s">
        <v>77</v>
      </c>
      <c r="P1683" t="s">
        <v>98</v>
      </c>
      <c r="Q1683">
        <v>4</v>
      </c>
      <c r="R1683" s="2">
        <v>44809</v>
      </c>
      <c r="S1683">
        <v>2</v>
      </c>
      <c r="T1683">
        <v>3</v>
      </c>
      <c r="U1683">
        <v>5</v>
      </c>
      <c r="V1683" s="1">
        <v>45100</v>
      </c>
      <c r="W1683" t="s">
        <v>41</v>
      </c>
      <c r="X1683" t="s">
        <v>42</v>
      </c>
      <c r="Y1683" t="s">
        <v>52</v>
      </c>
      <c r="Z1683">
        <v>1</v>
      </c>
      <c r="AA1683">
        <v>271.69</v>
      </c>
      <c r="AB1683">
        <v>78</v>
      </c>
    </row>
    <row r="1684" spans="1:28" x14ac:dyDescent="0.2">
      <c r="A1684">
        <v>2206</v>
      </c>
      <c r="B1684" s="1">
        <v>44859</v>
      </c>
      <c r="C1684" t="s">
        <v>28</v>
      </c>
      <c r="D1684" t="s">
        <v>29</v>
      </c>
      <c r="E1684" t="s">
        <v>30</v>
      </c>
      <c r="F1684" t="s">
        <v>31</v>
      </c>
      <c r="G1684" t="s">
        <v>45</v>
      </c>
      <c r="H1684" t="s">
        <v>33</v>
      </c>
      <c r="I1684" t="s">
        <v>34</v>
      </c>
      <c r="J1684" t="s">
        <v>70</v>
      </c>
      <c r="K1684" s="2">
        <v>15350</v>
      </c>
      <c r="L1684" t="s">
        <v>36</v>
      </c>
      <c r="M1684" t="s">
        <v>37</v>
      </c>
      <c r="N1684" t="s">
        <v>60</v>
      </c>
      <c r="O1684" t="s">
        <v>39</v>
      </c>
      <c r="P1684" t="s">
        <v>98</v>
      </c>
      <c r="Q1684">
        <v>5</v>
      </c>
      <c r="R1684" s="2">
        <v>44797</v>
      </c>
      <c r="S1684">
        <v>2</v>
      </c>
      <c r="T1684">
        <v>4</v>
      </c>
      <c r="U1684">
        <v>3</v>
      </c>
      <c r="V1684" s="1">
        <v>44820</v>
      </c>
      <c r="W1684" t="s">
        <v>68</v>
      </c>
      <c r="X1684" t="s">
        <v>42</v>
      </c>
      <c r="Y1684" t="s">
        <v>63</v>
      </c>
      <c r="Z1684">
        <v>3</v>
      </c>
      <c r="AA1684">
        <v>274.22000000000003</v>
      </c>
      <c r="AB1684">
        <v>80</v>
      </c>
    </row>
    <row r="1685" spans="1:28" x14ac:dyDescent="0.2">
      <c r="A1685">
        <v>2207</v>
      </c>
      <c r="B1685" s="1">
        <v>44223</v>
      </c>
      <c r="C1685" t="s">
        <v>28</v>
      </c>
      <c r="D1685" t="s">
        <v>85</v>
      </c>
      <c r="E1685" t="s">
        <v>30</v>
      </c>
      <c r="F1685" t="s">
        <v>55</v>
      </c>
      <c r="G1685" t="s">
        <v>32</v>
      </c>
      <c r="H1685" t="s">
        <v>55</v>
      </c>
      <c r="I1685" t="s">
        <v>34</v>
      </c>
      <c r="J1685" t="s">
        <v>70</v>
      </c>
      <c r="K1685" s="2">
        <v>19516</v>
      </c>
      <c r="L1685" t="s">
        <v>36</v>
      </c>
      <c r="M1685" t="s">
        <v>37</v>
      </c>
      <c r="N1685" t="s">
        <v>72</v>
      </c>
      <c r="O1685" t="s">
        <v>77</v>
      </c>
      <c r="P1685" t="s">
        <v>98</v>
      </c>
      <c r="Q1685">
        <v>5</v>
      </c>
      <c r="R1685" s="2">
        <v>45014</v>
      </c>
      <c r="S1685">
        <v>3</v>
      </c>
      <c r="T1685">
        <v>3</v>
      </c>
      <c r="U1685">
        <v>1</v>
      </c>
      <c r="V1685" s="1">
        <v>45103</v>
      </c>
      <c r="W1685" t="s">
        <v>62</v>
      </c>
      <c r="X1685" t="s">
        <v>51</v>
      </c>
      <c r="Y1685" t="s">
        <v>52</v>
      </c>
      <c r="Z1685">
        <v>1</v>
      </c>
      <c r="AA1685">
        <v>448.93</v>
      </c>
      <c r="AB1685">
        <v>68</v>
      </c>
    </row>
    <row r="1686" spans="1:28" x14ac:dyDescent="0.2">
      <c r="A1686">
        <v>2208</v>
      </c>
      <c r="B1686" s="1">
        <v>43364</v>
      </c>
      <c r="C1686" t="s">
        <v>112</v>
      </c>
      <c r="D1686" t="s">
        <v>74</v>
      </c>
      <c r="E1686" t="s">
        <v>30</v>
      </c>
      <c r="F1686" t="s">
        <v>55</v>
      </c>
      <c r="G1686" t="s">
        <v>56</v>
      </c>
      <c r="H1686" t="s">
        <v>55</v>
      </c>
      <c r="I1686" t="s">
        <v>95</v>
      </c>
      <c r="J1686" t="s">
        <v>97</v>
      </c>
      <c r="K1686" s="2">
        <v>17826</v>
      </c>
      <c r="L1686" t="s">
        <v>71</v>
      </c>
      <c r="M1686" t="s">
        <v>37</v>
      </c>
      <c r="N1686" t="s">
        <v>60</v>
      </c>
      <c r="O1686" t="s">
        <v>67</v>
      </c>
      <c r="P1686" t="s">
        <v>98</v>
      </c>
      <c r="Q1686">
        <v>5</v>
      </c>
      <c r="R1686" s="2">
        <v>44992</v>
      </c>
      <c r="S1686">
        <v>5</v>
      </c>
      <c r="T1686">
        <v>3</v>
      </c>
      <c r="U1686">
        <v>3</v>
      </c>
      <c r="V1686" s="1">
        <v>44806</v>
      </c>
      <c r="W1686" t="s">
        <v>68</v>
      </c>
      <c r="X1686" t="s">
        <v>42</v>
      </c>
      <c r="Y1686" t="s">
        <v>52</v>
      </c>
      <c r="Z1686">
        <v>3</v>
      </c>
      <c r="AA1686">
        <v>907.13</v>
      </c>
      <c r="AB1686">
        <v>70</v>
      </c>
    </row>
    <row r="1687" spans="1:28" x14ac:dyDescent="0.2">
      <c r="A1687">
        <v>2209</v>
      </c>
      <c r="B1687" s="1">
        <v>43935</v>
      </c>
      <c r="C1687" t="s">
        <v>112</v>
      </c>
      <c r="D1687" t="s">
        <v>94</v>
      </c>
      <c r="E1687" t="s">
        <v>30</v>
      </c>
      <c r="F1687" t="s">
        <v>46</v>
      </c>
      <c r="G1687" t="s">
        <v>32</v>
      </c>
      <c r="H1687" t="s">
        <v>46</v>
      </c>
      <c r="I1687" t="s">
        <v>95</v>
      </c>
      <c r="J1687" t="s">
        <v>101</v>
      </c>
      <c r="K1687" s="2">
        <v>36768</v>
      </c>
      <c r="L1687" t="s">
        <v>36</v>
      </c>
      <c r="M1687" t="s">
        <v>48</v>
      </c>
      <c r="N1687" t="s">
        <v>72</v>
      </c>
      <c r="O1687" t="s">
        <v>39</v>
      </c>
      <c r="P1687" t="s">
        <v>98</v>
      </c>
      <c r="Q1687">
        <v>5</v>
      </c>
      <c r="R1687" s="2">
        <v>45017</v>
      </c>
      <c r="S1687">
        <v>2</v>
      </c>
      <c r="T1687">
        <v>2</v>
      </c>
      <c r="U1687">
        <v>5</v>
      </c>
      <c r="V1687" s="1">
        <v>44867</v>
      </c>
      <c r="W1687" t="s">
        <v>68</v>
      </c>
      <c r="X1687" t="s">
        <v>51</v>
      </c>
      <c r="Y1687" t="s">
        <v>63</v>
      </c>
      <c r="Z1687">
        <v>3</v>
      </c>
      <c r="AA1687">
        <v>545.69000000000005</v>
      </c>
      <c r="AB1687">
        <v>20</v>
      </c>
    </row>
    <row r="1688" spans="1:28" x14ac:dyDescent="0.2">
      <c r="A1688">
        <v>2210</v>
      </c>
      <c r="B1688" s="1">
        <v>44347</v>
      </c>
      <c r="C1688" t="s">
        <v>112</v>
      </c>
      <c r="D1688" t="s">
        <v>54</v>
      </c>
      <c r="E1688" t="s">
        <v>30</v>
      </c>
      <c r="F1688" t="s">
        <v>46</v>
      </c>
      <c r="G1688" t="s">
        <v>32</v>
      </c>
      <c r="H1688" t="s">
        <v>33</v>
      </c>
      <c r="I1688" t="s">
        <v>95</v>
      </c>
      <c r="J1688" t="s">
        <v>101</v>
      </c>
      <c r="K1688" s="2">
        <v>23785</v>
      </c>
      <c r="L1688" t="s">
        <v>36</v>
      </c>
      <c r="M1688" t="s">
        <v>37</v>
      </c>
      <c r="N1688" t="s">
        <v>72</v>
      </c>
      <c r="O1688" t="s">
        <v>61</v>
      </c>
      <c r="P1688" t="s">
        <v>78</v>
      </c>
      <c r="Q1688">
        <v>4</v>
      </c>
      <c r="R1688" s="2">
        <v>44935</v>
      </c>
      <c r="S1688">
        <v>1</v>
      </c>
      <c r="T1688">
        <v>5</v>
      </c>
      <c r="U1688">
        <v>3</v>
      </c>
      <c r="V1688" s="1">
        <v>45124</v>
      </c>
      <c r="W1688" t="s">
        <v>68</v>
      </c>
      <c r="X1688" t="s">
        <v>42</v>
      </c>
      <c r="Y1688" t="s">
        <v>63</v>
      </c>
      <c r="Z1688">
        <v>5</v>
      </c>
      <c r="AA1688">
        <v>220.14</v>
      </c>
      <c r="AB1688">
        <v>56</v>
      </c>
    </row>
    <row r="1689" spans="1:28" x14ac:dyDescent="0.2">
      <c r="A1689">
        <v>2211</v>
      </c>
      <c r="B1689" s="1">
        <v>43931</v>
      </c>
      <c r="C1689" t="s">
        <v>112</v>
      </c>
      <c r="D1689" t="s">
        <v>74</v>
      </c>
      <c r="E1689" t="s">
        <v>30</v>
      </c>
      <c r="F1689" t="s">
        <v>31</v>
      </c>
      <c r="G1689" t="s">
        <v>32</v>
      </c>
      <c r="H1689" t="s">
        <v>33</v>
      </c>
      <c r="I1689" t="s">
        <v>95</v>
      </c>
      <c r="J1689" t="s">
        <v>70</v>
      </c>
      <c r="K1689" s="2">
        <v>26169</v>
      </c>
      <c r="L1689" t="s">
        <v>71</v>
      </c>
      <c r="M1689" t="s">
        <v>37</v>
      </c>
      <c r="N1689" t="s">
        <v>38</v>
      </c>
      <c r="O1689" t="s">
        <v>67</v>
      </c>
      <c r="P1689" t="s">
        <v>78</v>
      </c>
      <c r="Q1689">
        <v>5</v>
      </c>
      <c r="R1689" s="2">
        <v>44958</v>
      </c>
      <c r="S1689">
        <v>1</v>
      </c>
      <c r="T1689">
        <v>5</v>
      </c>
      <c r="U1689">
        <v>3</v>
      </c>
      <c r="V1689" s="1">
        <v>44886</v>
      </c>
      <c r="W1689" t="s">
        <v>41</v>
      </c>
      <c r="X1689" t="s">
        <v>51</v>
      </c>
      <c r="Y1689" t="s">
        <v>63</v>
      </c>
      <c r="Z1689">
        <v>3</v>
      </c>
      <c r="AA1689">
        <v>906.62</v>
      </c>
      <c r="AB1689">
        <v>49</v>
      </c>
    </row>
    <row r="1690" spans="1:28" x14ac:dyDescent="0.2">
      <c r="A1690">
        <v>2212</v>
      </c>
      <c r="B1690" s="1">
        <v>44745</v>
      </c>
      <c r="C1690" t="s">
        <v>112</v>
      </c>
      <c r="D1690" t="s">
        <v>87</v>
      </c>
      <c r="E1690" t="s">
        <v>30</v>
      </c>
      <c r="F1690" t="s">
        <v>55</v>
      </c>
      <c r="G1690" t="s">
        <v>32</v>
      </c>
      <c r="H1690" t="s">
        <v>46</v>
      </c>
      <c r="I1690" t="s">
        <v>95</v>
      </c>
      <c r="J1690" t="s">
        <v>70</v>
      </c>
      <c r="K1690" s="2">
        <v>33369</v>
      </c>
      <c r="L1690" t="s">
        <v>36</v>
      </c>
      <c r="M1690" t="s">
        <v>37</v>
      </c>
      <c r="N1690" t="s">
        <v>38</v>
      </c>
      <c r="O1690" t="s">
        <v>39</v>
      </c>
      <c r="P1690" t="s">
        <v>78</v>
      </c>
      <c r="Q1690">
        <v>1</v>
      </c>
      <c r="R1690" s="2">
        <v>45133</v>
      </c>
      <c r="S1690">
        <v>4</v>
      </c>
      <c r="T1690">
        <v>1</v>
      </c>
      <c r="U1690">
        <v>5</v>
      </c>
      <c r="V1690" s="1">
        <v>45126</v>
      </c>
      <c r="W1690" t="s">
        <v>68</v>
      </c>
      <c r="X1690" t="s">
        <v>42</v>
      </c>
      <c r="Y1690" t="s">
        <v>52</v>
      </c>
      <c r="Z1690">
        <v>1</v>
      </c>
      <c r="AA1690">
        <v>160.81</v>
      </c>
      <c r="AB1690">
        <v>31</v>
      </c>
    </row>
    <row r="1691" spans="1:28" x14ac:dyDescent="0.2">
      <c r="A1691">
        <v>2213</v>
      </c>
      <c r="B1691" s="1">
        <v>45000</v>
      </c>
      <c r="C1691" t="s">
        <v>112</v>
      </c>
      <c r="D1691" t="s">
        <v>44</v>
      </c>
      <c r="E1691" t="s">
        <v>30</v>
      </c>
      <c r="F1691" t="s">
        <v>46</v>
      </c>
      <c r="G1691" t="s">
        <v>45</v>
      </c>
      <c r="H1691" t="s">
        <v>55</v>
      </c>
      <c r="I1691" t="s">
        <v>95</v>
      </c>
      <c r="J1691" t="s">
        <v>100</v>
      </c>
      <c r="K1691" s="2">
        <v>23988</v>
      </c>
      <c r="L1691" t="s">
        <v>36</v>
      </c>
      <c r="M1691" t="s">
        <v>37</v>
      </c>
      <c r="N1691" t="s">
        <v>84</v>
      </c>
      <c r="O1691" t="s">
        <v>67</v>
      </c>
      <c r="P1691" t="s">
        <v>78</v>
      </c>
      <c r="Q1691">
        <v>5</v>
      </c>
      <c r="R1691" s="2">
        <v>45051</v>
      </c>
      <c r="S1691">
        <v>1</v>
      </c>
      <c r="T1691">
        <v>4</v>
      </c>
      <c r="U1691">
        <v>2</v>
      </c>
      <c r="V1691" s="1">
        <v>45025</v>
      </c>
      <c r="W1691" t="s">
        <v>68</v>
      </c>
      <c r="X1691" t="s">
        <v>42</v>
      </c>
      <c r="Y1691" t="s">
        <v>73</v>
      </c>
      <c r="Z1691">
        <v>1</v>
      </c>
      <c r="AA1691">
        <v>196.03</v>
      </c>
      <c r="AB1691">
        <v>58</v>
      </c>
    </row>
    <row r="1692" spans="1:28" x14ac:dyDescent="0.2">
      <c r="A1692">
        <v>2214</v>
      </c>
      <c r="B1692" s="1">
        <v>44406</v>
      </c>
      <c r="C1692" t="s">
        <v>112</v>
      </c>
      <c r="D1692" t="s">
        <v>29</v>
      </c>
      <c r="E1692" t="s">
        <v>30</v>
      </c>
      <c r="F1692" t="s">
        <v>31</v>
      </c>
      <c r="G1692" t="s">
        <v>32</v>
      </c>
      <c r="H1692" t="s">
        <v>55</v>
      </c>
      <c r="I1692" t="s">
        <v>95</v>
      </c>
      <c r="J1692" t="s">
        <v>70</v>
      </c>
      <c r="K1692" s="2">
        <v>18923</v>
      </c>
      <c r="L1692" t="s">
        <v>36</v>
      </c>
      <c r="M1692" t="s">
        <v>37</v>
      </c>
      <c r="N1692" t="s">
        <v>72</v>
      </c>
      <c r="O1692" t="s">
        <v>67</v>
      </c>
      <c r="P1692" t="s">
        <v>78</v>
      </c>
      <c r="Q1692">
        <v>4</v>
      </c>
      <c r="R1692" s="2">
        <v>44983</v>
      </c>
      <c r="S1692">
        <v>1</v>
      </c>
      <c r="T1692">
        <v>1</v>
      </c>
      <c r="U1692">
        <v>5</v>
      </c>
      <c r="V1692" s="1">
        <v>45001</v>
      </c>
      <c r="W1692" t="s">
        <v>41</v>
      </c>
      <c r="X1692" t="s">
        <v>42</v>
      </c>
      <c r="Y1692" t="s">
        <v>73</v>
      </c>
      <c r="Z1692">
        <v>4</v>
      </c>
      <c r="AA1692">
        <v>973.62</v>
      </c>
      <c r="AB1692">
        <v>70</v>
      </c>
    </row>
    <row r="1693" spans="1:28" x14ac:dyDescent="0.2">
      <c r="A1693">
        <v>2215</v>
      </c>
      <c r="B1693" s="1">
        <v>44597</v>
      </c>
      <c r="C1693" t="s">
        <v>112</v>
      </c>
      <c r="D1693" t="s">
        <v>69</v>
      </c>
      <c r="E1693" t="s">
        <v>30</v>
      </c>
      <c r="F1693" t="s">
        <v>31</v>
      </c>
      <c r="G1693" t="s">
        <v>56</v>
      </c>
      <c r="H1693" t="s">
        <v>33</v>
      </c>
      <c r="I1693" t="s">
        <v>95</v>
      </c>
      <c r="J1693" t="s">
        <v>79</v>
      </c>
      <c r="K1693" s="2">
        <v>22997</v>
      </c>
      <c r="L1693" t="s">
        <v>36</v>
      </c>
      <c r="M1693" t="s">
        <v>37</v>
      </c>
      <c r="N1693" t="s">
        <v>84</v>
      </c>
      <c r="O1693" t="s">
        <v>77</v>
      </c>
      <c r="P1693" t="s">
        <v>78</v>
      </c>
      <c r="Q1693">
        <v>1</v>
      </c>
      <c r="R1693" s="2">
        <v>45040</v>
      </c>
      <c r="S1693">
        <v>1</v>
      </c>
      <c r="T1693">
        <v>5</v>
      </c>
      <c r="U1693">
        <v>5</v>
      </c>
      <c r="V1693" s="1">
        <v>44834</v>
      </c>
      <c r="W1693" t="s">
        <v>50</v>
      </c>
      <c r="X1693" t="s">
        <v>51</v>
      </c>
      <c r="Y1693" t="s">
        <v>43</v>
      </c>
      <c r="Z1693">
        <v>3</v>
      </c>
      <c r="AA1693">
        <v>227</v>
      </c>
      <c r="AB1693">
        <v>60</v>
      </c>
    </row>
    <row r="1694" spans="1:28" x14ac:dyDescent="0.2">
      <c r="A1694">
        <v>2216</v>
      </c>
      <c r="B1694" s="1">
        <v>44874</v>
      </c>
      <c r="C1694" t="s">
        <v>143</v>
      </c>
      <c r="D1694" t="s">
        <v>74</v>
      </c>
      <c r="E1694" t="s">
        <v>30</v>
      </c>
      <c r="F1694" t="s">
        <v>46</v>
      </c>
      <c r="G1694" t="s">
        <v>56</v>
      </c>
      <c r="H1694" t="s">
        <v>33</v>
      </c>
      <c r="I1694" t="s">
        <v>95</v>
      </c>
      <c r="J1694" t="s">
        <v>65</v>
      </c>
      <c r="K1694" s="2">
        <v>26339</v>
      </c>
      <c r="L1694" t="s">
        <v>36</v>
      </c>
      <c r="M1694" t="s">
        <v>37</v>
      </c>
      <c r="N1694" t="s">
        <v>49</v>
      </c>
      <c r="O1694" t="s">
        <v>61</v>
      </c>
      <c r="P1694" t="s">
        <v>78</v>
      </c>
      <c r="Q1694">
        <v>1</v>
      </c>
      <c r="R1694" s="2">
        <v>45029</v>
      </c>
      <c r="S1694">
        <v>4</v>
      </c>
      <c r="T1694">
        <v>5</v>
      </c>
      <c r="U1694">
        <v>2</v>
      </c>
      <c r="V1694" s="1">
        <v>44920</v>
      </c>
      <c r="W1694" t="s">
        <v>50</v>
      </c>
      <c r="X1694" t="s">
        <v>51</v>
      </c>
      <c r="Y1694" t="s">
        <v>52</v>
      </c>
      <c r="Z1694">
        <v>4</v>
      </c>
      <c r="AA1694">
        <v>587.29</v>
      </c>
      <c r="AB1694">
        <v>50</v>
      </c>
    </row>
    <row r="1695" spans="1:28" x14ac:dyDescent="0.2">
      <c r="A1695">
        <v>2217</v>
      </c>
      <c r="B1695" s="1">
        <v>44158</v>
      </c>
      <c r="C1695" t="s">
        <v>144</v>
      </c>
      <c r="D1695" t="s">
        <v>64</v>
      </c>
      <c r="E1695" t="s">
        <v>30</v>
      </c>
      <c r="F1695" t="s">
        <v>46</v>
      </c>
      <c r="G1695" t="s">
        <v>45</v>
      </c>
      <c r="H1695" t="s">
        <v>33</v>
      </c>
      <c r="I1695" t="s">
        <v>95</v>
      </c>
      <c r="J1695" t="s">
        <v>104</v>
      </c>
      <c r="K1695" s="2">
        <v>34901</v>
      </c>
      <c r="L1695" t="s">
        <v>71</v>
      </c>
      <c r="M1695" t="s">
        <v>37</v>
      </c>
      <c r="N1695" t="s">
        <v>49</v>
      </c>
      <c r="O1695" t="s">
        <v>77</v>
      </c>
      <c r="P1695" t="s">
        <v>78</v>
      </c>
      <c r="Q1695">
        <v>4</v>
      </c>
      <c r="R1695" s="2">
        <v>44839</v>
      </c>
      <c r="S1695">
        <v>2</v>
      </c>
      <c r="T1695">
        <v>1</v>
      </c>
      <c r="U1695">
        <v>2</v>
      </c>
      <c r="V1695" s="1">
        <v>45008</v>
      </c>
      <c r="W1695" t="s">
        <v>92</v>
      </c>
      <c r="X1695" t="s">
        <v>51</v>
      </c>
      <c r="Y1695" t="s">
        <v>43</v>
      </c>
      <c r="Z1695">
        <v>1</v>
      </c>
      <c r="AA1695">
        <v>315.39</v>
      </c>
      <c r="AB1695">
        <v>25</v>
      </c>
    </row>
    <row r="1696" spans="1:28" x14ac:dyDescent="0.2">
      <c r="A1696">
        <v>2218</v>
      </c>
      <c r="B1696" s="1">
        <v>43517</v>
      </c>
      <c r="C1696" t="s">
        <v>145</v>
      </c>
      <c r="D1696" t="s">
        <v>85</v>
      </c>
      <c r="E1696" t="s">
        <v>30</v>
      </c>
      <c r="F1696" t="s">
        <v>46</v>
      </c>
      <c r="G1696" t="s">
        <v>56</v>
      </c>
      <c r="H1696" t="s">
        <v>46</v>
      </c>
      <c r="I1696" t="s">
        <v>95</v>
      </c>
      <c r="J1696" t="s">
        <v>70</v>
      </c>
      <c r="K1696" s="2">
        <v>24784</v>
      </c>
      <c r="L1696" t="s">
        <v>36</v>
      </c>
      <c r="M1696" t="s">
        <v>37</v>
      </c>
      <c r="N1696" t="s">
        <v>84</v>
      </c>
      <c r="O1696" t="s">
        <v>39</v>
      </c>
      <c r="P1696" t="s">
        <v>78</v>
      </c>
      <c r="Q1696">
        <v>4</v>
      </c>
      <c r="R1696" s="2">
        <v>44844</v>
      </c>
      <c r="S1696">
        <v>4</v>
      </c>
      <c r="T1696">
        <v>1</v>
      </c>
      <c r="U1696">
        <v>5</v>
      </c>
      <c r="V1696" s="1">
        <v>44922</v>
      </c>
      <c r="W1696" t="s">
        <v>68</v>
      </c>
      <c r="X1696" t="s">
        <v>42</v>
      </c>
      <c r="Y1696" t="s">
        <v>52</v>
      </c>
      <c r="Z1696">
        <v>5</v>
      </c>
      <c r="AA1696">
        <v>222.99</v>
      </c>
      <c r="AB1696">
        <v>52</v>
      </c>
    </row>
    <row r="1697" spans="1:28" x14ac:dyDescent="0.2">
      <c r="A1697">
        <v>2219</v>
      </c>
      <c r="B1697" s="1">
        <v>44829</v>
      </c>
      <c r="C1697" t="s">
        <v>112</v>
      </c>
      <c r="D1697" t="s">
        <v>85</v>
      </c>
      <c r="E1697" t="s">
        <v>30</v>
      </c>
      <c r="F1697" t="s">
        <v>46</v>
      </c>
      <c r="G1697" t="s">
        <v>32</v>
      </c>
      <c r="H1697" t="s">
        <v>46</v>
      </c>
      <c r="I1697" t="s">
        <v>95</v>
      </c>
      <c r="J1697" t="s">
        <v>101</v>
      </c>
      <c r="K1697" s="2">
        <v>24405</v>
      </c>
      <c r="L1697" t="s">
        <v>36</v>
      </c>
      <c r="M1697" t="s">
        <v>37</v>
      </c>
      <c r="N1697" t="s">
        <v>49</v>
      </c>
      <c r="O1697" t="s">
        <v>39</v>
      </c>
      <c r="P1697" t="s">
        <v>78</v>
      </c>
      <c r="Q1697">
        <v>5</v>
      </c>
      <c r="R1697" s="2">
        <v>45014</v>
      </c>
      <c r="S1697">
        <v>5</v>
      </c>
      <c r="T1697">
        <v>2</v>
      </c>
      <c r="U1697">
        <v>2</v>
      </c>
      <c r="V1697" s="1">
        <v>44929</v>
      </c>
      <c r="W1697" t="s">
        <v>68</v>
      </c>
      <c r="X1697" t="s">
        <v>51</v>
      </c>
      <c r="Y1697" t="s">
        <v>43</v>
      </c>
      <c r="Z1697">
        <v>5</v>
      </c>
      <c r="AA1697">
        <v>401.35</v>
      </c>
      <c r="AB1697">
        <v>56</v>
      </c>
    </row>
    <row r="1698" spans="1:28" x14ac:dyDescent="0.2">
      <c r="A1698">
        <v>2220</v>
      </c>
      <c r="B1698" s="1">
        <v>44821</v>
      </c>
      <c r="C1698" t="s">
        <v>112</v>
      </c>
      <c r="D1698" t="s">
        <v>44</v>
      </c>
      <c r="E1698" t="s">
        <v>30</v>
      </c>
      <c r="F1698" t="s">
        <v>31</v>
      </c>
      <c r="G1698" t="s">
        <v>56</v>
      </c>
      <c r="H1698" t="s">
        <v>33</v>
      </c>
      <c r="I1698" t="s">
        <v>95</v>
      </c>
      <c r="J1698" t="s">
        <v>75</v>
      </c>
      <c r="K1698" s="2">
        <v>22527</v>
      </c>
      <c r="L1698" t="s">
        <v>36</v>
      </c>
      <c r="M1698" t="s">
        <v>37</v>
      </c>
      <c r="N1698" t="s">
        <v>84</v>
      </c>
      <c r="O1698" t="s">
        <v>67</v>
      </c>
      <c r="P1698" t="s">
        <v>78</v>
      </c>
      <c r="Q1698">
        <v>4</v>
      </c>
      <c r="R1698" s="2">
        <v>44987</v>
      </c>
      <c r="S1698">
        <v>3</v>
      </c>
      <c r="T1698">
        <v>3</v>
      </c>
      <c r="U1698">
        <v>5</v>
      </c>
      <c r="V1698" s="1">
        <v>45079</v>
      </c>
      <c r="W1698" t="s">
        <v>41</v>
      </c>
      <c r="X1698" t="s">
        <v>51</v>
      </c>
      <c r="Y1698" t="s">
        <v>63</v>
      </c>
      <c r="Z1698">
        <v>4</v>
      </c>
      <c r="AA1698">
        <v>938.01</v>
      </c>
      <c r="AB1698">
        <v>61</v>
      </c>
    </row>
    <row r="1699" spans="1:28" x14ac:dyDescent="0.2">
      <c r="A1699">
        <v>2221</v>
      </c>
      <c r="B1699" s="1">
        <v>43616</v>
      </c>
      <c r="C1699" t="s">
        <v>112</v>
      </c>
      <c r="D1699" t="s">
        <v>87</v>
      </c>
      <c r="E1699" t="s">
        <v>30</v>
      </c>
      <c r="F1699" t="s">
        <v>31</v>
      </c>
      <c r="G1699" t="s">
        <v>32</v>
      </c>
      <c r="H1699" t="s">
        <v>46</v>
      </c>
      <c r="I1699" t="s">
        <v>95</v>
      </c>
      <c r="J1699" t="s">
        <v>70</v>
      </c>
      <c r="K1699" s="2">
        <v>34287</v>
      </c>
      <c r="L1699" t="s">
        <v>36</v>
      </c>
      <c r="M1699" t="s">
        <v>37</v>
      </c>
      <c r="N1699" t="s">
        <v>49</v>
      </c>
      <c r="O1699" t="s">
        <v>61</v>
      </c>
      <c r="P1699" t="s">
        <v>78</v>
      </c>
      <c r="Q1699">
        <v>4</v>
      </c>
      <c r="R1699" s="2">
        <v>45044</v>
      </c>
      <c r="S1699">
        <v>1</v>
      </c>
      <c r="T1699">
        <v>5</v>
      </c>
      <c r="U1699">
        <v>1</v>
      </c>
      <c r="V1699" s="1">
        <v>44780</v>
      </c>
      <c r="W1699" t="s">
        <v>68</v>
      </c>
      <c r="X1699" t="s">
        <v>42</v>
      </c>
      <c r="Y1699" t="s">
        <v>52</v>
      </c>
      <c r="Z1699">
        <v>1</v>
      </c>
      <c r="AA1699">
        <v>737.04</v>
      </c>
      <c r="AB1699">
        <v>26</v>
      </c>
    </row>
    <row r="1700" spans="1:28" x14ac:dyDescent="0.2">
      <c r="A1700">
        <v>2222</v>
      </c>
      <c r="B1700" s="1">
        <v>44033</v>
      </c>
      <c r="C1700" t="s">
        <v>112</v>
      </c>
      <c r="D1700" t="s">
        <v>64</v>
      </c>
      <c r="E1700" t="s">
        <v>30</v>
      </c>
      <c r="F1700" t="s">
        <v>46</v>
      </c>
      <c r="G1700" t="s">
        <v>45</v>
      </c>
      <c r="H1700" t="s">
        <v>33</v>
      </c>
      <c r="I1700" t="s">
        <v>95</v>
      </c>
      <c r="J1700" t="s">
        <v>101</v>
      </c>
      <c r="K1700" s="2">
        <v>35993</v>
      </c>
      <c r="L1700" t="s">
        <v>36</v>
      </c>
      <c r="M1700" t="s">
        <v>37</v>
      </c>
      <c r="N1700" t="s">
        <v>49</v>
      </c>
      <c r="O1700" t="s">
        <v>39</v>
      </c>
      <c r="P1700" t="s">
        <v>78</v>
      </c>
      <c r="Q1700">
        <v>4</v>
      </c>
      <c r="R1700" s="2">
        <v>44818</v>
      </c>
      <c r="S1700">
        <v>2</v>
      </c>
      <c r="T1700">
        <v>3</v>
      </c>
      <c r="U1700">
        <v>5</v>
      </c>
      <c r="V1700" s="1">
        <v>45081</v>
      </c>
      <c r="W1700" t="s">
        <v>62</v>
      </c>
      <c r="X1700" t="s">
        <v>51</v>
      </c>
      <c r="Y1700" t="s">
        <v>43</v>
      </c>
      <c r="Z1700">
        <v>3</v>
      </c>
      <c r="AA1700">
        <v>303.01</v>
      </c>
      <c r="AB1700">
        <v>22</v>
      </c>
    </row>
    <row r="1701" spans="1:28" x14ac:dyDescent="0.2">
      <c r="A1701">
        <v>2223</v>
      </c>
      <c r="B1701" s="1">
        <v>44016</v>
      </c>
      <c r="C1701" t="s">
        <v>143</v>
      </c>
      <c r="D1701" t="s">
        <v>69</v>
      </c>
      <c r="E1701" t="s">
        <v>30</v>
      </c>
      <c r="F1701" t="s">
        <v>55</v>
      </c>
      <c r="G1701" t="s">
        <v>32</v>
      </c>
      <c r="H1701" t="s">
        <v>33</v>
      </c>
      <c r="I1701" t="s">
        <v>95</v>
      </c>
      <c r="J1701" t="s">
        <v>82</v>
      </c>
      <c r="K1701" s="2">
        <v>15390</v>
      </c>
      <c r="L1701" t="s">
        <v>36</v>
      </c>
      <c r="M1701" t="s">
        <v>37</v>
      </c>
      <c r="N1701" t="s">
        <v>84</v>
      </c>
      <c r="O1701" t="s">
        <v>39</v>
      </c>
      <c r="P1701" t="s">
        <v>78</v>
      </c>
      <c r="Q1701">
        <v>2</v>
      </c>
      <c r="R1701" s="2">
        <v>45069</v>
      </c>
      <c r="S1701">
        <v>1</v>
      </c>
      <c r="T1701">
        <v>1</v>
      </c>
      <c r="U1701">
        <v>4</v>
      </c>
      <c r="V1701" s="1">
        <v>45023</v>
      </c>
      <c r="W1701" t="s">
        <v>92</v>
      </c>
      <c r="X1701" t="s">
        <v>51</v>
      </c>
      <c r="Y1701" t="s">
        <v>63</v>
      </c>
      <c r="Z1701">
        <v>2</v>
      </c>
      <c r="AA1701">
        <v>905.55</v>
      </c>
      <c r="AB1701">
        <v>78</v>
      </c>
    </row>
    <row r="1702" spans="1:28" x14ac:dyDescent="0.2">
      <c r="A1702">
        <v>2224</v>
      </c>
      <c r="B1702" s="1">
        <v>44117</v>
      </c>
      <c r="C1702" t="s">
        <v>144</v>
      </c>
      <c r="D1702" t="s">
        <v>29</v>
      </c>
      <c r="E1702" t="s">
        <v>30</v>
      </c>
      <c r="F1702" t="s">
        <v>55</v>
      </c>
      <c r="G1702" t="s">
        <v>45</v>
      </c>
      <c r="H1702" t="s">
        <v>33</v>
      </c>
      <c r="I1702" t="s">
        <v>95</v>
      </c>
      <c r="J1702" t="s">
        <v>101</v>
      </c>
      <c r="K1702" s="2">
        <v>36174</v>
      </c>
      <c r="L1702" t="s">
        <v>71</v>
      </c>
      <c r="M1702" t="s">
        <v>37</v>
      </c>
      <c r="N1702" t="s">
        <v>84</v>
      </c>
      <c r="O1702" t="s">
        <v>77</v>
      </c>
      <c r="P1702" t="s">
        <v>78</v>
      </c>
      <c r="Q1702">
        <v>4</v>
      </c>
      <c r="R1702" s="2">
        <v>44959</v>
      </c>
      <c r="S1702">
        <v>2</v>
      </c>
      <c r="T1702">
        <v>1</v>
      </c>
      <c r="U1702">
        <v>3</v>
      </c>
      <c r="V1702" s="1">
        <v>44827</v>
      </c>
      <c r="W1702" t="s">
        <v>50</v>
      </c>
      <c r="X1702" t="s">
        <v>42</v>
      </c>
      <c r="Y1702" t="s">
        <v>43</v>
      </c>
      <c r="Z1702">
        <v>2</v>
      </c>
      <c r="AA1702">
        <v>914.52</v>
      </c>
      <c r="AB1702">
        <v>21</v>
      </c>
    </row>
    <row r="1703" spans="1:28" x14ac:dyDescent="0.2">
      <c r="A1703">
        <v>2225</v>
      </c>
      <c r="B1703" s="1">
        <v>45047</v>
      </c>
      <c r="C1703" t="s">
        <v>145</v>
      </c>
      <c r="D1703" t="s">
        <v>44</v>
      </c>
      <c r="E1703" t="s">
        <v>30</v>
      </c>
      <c r="F1703" t="s">
        <v>46</v>
      </c>
      <c r="G1703" t="s">
        <v>45</v>
      </c>
      <c r="H1703" t="s">
        <v>55</v>
      </c>
      <c r="I1703" t="s">
        <v>95</v>
      </c>
      <c r="J1703" t="s">
        <v>79</v>
      </c>
      <c r="K1703" s="2">
        <v>26270</v>
      </c>
      <c r="L1703" t="s">
        <v>36</v>
      </c>
      <c r="M1703" t="s">
        <v>48</v>
      </c>
      <c r="N1703" t="s">
        <v>72</v>
      </c>
      <c r="O1703" t="s">
        <v>77</v>
      </c>
      <c r="P1703" t="s">
        <v>78</v>
      </c>
      <c r="Q1703">
        <v>2</v>
      </c>
      <c r="R1703" s="2">
        <v>44794</v>
      </c>
      <c r="S1703">
        <v>1</v>
      </c>
      <c r="T1703">
        <v>2</v>
      </c>
      <c r="U1703">
        <v>2</v>
      </c>
      <c r="V1703" s="1">
        <v>44904</v>
      </c>
      <c r="W1703" t="s">
        <v>62</v>
      </c>
      <c r="X1703" t="s">
        <v>51</v>
      </c>
      <c r="Y1703" t="s">
        <v>73</v>
      </c>
      <c r="Z1703">
        <v>3</v>
      </c>
      <c r="AA1703">
        <v>789.98</v>
      </c>
      <c r="AB1703">
        <v>52</v>
      </c>
    </row>
    <row r="1704" spans="1:28" x14ac:dyDescent="0.2">
      <c r="A1704">
        <v>2226</v>
      </c>
      <c r="B1704" s="1">
        <v>43546</v>
      </c>
      <c r="C1704" t="s">
        <v>112</v>
      </c>
      <c r="D1704" t="s">
        <v>85</v>
      </c>
      <c r="E1704" t="s">
        <v>30</v>
      </c>
      <c r="F1704" t="s">
        <v>31</v>
      </c>
      <c r="G1704" t="s">
        <v>45</v>
      </c>
      <c r="H1704" t="s">
        <v>55</v>
      </c>
      <c r="I1704" t="s">
        <v>95</v>
      </c>
      <c r="J1704" t="s">
        <v>75</v>
      </c>
      <c r="K1704" s="2">
        <v>22166</v>
      </c>
      <c r="L1704" t="s">
        <v>36</v>
      </c>
      <c r="M1704" t="s">
        <v>37</v>
      </c>
      <c r="N1704" t="s">
        <v>38</v>
      </c>
      <c r="O1704" t="s">
        <v>67</v>
      </c>
      <c r="P1704" t="s">
        <v>78</v>
      </c>
      <c r="Q1704">
        <v>1</v>
      </c>
      <c r="R1704" s="2">
        <v>44954</v>
      </c>
      <c r="S1704">
        <v>4</v>
      </c>
      <c r="T1704">
        <v>4</v>
      </c>
      <c r="U1704">
        <v>5</v>
      </c>
      <c r="V1704" s="1">
        <v>44814</v>
      </c>
      <c r="W1704" t="s">
        <v>62</v>
      </c>
      <c r="X1704" t="s">
        <v>42</v>
      </c>
      <c r="Y1704" t="s">
        <v>63</v>
      </c>
      <c r="Z1704">
        <v>3</v>
      </c>
      <c r="AA1704">
        <v>125.06</v>
      </c>
      <c r="AB1704">
        <v>59</v>
      </c>
    </row>
    <row r="1705" spans="1:28" x14ac:dyDescent="0.2">
      <c r="A1705">
        <v>2227</v>
      </c>
      <c r="B1705" s="1">
        <v>44557</v>
      </c>
      <c r="C1705" t="s">
        <v>112</v>
      </c>
      <c r="D1705" t="s">
        <v>44</v>
      </c>
      <c r="E1705" t="s">
        <v>30</v>
      </c>
      <c r="F1705" t="s">
        <v>31</v>
      </c>
      <c r="G1705" t="s">
        <v>56</v>
      </c>
      <c r="H1705" t="s">
        <v>55</v>
      </c>
      <c r="I1705" t="s">
        <v>95</v>
      </c>
      <c r="J1705" t="s">
        <v>47</v>
      </c>
      <c r="K1705" s="2">
        <v>34855</v>
      </c>
      <c r="L1705" t="s">
        <v>36</v>
      </c>
      <c r="M1705" t="s">
        <v>37</v>
      </c>
      <c r="N1705" t="s">
        <v>72</v>
      </c>
      <c r="O1705" t="s">
        <v>39</v>
      </c>
      <c r="P1705" t="s">
        <v>98</v>
      </c>
      <c r="Q1705">
        <v>5</v>
      </c>
      <c r="R1705" s="2">
        <v>44822</v>
      </c>
      <c r="S1705">
        <v>2</v>
      </c>
      <c r="T1705">
        <v>3</v>
      </c>
      <c r="U1705">
        <v>4</v>
      </c>
      <c r="V1705" s="1">
        <v>45044</v>
      </c>
      <c r="W1705" t="s">
        <v>62</v>
      </c>
      <c r="X1705" t="s">
        <v>42</v>
      </c>
      <c r="Y1705" t="s">
        <v>73</v>
      </c>
      <c r="Z1705">
        <v>2</v>
      </c>
      <c r="AA1705">
        <v>894.09</v>
      </c>
      <c r="AB1705">
        <v>26</v>
      </c>
    </row>
    <row r="1706" spans="1:28" x14ac:dyDescent="0.2">
      <c r="A1706">
        <v>2228</v>
      </c>
      <c r="B1706" s="1">
        <v>43324</v>
      </c>
      <c r="C1706" t="s">
        <v>112</v>
      </c>
      <c r="D1706" t="s">
        <v>87</v>
      </c>
      <c r="E1706" t="s">
        <v>30</v>
      </c>
      <c r="F1706" t="s">
        <v>46</v>
      </c>
      <c r="G1706" t="s">
        <v>56</v>
      </c>
      <c r="H1706" t="s">
        <v>46</v>
      </c>
      <c r="I1706" t="s">
        <v>95</v>
      </c>
      <c r="J1706" t="s">
        <v>103</v>
      </c>
      <c r="K1706" s="2">
        <v>15600</v>
      </c>
      <c r="L1706" t="s">
        <v>36</v>
      </c>
      <c r="M1706" t="s">
        <v>37</v>
      </c>
      <c r="N1706" t="s">
        <v>38</v>
      </c>
      <c r="O1706" t="s">
        <v>77</v>
      </c>
      <c r="P1706" t="s">
        <v>107</v>
      </c>
      <c r="Q1706">
        <v>4</v>
      </c>
      <c r="R1706" s="2">
        <v>44946</v>
      </c>
      <c r="S1706">
        <v>3</v>
      </c>
      <c r="T1706">
        <v>2</v>
      </c>
      <c r="U1706">
        <v>2</v>
      </c>
      <c r="V1706" s="1">
        <v>44978</v>
      </c>
      <c r="W1706" t="s">
        <v>68</v>
      </c>
      <c r="X1706" t="s">
        <v>51</v>
      </c>
      <c r="Y1706" t="s">
        <v>73</v>
      </c>
      <c r="Z1706">
        <v>3</v>
      </c>
      <c r="AA1706">
        <v>713.03</v>
      </c>
      <c r="AB1706">
        <v>76</v>
      </c>
    </row>
    <row r="1707" spans="1:28" x14ac:dyDescent="0.2">
      <c r="A1707">
        <v>2229</v>
      </c>
      <c r="B1707" s="1">
        <v>44923</v>
      </c>
      <c r="C1707" t="s">
        <v>112</v>
      </c>
      <c r="D1707" t="s">
        <v>64</v>
      </c>
      <c r="E1707" t="s">
        <v>30</v>
      </c>
      <c r="F1707" t="s">
        <v>46</v>
      </c>
      <c r="G1707" t="s">
        <v>45</v>
      </c>
      <c r="H1707" t="s">
        <v>33</v>
      </c>
      <c r="I1707" t="s">
        <v>95</v>
      </c>
      <c r="J1707" t="s">
        <v>111</v>
      </c>
      <c r="K1707" s="2">
        <v>28399</v>
      </c>
      <c r="L1707" t="s">
        <v>36</v>
      </c>
      <c r="M1707" t="s">
        <v>37</v>
      </c>
      <c r="N1707" t="s">
        <v>84</v>
      </c>
      <c r="O1707" t="s">
        <v>77</v>
      </c>
      <c r="P1707" t="s">
        <v>107</v>
      </c>
      <c r="Q1707">
        <v>4</v>
      </c>
      <c r="R1707" s="2">
        <v>45038</v>
      </c>
      <c r="S1707">
        <v>3</v>
      </c>
      <c r="T1707">
        <v>1</v>
      </c>
      <c r="U1707">
        <v>1</v>
      </c>
      <c r="V1707" s="1">
        <v>44954</v>
      </c>
      <c r="W1707" t="s">
        <v>92</v>
      </c>
      <c r="X1707" t="s">
        <v>42</v>
      </c>
      <c r="Y1707" t="s">
        <v>52</v>
      </c>
      <c r="Z1707">
        <v>5</v>
      </c>
      <c r="AA1707">
        <v>897.51</v>
      </c>
      <c r="AB1707">
        <v>45</v>
      </c>
    </row>
    <row r="1708" spans="1:28" x14ac:dyDescent="0.2">
      <c r="A1708">
        <v>2230</v>
      </c>
      <c r="B1708" s="1">
        <v>43429</v>
      </c>
      <c r="C1708" t="s">
        <v>143</v>
      </c>
      <c r="D1708" t="s">
        <v>94</v>
      </c>
      <c r="E1708" t="s">
        <v>30</v>
      </c>
      <c r="F1708" t="s">
        <v>46</v>
      </c>
      <c r="G1708" t="s">
        <v>45</v>
      </c>
      <c r="H1708" t="s">
        <v>55</v>
      </c>
      <c r="I1708" t="s">
        <v>95</v>
      </c>
      <c r="J1708" t="s">
        <v>65</v>
      </c>
      <c r="K1708" s="2">
        <v>26531</v>
      </c>
      <c r="L1708" t="s">
        <v>71</v>
      </c>
      <c r="M1708" t="s">
        <v>37</v>
      </c>
      <c r="N1708" t="s">
        <v>49</v>
      </c>
      <c r="O1708" t="s">
        <v>67</v>
      </c>
      <c r="P1708" t="s">
        <v>40</v>
      </c>
      <c r="Q1708">
        <v>2</v>
      </c>
      <c r="R1708" s="2">
        <v>45086</v>
      </c>
      <c r="S1708">
        <v>1</v>
      </c>
      <c r="T1708">
        <v>5</v>
      </c>
      <c r="U1708">
        <v>5</v>
      </c>
      <c r="V1708" s="1">
        <v>45141</v>
      </c>
      <c r="W1708" t="s">
        <v>62</v>
      </c>
      <c r="X1708" t="s">
        <v>51</v>
      </c>
      <c r="Y1708" t="s">
        <v>73</v>
      </c>
      <c r="Z1708">
        <v>3</v>
      </c>
      <c r="AA1708">
        <v>634.34</v>
      </c>
      <c r="AB1708">
        <v>46</v>
      </c>
    </row>
    <row r="1709" spans="1:28" x14ac:dyDescent="0.2">
      <c r="A1709">
        <v>2231</v>
      </c>
      <c r="B1709" s="1">
        <v>44191</v>
      </c>
      <c r="C1709" t="s">
        <v>144</v>
      </c>
      <c r="D1709" t="s">
        <v>74</v>
      </c>
      <c r="E1709" t="s">
        <v>30</v>
      </c>
      <c r="F1709" t="s">
        <v>55</v>
      </c>
      <c r="G1709" t="s">
        <v>45</v>
      </c>
      <c r="H1709" t="s">
        <v>46</v>
      </c>
      <c r="I1709" t="s">
        <v>95</v>
      </c>
      <c r="J1709" t="s">
        <v>65</v>
      </c>
      <c r="K1709" s="2">
        <v>32987</v>
      </c>
      <c r="L1709" t="s">
        <v>71</v>
      </c>
      <c r="M1709" t="s">
        <v>37</v>
      </c>
      <c r="N1709" t="s">
        <v>60</v>
      </c>
      <c r="O1709" t="s">
        <v>61</v>
      </c>
      <c r="P1709" t="s">
        <v>40</v>
      </c>
      <c r="Q1709">
        <v>2</v>
      </c>
      <c r="R1709" s="2">
        <v>44930</v>
      </c>
      <c r="S1709">
        <v>1</v>
      </c>
      <c r="T1709">
        <v>2</v>
      </c>
      <c r="U1709">
        <v>2</v>
      </c>
      <c r="V1709" s="1">
        <v>45036</v>
      </c>
      <c r="W1709" t="s">
        <v>68</v>
      </c>
      <c r="X1709" t="s">
        <v>42</v>
      </c>
      <c r="Y1709" t="s">
        <v>43</v>
      </c>
      <c r="Z1709">
        <v>3</v>
      </c>
      <c r="AA1709">
        <v>352.54</v>
      </c>
      <c r="AB1709">
        <v>30</v>
      </c>
    </row>
    <row r="1710" spans="1:28" x14ac:dyDescent="0.2">
      <c r="A1710">
        <v>2232</v>
      </c>
      <c r="B1710" s="1">
        <v>44911</v>
      </c>
      <c r="C1710" t="s">
        <v>145</v>
      </c>
      <c r="D1710" t="s">
        <v>81</v>
      </c>
      <c r="E1710" t="s">
        <v>30</v>
      </c>
      <c r="F1710" t="s">
        <v>46</v>
      </c>
      <c r="G1710" t="s">
        <v>45</v>
      </c>
      <c r="H1710" t="s">
        <v>55</v>
      </c>
      <c r="I1710" t="s">
        <v>95</v>
      </c>
      <c r="J1710" t="s">
        <v>70</v>
      </c>
      <c r="K1710" s="2">
        <v>15619</v>
      </c>
      <c r="L1710" t="s">
        <v>36</v>
      </c>
      <c r="M1710" t="s">
        <v>48</v>
      </c>
      <c r="N1710" t="s">
        <v>49</v>
      </c>
      <c r="O1710" t="s">
        <v>61</v>
      </c>
      <c r="P1710" t="s">
        <v>40</v>
      </c>
      <c r="Q1710">
        <v>5</v>
      </c>
      <c r="R1710" s="2">
        <v>44884</v>
      </c>
      <c r="S1710">
        <v>4</v>
      </c>
      <c r="T1710">
        <v>5</v>
      </c>
      <c r="U1710">
        <v>2</v>
      </c>
      <c r="V1710" s="1">
        <v>45008</v>
      </c>
      <c r="W1710" t="s">
        <v>50</v>
      </c>
      <c r="X1710" t="s">
        <v>51</v>
      </c>
      <c r="Y1710" t="s">
        <v>63</v>
      </c>
      <c r="Z1710">
        <v>4</v>
      </c>
      <c r="AA1710">
        <v>128.25</v>
      </c>
      <c r="AB1710">
        <v>80</v>
      </c>
    </row>
    <row r="1711" spans="1:28" x14ac:dyDescent="0.2">
      <c r="A1711">
        <v>2233</v>
      </c>
      <c r="B1711" s="1">
        <v>43735</v>
      </c>
      <c r="C1711" t="s">
        <v>112</v>
      </c>
      <c r="D1711" t="s">
        <v>87</v>
      </c>
      <c r="E1711" t="s">
        <v>30</v>
      </c>
      <c r="F1711" t="s">
        <v>31</v>
      </c>
      <c r="G1711" t="s">
        <v>56</v>
      </c>
      <c r="H1711" t="s">
        <v>55</v>
      </c>
      <c r="I1711" t="s">
        <v>95</v>
      </c>
      <c r="J1711" t="s">
        <v>89</v>
      </c>
      <c r="K1711" s="2">
        <v>28237</v>
      </c>
      <c r="L1711" t="s">
        <v>36</v>
      </c>
      <c r="M1711" t="s">
        <v>37</v>
      </c>
      <c r="N1711" t="s">
        <v>84</v>
      </c>
      <c r="O1711" t="s">
        <v>61</v>
      </c>
      <c r="P1711" t="s">
        <v>40</v>
      </c>
      <c r="Q1711">
        <v>1</v>
      </c>
      <c r="R1711" s="2">
        <v>44837</v>
      </c>
      <c r="S1711">
        <v>5</v>
      </c>
      <c r="T1711">
        <v>1</v>
      </c>
      <c r="U1711">
        <v>1</v>
      </c>
      <c r="V1711" s="1">
        <v>45090</v>
      </c>
      <c r="W1711" t="s">
        <v>50</v>
      </c>
      <c r="X1711" t="s">
        <v>42</v>
      </c>
      <c r="Y1711" t="s">
        <v>73</v>
      </c>
      <c r="Z1711">
        <v>1</v>
      </c>
      <c r="AA1711">
        <v>893.71</v>
      </c>
      <c r="AB1711">
        <v>42</v>
      </c>
    </row>
    <row r="1712" spans="1:28" x14ac:dyDescent="0.2">
      <c r="A1712">
        <v>2234</v>
      </c>
      <c r="B1712" s="1">
        <v>44247</v>
      </c>
      <c r="C1712" t="s">
        <v>112</v>
      </c>
      <c r="D1712" t="s">
        <v>44</v>
      </c>
      <c r="E1712" t="s">
        <v>30</v>
      </c>
      <c r="F1712" t="s">
        <v>46</v>
      </c>
      <c r="G1712" t="s">
        <v>32</v>
      </c>
      <c r="H1712" t="s">
        <v>55</v>
      </c>
      <c r="I1712" t="s">
        <v>95</v>
      </c>
      <c r="J1712" t="s">
        <v>101</v>
      </c>
      <c r="K1712" s="2">
        <v>27451</v>
      </c>
      <c r="L1712" t="s">
        <v>36</v>
      </c>
      <c r="M1712" t="s">
        <v>37</v>
      </c>
      <c r="N1712" t="s">
        <v>72</v>
      </c>
      <c r="O1712" t="s">
        <v>67</v>
      </c>
      <c r="P1712" t="s">
        <v>40</v>
      </c>
      <c r="Q1712">
        <v>2</v>
      </c>
      <c r="R1712" s="2">
        <v>44796</v>
      </c>
      <c r="S1712">
        <v>1</v>
      </c>
      <c r="T1712">
        <v>1</v>
      </c>
      <c r="U1712">
        <v>4</v>
      </c>
      <c r="V1712" s="1">
        <v>44961</v>
      </c>
      <c r="W1712" t="s">
        <v>92</v>
      </c>
      <c r="X1712" t="s">
        <v>51</v>
      </c>
      <c r="Y1712" t="s">
        <v>63</v>
      </c>
      <c r="Z1712">
        <v>3</v>
      </c>
      <c r="AA1712">
        <v>693.52</v>
      </c>
      <c r="AB1712">
        <v>46</v>
      </c>
    </row>
    <row r="1713" spans="1:28" x14ac:dyDescent="0.2">
      <c r="A1713">
        <v>2235</v>
      </c>
      <c r="B1713" s="1">
        <v>44618</v>
      </c>
      <c r="C1713" t="s">
        <v>112</v>
      </c>
      <c r="D1713" t="s">
        <v>29</v>
      </c>
      <c r="E1713" t="s">
        <v>30</v>
      </c>
      <c r="F1713" t="s">
        <v>55</v>
      </c>
      <c r="G1713" t="s">
        <v>56</v>
      </c>
      <c r="H1713" t="s">
        <v>55</v>
      </c>
      <c r="I1713" t="s">
        <v>95</v>
      </c>
      <c r="J1713" t="s">
        <v>100</v>
      </c>
      <c r="K1713" s="2">
        <v>19967</v>
      </c>
      <c r="L1713" t="s">
        <v>36</v>
      </c>
      <c r="M1713" t="s">
        <v>37</v>
      </c>
      <c r="N1713" t="s">
        <v>60</v>
      </c>
      <c r="O1713" t="s">
        <v>61</v>
      </c>
      <c r="P1713" t="s">
        <v>40</v>
      </c>
      <c r="Q1713">
        <v>1</v>
      </c>
      <c r="R1713" s="2">
        <v>44814</v>
      </c>
      <c r="S1713">
        <v>3</v>
      </c>
      <c r="T1713">
        <v>5</v>
      </c>
      <c r="U1713">
        <v>3</v>
      </c>
      <c r="V1713" s="1">
        <v>44994</v>
      </c>
      <c r="W1713" t="s">
        <v>50</v>
      </c>
      <c r="X1713" t="s">
        <v>42</v>
      </c>
      <c r="Y1713" t="s">
        <v>43</v>
      </c>
      <c r="Z1713">
        <v>1</v>
      </c>
      <c r="AA1713">
        <v>162.62</v>
      </c>
      <c r="AB1713">
        <v>68</v>
      </c>
    </row>
    <row r="1714" spans="1:28" x14ac:dyDescent="0.2">
      <c r="A1714">
        <v>2236</v>
      </c>
      <c r="B1714" s="1">
        <v>43457</v>
      </c>
      <c r="C1714" t="s">
        <v>112</v>
      </c>
      <c r="D1714" t="s">
        <v>69</v>
      </c>
      <c r="E1714" t="s">
        <v>30</v>
      </c>
      <c r="F1714" t="s">
        <v>55</v>
      </c>
      <c r="G1714" t="s">
        <v>45</v>
      </c>
      <c r="H1714" t="s">
        <v>33</v>
      </c>
      <c r="I1714" t="s">
        <v>95</v>
      </c>
      <c r="J1714" t="s">
        <v>79</v>
      </c>
      <c r="K1714" s="2">
        <v>17834</v>
      </c>
      <c r="L1714" t="s">
        <v>71</v>
      </c>
      <c r="M1714" t="s">
        <v>37</v>
      </c>
      <c r="N1714" t="s">
        <v>49</v>
      </c>
      <c r="O1714" t="s">
        <v>39</v>
      </c>
      <c r="P1714" t="s">
        <v>40</v>
      </c>
      <c r="Q1714">
        <v>1</v>
      </c>
      <c r="R1714" s="2">
        <v>44924</v>
      </c>
      <c r="S1714">
        <v>2</v>
      </c>
      <c r="T1714">
        <v>1</v>
      </c>
      <c r="U1714">
        <v>2</v>
      </c>
      <c r="V1714" s="1">
        <v>45120</v>
      </c>
      <c r="W1714" t="s">
        <v>50</v>
      </c>
      <c r="X1714" t="s">
        <v>51</v>
      </c>
      <c r="Y1714" t="s">
        <v>73</v>
      </c>
      <c r="Z1714">
        <v>2</v>
      </c>
      <c r="AA1714">
        <v>144.74</v>
      </c>
      <c r="AB1714">
        <v>70</v>
      </c>
    </row>
    <row r="1715" spans="1:28" x14ac:dyDescent="0.2">
      <c r="A1715">
        <v>2237</v>
      </c>
      <c r="B1715" s="1">
        <v>44571</v>
      </c>
      <c r="C1715" t="s">
        <v>143</v>
      </c>
      <c r="D1715" t="s">
        <v>74</v>
      </c>
      <c r="E1715" t="s">
        <v>30</v>
      </c>
      <c r="F1715" t="s">
        <v>55</v>
      </c>
      <c r="G1715" t="s">
        <v>56</v>
      </c>
      <c r="H1715" t="s">
        <v>33</v>
      </c>
      <c r="I1715" t="s">
        <v>95</v>
      </c>
      <c r="J1715" t="s">
        <v>111</v>
      </c>
      <c r="K1715" s="2">
        <v>27506</v>
      </c>
      <c r="L1715" t="s">
        <v>71</v>
      </c>
      <c r="M1715" t="s">
        <v>37</v>
      </c>
      <c r="N1715" t="s">
        <v>60</v>
      </c>
      <c r="O1715" t="s">
        <v>61</v>
      </c>
      <c r="P1715" t="s">
        <v>40</v>
      </c>
      <c r="Q1715">
        <v>2</v>
      </c>
      <c r="R1715" s="2">
        <v>45085</v>
      </c>
      <c r="S1715">
        <v>2</v>
      </c>
      <c r="T1715">
        <v>5</v>
      </c>
      <c r="U1715">
        <v>2</v>
      </c>
      <c r="V1715" s="1">
        <v>45056</v>
      </c>
      <c r="W1715" t="s">
        <v>41</v>
      </c>
      <c r="X1715" t="s">
        <v>51</v>
      </c>
      <c r="Y1715" t="s">
        <v>63</v>
      </c>
      <c r="Z1715">
        <v>3</v>
      </c>
      <c r="AA1715">
        <v>240.77</v>
      </c>
      <c r="AB1715">
        <v>47</v>
      </c>
    </row>
    <row r="1716" spans="1:28" x14ac:dyDescent="0.2">
      <c r="A1716">
        <v>2238</v>
      </c>
      <c r="B1716" s="1">
        <v>44259</v>
      </c>
      <c r="C1716" t="s">
        <v>144</v>
      </c>
      <c r="D1716" t="s">
        <v>64</v>
      </c>
      <c r="E1716" t="s">
        <v>30</v>
      </c>
      <c r="F1716" t="s">
        <v>46</v>
      </c>
      <c r="G1716" t="s">
        <v>56</v>
      </c>
      <c r="H1716" t="s">
        <v>33</v>
      </c>
      <c r="I1716" t="s">
        <v>95</v>
      </c>
      <c r="J1716" t="s">
        <v>96</v>
      </c>
      <c r="K1716" s="2">
        <v>26315</v>
      </c>
      <c r="L1716" t="s">
        <v>71</v>
      </c>
      <c r="M1716" t="s">
        <v>48</v>
      </c>
      <c r="N1716" t="s">
        <v>49</v>
      </c>
      <c r="O1716" t="s">
        <v>39</v>
      </c>
      <c r="P1716" t="s">
        <v>40</v>
      </c>
      <c r="Q1716">
        <v>2</v>
      </c>
      <c r="R1716" s="2">
        <v>45013</v>
      </c>
      <c r="S1716">
        <v>4</v>
      </c>
      <c r="T1716">
        <v>4</v>
      </c>
      <c r="U1716">
        <v>3</v>
      </c>
      <c r="V1716" s="1">
        <v>45030</v>
      </c>
      <c r="W1716" t="s">
        <v>92</v>
      </c>
      <c r="X1716" t="s">
        <v>51</v>
      </c>
      <c r="Y1716" t="s">
        <v>63</v>
      </c>
      <c r="Z1716">
        <v>5</v>
      </c>
      <c r="AA1716">
        <v>905.56</v>
      </c>
      <c r="AB1716">
        <v>49</v>
      </c>
    </row>
    <row r="1717" spans="1:28" x14ac:dyDescent="0.2">
      <c r="A1717">
        <v>2239</v>
      </c>
      <c r="B1717" s="1">
        <v>44995</v>
      </c>
      <c r="C1717" t="s">
        <v>145</v>
      </c>
      <c r="D1717" t="s">
        <v>85</v>
      </c>
      <c r="E1717" t="s">
        <v>30</v>
      </c>
      <c r="F1717" t="s">
        <v>55</v>
      </c>
      <c r="G1717" t="s">
        <v>32</v>
      </c>
      <c r="H1717" t="s">
        <v>46</v>
      </c>
      <c r="I1717" t="s">
        <v>95</v>
      </c>
      <c r="J1717" t="s">
        <v>102</v>
      </c>
      <c r="K1717" s="2">
        <v>22991</v>
      </c>
      <c r="L1717" t="s">
        <v>36</v>
      </c>
      <c r="M1717" t="s">
        <v>48</v>
      </c>
      <c r="N1717" t="s">
        <v>84</v>
      </c>
      <c r="O1717" t="s">
        <v>77</v>
      </c>
      <c r="P1717" t="s">
        <v>40</v>
      </c>
      <c r="Q1717">
        <v>5</v>
      </c>
      <c r="R1717" s="2">
        <v>44926</v>
      </c>
      <c r="S1717">
        <v>1</v>
      </c>
      <c r="T1717">
        <v>3</v>
      </c>
      <c r="U1717">
        <v>4</v>
      </c>
      <c r="V1717" s="1">
        <v>45027</v>
      </c>
      <c r="W1717" t="s">
        <v>68</v>
      </c>
      <c r="X1717" t="s">
        <v>42</v>
      </c>
      <c r="Y1717" t="s">
        <v>73</v>
      </c>
      <c r="Z1717">
        <v>4</v>
      </c>
      <c r="AA1717">
        <v>273.83999999999997</v>
      </c>
      <c r="AB1717">
        <v>61</v>
      </c>
    </row>
    <row r="1718" spans="1:28" x14ac:dyDescent="0.2">
      <c r="A1718">
        <v>2240</v>
      </c>
      <c r="B1718" s="1">
        <v>43439</v>
      </c>
      <c r="C1718" t="s">
        <v>112</v>
      </c>
      <c r="D1718" t="s">
        <v>85</v>
      </c>
      <c r="E1718" t="s">
        <v>30</v>
      </c>
      <c r="F1718" t="s">
        <v>46</v>
      </c>
      <c r="G1718" t="s">
        <v>56</v>
      </c>
      <c r="H1718" t="s">
        <v>46</v>
      </c>
      <c r="I1718" t="s">
        <v>95</v>
      </c>
      <c r="J1718" t="s">
        <v>35</v>
      </c>
      <c r="K1718" s="2">
        <v>35762</v>
      </c>
      <c r="L1718" t="s">
        <v>36</v>
      </c>
      <c r="M1718" t="s">
        <v>37</v>
      </c>
      <c r="N1718" t="s">
        <v>49</v>
      </c>
      <c r="O1718" t="s">
        <v>67</v>
      </c>
      <c r="P1718" t="s">
        <v>40</v>
      </c>
      <c r="Q1718">
        <v>2</v>
      </c>
      <c r="R1718" s="2">
        <v>44795</v>
      </c>
      <c r="S1718">
        <v>2</v>
      </c>
      <c r="T1718">
        <v>4</v>
      </c>
      <c r="U1718">
        <v>5</v>
      </c>
      <c r="V1718" s="1">
        <v>45002</v>
      </c>
      <c r="W1718" t="s">
        <v>92</v>
      </c>
      <c r="X1718" t="s">
        <v>42</v>
      </c>
      <c r="Y1718" t="s">
        <v>52</v>
      </c>
      <c r="Z1718">
        <v>4</v>
      </c>
      <c r="AA1718">
        <v>980.41</v>
      </c>
      <c r="AB1718">
        <v>21</v>
      </c>
    </row>
    <row r="1719" spans="1:28" x14ac:dyDescent="0.2">
      <c r="A1719">
        <v>2241</v>
      </c>
      <c r="B1719" s="1">
        <v>44371</v>
      </c>
      <c r="C1719" t="s">
        <v>112</v>
      </c>
      <c r="D1719" t="s">
        <v>44</v>
      </c>
      <c r="E1719" t="s">
        <v>30</v>
      </c>
      <c r="F1719" t="s">
        <v>46</v>
      </c>
      <c r="G1719" t="s">
        <v>32</v>
      </c>
      <c r="H1719" t="s">
        <v>46</v>
      </c>
      <c r="I1719" t="s">
        <v>95</v>
      </c>
      <c r="J1719" t="s">
        <v>110</v>
      </c>
      <c r="K1719" s="2">
        <v>29738</v>
      </c>
      <c r="L1719" t="s">
        <v>36</v>
      </c>
      <c r="M1719" t="s">
        <v>37</v>
      </c>
      <c r="N1719" t="s">
        <v>49</v>
      </c>
      <c r="O1719" t="s">
        <v>67</v>
      </c>
      <c r="P1719" t="s">
        <v>40</v>
      </c>
      <c r="Q1719">
        <v>2</v>
      </c>
      <c r="R1719" s="2">
        <v>44956</v>
      </c>
      <c r="S1719">
        <v>4</v>
      </c>
      <c r="T1719">
        <v>4</v>
      </c>
      <c r="U1719">
        <v>4</v>
      </c>
      <c r="V1719" s="1">
        <v>44952</v>
      </c>
      <c r="W1719" t="s">
        <v>92</v>
      </c>
      <c r="X1719" t="s">
        <v>51</v>
      </c>
      <c r="Y1719" t="s">
        <v>43</v>
      </c>
      <c r="Z1719">
        <v>5</v>
      </c>
      <c r="AA1719">
        <v>834.95</v>
      </c>
      <c r="AB1719">
        <v>40</v>
      </c>
    </row>
    <row r="1720" spans="1:28" x14ac:dyDescent="0.2">
      <c r="A1720">
        <v>2242</v>
      </c>
      <c r="B1720" s="1">
        <v>44691</v>
      </c>
      <c r="C1720" t="s">
        <v>112</v>
      </c>
      <c r="D1720" t="s">
        <v>87</v>
      </c>
      <c r="E1720" t="s">
        <v>30</v>
      </c>
      <c r="F1720" t="s">
        <v>55</v>
      </c>
      <c r="G1720" t="s">
        <v>32</v>
      </c>
      <c r="H1720" t="s">
        <v>33</v>
      </c>
      <c r="I1720" t="s">
        <v>95</v>
      </c>
      <c r="J1720" t="s">
        <v>70</v>
      </c>
      <c r="K1720" s="2">
        <v>34422</v>
      </c>
      <c r="L1720" t="s">
        <v>36</v>
      </c>
      <c r="M1720" t="s">
        <v>37</v>
      </c>
      <c r="N1720" t="s">
        <v>49</v>
      </c>
      <c r="O1720" t="s">
        <v>67</v>
      </c>
      <c r="P1720" t="s">
        <v>40</v>
      </c>
      <c r="Q1720">
        <v>4</v>
      </c>
      <c r="R1720" s="2">
        <v>44983</v>
      </c>
      <c r="S1720">
        <v>3</v>
      </c>
      <c r="T1720">
        <v>2</v>
      </c>
      <c r="U1720">
        <v>4</v>
      </c>
      <c r="V1720" s="1">
        <v>44912</v>
      </c>
      <c r="W1720" t="s">
        <v>62</v>
      </c>
      <c r="X1720" t="s">
        <v>51</v>
      </c>
      <c r="Y1720" t="s">
        <v>43</v>
      </c>
      <c r="Z1720">
        <v>1</v>
      </c>
      <c r="AA1720">
        <v>627.11</v>
      </c>
      <c r="AB1720">
        <v>28</v>
      </c>
    </row>
    <row r="1721" spans="1:28" x14ac:dyDescent="0.2">
      <c r="A1721">
        <v>2243</v>
      </c>
      <c r="B1721" s="1">
        <v>45029</v>
      </c>
      <c r="C1721" t="s">
        <v>112</v>
      </c>
      <c r="D1721" t="s">
        <v>64</v>
      </c>
      <c r="E1721" t="s">
        <v>30</v>
      </c>
      <c r="F1721" t="s">
        <v>55</v>
      </c>
      <c r="G1721" t="s">
        <v>45</v>
      </c>
      <c r="H1721" t="s">
        <v>46</v>
      </c>
      <c r="I1721" t="s">
        <v>95</v>
      </c>
      <c r="J1721" t="s">
        <v>35</v>
      </c>
      <c r="K1721" s="2">
        <v>19925</v>
      </c>
      <c r="L1721" t="s">
        <v>71</v>
      </c>
      <c r="M1721" t="s">
        <v>37</v>
      </c>
      <c r="N1721" t="s">
        <v>60</v>
      </c>
      <c r="O1721" t="s">
        <v>67</v>
      </c>
      <c r="P1721" t="s">
        <v>40</v>
      </c>
      <c r="Q1721">
        <v>4</v>
      </c>
      <c r="R1721" s="2">
        <v>45103</v>
      </c>
      <c r="S1721">
        <v>1</v>
      </c>
      <c r="T1721">
        <v>3</v>
      </c>
      <c r="U1721">
        <v>5</v>
      </c>
      <c r="V1721" s="1">
        <v>44925</v>
      </c>
      <c r="W1721" t="s">
        <v>41</v>
      </c>
      <c r="X1721" t="s">
        <v>51</v>
      </c>
      <c r="Y1721" t="s">
        <v>73</v>
      </c>
      <c r="Z1721">
        <v>4</v>
      </c>
      <c r="AA1721">
        <v>242.22</v>
      </c>
      <c r="AB1721">
        <v>69</v>
      </c>
    </row>
    <row r="1722" spans="1:28" x14ac:dyDescent="0.2">
      <c r="A1722">
        <v>2244</v>
      </c>
      <c r="B1722" s="1">
        <v>44777</v>
      </c>
      <c r="C1722" t="s">
        <v>143</v>
      </c>
      <c r="D1722" t="s">
        <v>94</v>
      </c>
      <c r="E1722" t="s">
        <v>30</v>
      </c>
      <c r="F1722" t="s">
        <v>31</v>
      </c>
      <c r="G1722" t="s">
        <v>32</v>
      </c>
      <c r="H1722" t="s">
        <v>33</v>
      </c>
      <c r="I1722" t="s">
        <v>95</v>
      </c>
      <c r="J1722" t="s">
        <v>70</v>
      </c>
      <c r="K1722" s="2">
        <v>18240</v>
      </c>
      <c r="L1722" t="s">
        <v>71</v>
      </c>
      <c r="M1722" t="s">
        <v>37</v>
      </c>
      <c r="N1722" t="s">
        <v>60</v>
      </c>
      <c r="O1722" t="s">
        <v>67</v>
      </c>
      <c r="P1722" t="s">
        <v>40</v>
      </c>
      <c r="Q1722">
        <v>4</v>
      </c>
      <c r="R1722" s="2">
        <v>44986</v>
      </c>
      <c r="S1722">
        <v>4</v>
      </c>
      <c r="T1722">
        <v>2</v>
      </c>
      <c r="U1722">
        <v>1</v>
      </c>
      <c r="V1722" s="1">
        <v>44909</v>
      </c>
      <c r="W1722" t="s">
        <v>41</v>
      </c>
      <c r="X1722" t="s">
        <v>42</v>
      </c>
      <c r="Y1722" t="s">
        <v>73</v>
      </c>
      <c r="Z1722">
        <v>2</v>
      </c>
      <c r="AA1722">
        <v>804.01</v>
      </c>
      <c r="AB1722">
        <v>73</v>
      </c>
    </row>
    <row r="1723" spans="1:28" x14ac:dyDescent="0.2">
      <c r="A1723">
        <v>2245</v>
      </c>
      <c r="B1723" s="1">
        <v>44255</v>
      </c>
      <c r="C1723" t="s">
        <v>144</v>
      </c>
      <c r="D1723" t="s">
        <v>74</v>
      </c>
      <c r="E1723" t="s">
        <v>30</v>
      </c>
      <c r="F1723" t="s">
        <v>46</v>
      </c>
      <c r="G1723" t="s">
        <v>32</v>
      </c>
      <c r="H1723" t="s">
        <v>46</v>
      </c>
      <c r="I1723" t="s">
        <v>95</v>
      </c>
      <c r="J1723" t="s">
        <v>79</v>
      </c>
      <c r="K1723" s="2">
        <v>17060</v>
      </c>
      <c r="L1723" t="s">
        <v>36</v>
      </c>
      <c r="M1723" t="s">
        <v>48</v>
      </c>
      <c r="N1723" t="s">
        <v>72</v>
      </c>
      <c r="O1723" t="s">
        <v>77</v>
      </c>
      <c r="P1723" t="s">
        <v>40</v>
      </c>
      <c r="Q1723">
        <v>5</v>
      </c>
      <c r="R1723" s="2">
        <v>45115</v>
      </c>
      <c r="S1723">
        <v>2</v>
      </c>
      <c r="T1723">
        <v>4</v>
      </c>
      <c r="U1723">
        <v>4</v>
      </c>
      <c r="V1723" s="1">
        <v>45020</v>
      </c>
      <c r="W1723" t="s">
        <v>62</v>
      </c>
      <c r="X1723" t="s">
        <v>42</v>
      </c>
      <c r="Y1723" t="s">
        <v>52</v>
      </c>
      <c r="Z1723">
        <v>1</v>
      </c>
      <c r="AA1723">
        <v>968.2</v>
      </c>
      <c r="AB1723">
        <v>75</v>
      </c>
    </row>
    <row r="1724" spans="1:28" x14ac:dyDescent="0.2">
      <c r="A1724">
        <v>2246</v>
      </c>
      <c r="B1724" s="1">
        <v>44118</v>
      </c>
      <c r="C1724" t="s">
        <v>145</v>
      </c>
      <c r="D1724" t="s">
        <v>81</v>
      </c>
      <c r="E1724" t="s">
        <v>30</v>
      </c>
      <c r="F1724" t="s">
        <v>31</v>
      </c>
      <c r="G1724" t="s">
        <v>56</v>
      </c>
      <c r="H1724" t="s">
        <v>46</v>
      </c>
      <c r="I1724" t="s">
        <v>95</v>
      </c>
      <c r="J1724" t="s">
        <v>70</v>
      </c>
      <c r="K1724" s="2">
        <v>26990</v>
      </c>
      <c r="L1724" t="s">
        <v>36</v>
      </c>
      <c r="M1724" t="s">
        <v>48</v>
      </c>
      <c r="N1724" t="s">
        <v>38</v>
      </c>
      <c r="O1724" t="s">
        <v>77</v>
      </c>
      <c r="P1724" t="s">
        <v>40</v>
      </c>
      <c r="Q1724">
        <v>4</v>
      </c>
      <c r="R1724" s="2">
        <v>45005</v>
      </c>
      <c r="S1724">
        <v>3</v>
      </c>
      <c r="T1724">
        <v>4</v>
      </c>
      <c r="U1724">
        <v>5</v>
      </c>
      <c r="V1724" s="1">
        <v>44967</v>
      </c>
      <c r="W1724" t="s">
        <v>62</v>
      </c>
      <c r="X1724" t="s">
        <v>42</v>
      </c>
      <c r="Y1724" t="s">
        <v>63</v>
      </c>
      <c r="Z1724">
        <v>2</v>
      </c>
      <c r="AA1724">
        <v>364.36</v>
      </c>
      <c r="AB1724">
        <v>47</v>
      </c>
    </row>
    <row r="1725" spans="1:28" x14ac:dyDescent="0.2">
      <c r="A1725">
        <v>2247</v>
      </c>
      <c r="B1725" s="1">
        <v>43353</v>
      </c>
      <c r="C1725" t="s">
        <v>112</v>
      </c>
      <c r="D1725" t="s">
        <v>85</v>
      </c>
      <c r="E1725" t="s">
        <v>30</v>
      </c>
      <c r="F1725" t="s">
        <v>46</v>
      </c>
      <c r="G1725" t="s">
        <v>56</v>
      </c>
      <c r="H1725" t="s">
        <v>33</v>
      </c>
      <c r="I1725" t="s">
        <v>95</v>
      </c>
      <c r="J1725" t="s">
        <v>97</v>
      </c>
      <c r="K1725" s="2">
        <v>30416</v>
      </c>
      <c r="L1725" t="s">
        <v>36</v>
      </c>
      <c r="M1725" t="s">
        <v>37</v>
      </c>
      <c r="N1725" t="s">
        <v>49</v>
      </c>
      <c r="O1725" t="s">
        <v>39</v>
      </c>
      <c r="P1725" t="s">
        <v>40</v>
      </c>
      <c r="Q1725">
        <v>2</v>
      </c>
      <c r="R1725" s="2">
        <v>44973</v>
      </c>
      <c r="S1725">
        <v>3</v>
      </c>
      <c r="T1725">
        <v>4</v>
      </c>
      <c r="U1725">
        <v>4</v>
      </c>
      <c r="V1725" s="1">
        <v>45035</v>
      </c>
      <c r="W1725" t="s">
        <v>92</v>
      </c>
      <c r="X1725" t="s">
        <v>51</v>
      </c>
      <c r="Y1725" t="s">
        <v>52</v>
      </c>
      <c r="Z1725">
        <v>3</v>
      </c>
      <c r="AA1725">
        <v>803.16</v>
      </c>
      <c r="AB1725">
        <v>35</v>
      </c>
    </row>
    <row r="1726" spans="1:28" x14ac:dyDescent="0.2">
      <c r="A1726">
        <v>2248</v>
      </c>
      <c r="B1726" s="1">
        <v>44911</v>
      </c>
      <c r="C1726" t="s">
        <v>112</v>
      </c>
      <c r="D1726" t="s">
        <v>44</v>
      </c>
      <c r="E1726" t="s">
        <v>30</v>
      </c>
      <c r="F1726" t="s">
        <v>46</v>
      </c>
      <c r="G1726" t="s">
        <v>56</v>
      </c>
      <c r="H1726" t="s">
        <v>33</v>
      </c>
      <c r="I1726" t="s">
        <v>95</v>
      </c>
      <c r="J1726" t="s">
        <v>70</v>
      </c>
      <c r="K1726" s="2">
        <v>36511</v>
      </c>
      <c r="L1726" t="s">
        <v>36</v>
      </c>
      <c r="M1726" t="s">
        <v>37</v>
      </c>
      <c r="N1726" t="s">
        <v>49</v>
      </c>
      <c r="O1726" t="s">
        <v>39</v>
      </c>
      <c r="P1726" t="s">
        <v>40</v>
      </c>
      <c r="Q1726">
        <v>2</v>
      </c>
      <c r="R1726" s="2">
        <v>45070</v>
      </c>
      <c r="S1726">
        <v>1</v>
      </c>
      <c r="T1726">
        <v>5</v>
      </c>
      <c r="U1726">
        <v>5</v>
      </c>
      <c r="V1726" s="1">
        <v>45014</v>
      </c>
      <c r="W1726" t="s">
        <v>41</v>
      </c>
      <c r="X1726" t="s">
        <v>51</v>
      </c>
      <c r="Y1726" t="s">
        <v>52</v>
      </c>
      <c r="Z1726">
        <v>2</v>
      </c>
      <c r="AA1726">
        <v>571.12</v>
      </c>
      <c r="AB1726">
        <v>23</v>
      </c>
    </row>
    <row r="1727" spans="1:28" x14ac:dyDescent="0.2">
      <c r="A1727">
        <v>2249</v>
      </c>
      <c r="B1727" s="1">
        <v>43371</v>
      </c>
      <c r="C1727" t="s">
        <v>112</v>
      </c>
      <c r="D1727" t="s">
        <v>87</v>
      </c>
      <c r="E1727" t="s">
        <v>30</v>
      </c>
      <c r="F1727" t="s">
        <v>31</v>
      </c>
      <c r="G1727" t="s">
        <v>32</v>
      </c>
      <c r="H1727" t="s">
        <v>46</v>
      </c>
      <c r="I1727" t="s">
        <v>95</v>
      </c>
      <c r="J1727" t="s">
        <v>70</v>
      </c>
      <c r="K1727" s="2">
        <v>34645</v>
      </c>
      <c r="L1727" t="s">
        <v>36</v>
      </c>
      <c r="M1727" t="s">
        <v>37</v>
      </c>
      <c r="N1727" t="s">
        <v>72</v>
      </c>
      <c r="O1727" t="s">
        <v>77</v>
      </c>
      <c r="P1727" t="s">
        <v>40</v>
      </c>
      <c r="Q1727">
        <v>4</v>
      </c>
      <c r="R1727" s="2">
        <v>45075</v>
      </c>
      <c r="S1727">
        <v>3</v>
      </c>
      <c r="T1727">
        <v>5</v>
      </c>
      <c r="U1727">
        <v>5</v>
      </c>
      <c r="V1727" s="1">
        <v>45113</v>
      </c>
      <c r="W1727" t="s">
        <v>50</v>
      </c>
      <c r="X1727" t="s">
        <v>51</v>
      </c>
      <c r="Y1727" t="s">
        <v>43</v>
      </c>
      <c r="Z1727">
        <v>2</v>
      </c>
      <c r="AA1727">
        <v>705.36</v>
      </c>
      <c r="AB1727">
        <v>24</v>
      </c>
    </row>
    <row r="1728" spans="1:28" x14ac:dyDescent="0.2">
      <c r="A1728">
        <v>2250</v>
      </c>
      <c r="B1728" s="1">
        <v>44628</v>
      </c>
      <c r="C1728" t="s">
        <v>112</v>
      </c>
      <c r="D1728" t="s">
        <v>64</v>
      </c>
      <c r="E1728" t="s">
        <v>30</v>
      </c>
      <c r="F1728" t="s">
        <v>31</v>
      </c>
      <c r="G1728" t="s">
        <v>32</v>
      </c>
      <c r="H1728" t="s">
        <v>33</v>
      </c>
      <c r="I1728" t="s">
        <v>95</v>
      </c>
      <c r="J1728" t="s">
        <v>47</v>
      </c>
      <c r="K1728" s="2">
        <v>22891</v>
      </c>
      <c r="L1728" t="s">
        <v>71</v>
      </c>
      <c r="M1728" t="s">
        <v>37</v>
      </c>
      <c r="N1728" t="s">
        <v>84</v>
      </c>
      <c r="O1728" t="s">
        <v>67</v>
      </c>
      <c r="P1728" t="s">
        <v>40</v>
      </c>
      <c r="Q1728">
        <v>5</v>
      </c>
      <c r="R1728" s="2">
        <v>45075</v>
      </c>
      <c r="S1728">
        <v>4</v>
      </c>
      <c r="T1728">
        <v>2</v>
      </c>
      <c r="U1728">
        <v>1</v>
      </c>
      <c r="V1728" s="1">
        <v>45024</v>
      </c>
      <c r="W1728" t="s">
        <v>92</v>
      </c>
      <c r="X1728" t="s">
        <v>42</v>
      </c>
      <c r="Y1728" t="s">
        <v>43</v>
      </c>
      <c r="Z1728">
        <v>5</v>
      </c>
      <c r="AA1728">
        <v>565.78</v>
      </c>
      <c r="AB1728">
        <v>60</v>
      </c>
    </row>
    <row r="1729" spans="1:28" x14ac:dyDescent="0.2">
      <c r="A1729">
        <v>2251</v>
      </c>
      <c r="B1729" s="1">
        <v>44573</v>
      </c>
      <c r="C1729" t="s">
        <v>143</v>
      </c>
      <c r="D1729" t="s">
        <v>94</v>
      </c>
      <c r="E1729" t="s">
        <v>30</v>
      </c>
      <c r="F1729" t="s">
        <v>46</v>
      </c>
      <c r="G1729" t="s">
        <v>56</v>
      </c>
      <c r="H1729" t="s">
        <v>33</v>
      </c>
      <c r="I1729" t="s">
        <v>95</v>
      </c>
      <c r="J1729" t="s">
        <v>96</v>
      </c>
      <c r="K1729" s="2">
        <v>28766</v>
      </c>
      <c r="L1729" t="s">
        <v>36</v>
      </c>
      <c r="M1729" t="s">
        <v>37</v>
      </c>
      <c r="N1729" t="s">
        <v>49</v>
      </c>
      <c r="O1729" t="s">
        <v>77</v>
      </c>
      <c r="P1729" t="s">
        <v>40</v>
      </c>
      <c r="Q1729">
        <v>2</v>
      </c>
      <c r="R1729" s="2">
        <v>44822</v>
      </c>
      <c r="S1729">
        <v>4</v>
      </c>
      <c r="T1729">
        <v>4</v>
      </c>
      <c r="U1729">
        <v>4</v>
      </c>
      <c r="V1729" s="1">
        <v>44884</v>
      </c>
      <c r="W1729" t="s">
        <v>68</v>
      </c>
      <c r="X1729" t="s">
        <v>51</v>
      </c>
      <c r="Y1729" t="s">
        <v>52</v>
      </c>
      <c r="Z1729">
        <v>5</v>
      </c>
      <c r="AA1729">
        <v>593.14</v>
      </c>
      <c r="AB1729">
        <v>44</v>
      </c>
    </row>
    <row r="1730" spans="1:28" x14ac:dyDescent="0.2">
      <c r="A1730">
        <v>2252</v>
      </c>
      <c r="B1730" s="1">
        <v>44173</v>
      </c>
      <c r="C1730" t="s">
        <v>144</v>
      </c>
      <c r="D1730" t="s">
        <v>74</v>
      </c>
      <c r="E1730" t="s">
        <v>30</v>
      </c>
      <c r="F1730" t="s">
        <v>31</v>
      </c>
      <c r="G1730" t="s">
        <v>56</v>
      </c>
      <c r="H1730" t="s">
        <v>46</v>
      </c>
      <c r="I1730" t="s">
        <v>95</v>
      </c>
      <c r="J1730" t="s">
        <v>70</v>
      </c>
      <c r="K1730" s="2">
        <v>26980</v>
      </c>
      <c r="L1730" t="s">
        <v>36</v>
      </c>
      <c r="M1730" t="s">
        <v>48</v>
      </c>
      <c r="N1730" t="s">
        <v>38</v>
      </c>
      <c r="O1730" t="s">
        <v>39</v>
      </c>
      <c r="P1730" t="s">
        <v>40</v>
      </c>
      <c r="Q1730">
        <v>4</v>
      </c>
      <c r="R1730" s="2">
        <v>44832</v>
      </c>
      <c r="S1730">
        <v>1</v>
      </c>
      <c r="T1730">
        <v>3</v>
      </c>
      <c r="U1730">
        <v>3</v>
      </c>
      <c r="V1730" s="1">
        <v>44905</v>
      </c>
      <c r="W1730" t="s">
        <v>92</v>
      </c>
      <c r="X1730" t="s">
        <v>42</v>
      </c>
      <c r="Y1730" t="s">
        <v>63</v>
      </c>
      <c r="Z1730">
        <v>1</v>
      </c>
      <c r="AA1730">
        <v>648.23</v>
      </c>
      <c r="AB1730">
        <v>47</v>
      </c>
    </row>
    <row r="1731" spans="1:28" x14ac:dyDescent="0.2">
      <c r="A1731">
        <v>2253</v>
      </c>
      <c r="B1731" s="1">
        <v>44152</v>
      </c>
      <c r="C1731" t="s">
        <v>112</v>
      </c>
      <c r="D1731" t="s">
        <v>94</v>
      </c>
      <c r="E1731" t="s">
        <v>30</v>
      </c>
      <c r="F1731" t="s">
        <v>55</v>
      </c>
      <c r="G1731" t="s">
        <v>45</v>
      </c>
      <c r="H1731" t="s">
        <v>55</v>
      </c>
      <c r="I1731" t="s">
        <v>95</v>
      </c>
      <c r="J1731" t="s">
        <v>70</v>
      </c>
      <c r="K1731" s="2">
        <v>29987</v>
      </c>
      <c r="L1731" t="s">
        <v>36</v>
      </c>
      <c r="M1731" t="s">
        <v>37</v>
      </c>
      <c r="N1731" t="s">
        <v>60</v>
      </c>
      <c r="O1731" t="s">
        <v>61</v>
      </c>
      <c r="P1731" t="s">
        <v>40</v>
      </c>
      <c r="Q1731">
        <v>1</v>
      </c>
      <c r="R1731" s="2">
        <v>45103</v>
      </c>
      <c r="S1731">
        <v>5</v>
      </c>
      <c r="T1731">
        <v>1</v>
      </c>
      <c r="U1731">
        <v>2</v>
      </c>
      <c r="V1731" s="1">
        <v>44933</v>
      </c>
      <c r="W1731" t="s">
        <v>92</v>
      </c>
      <c r="X1731" t="s">
        <v>51</v>
      </c>
      <c r="Y1731" t="s">
        <v>52</v>
      </c>
      <c r="Z1731">
        <v>1</v>
      </c>
      <c r="AA1731">
        <v>426.97</v>
      </c>
      <c r="AB1731">
        <v>38</v>
      </c>
    </row>
    <row r="1732" spans="1:28" x14ac:dyDescent="0.2">
      <c r="A1732">
        <v>2254</v>
      </c>
      <c r="B1732" s="1">
        <v>44214</v>
      </c>
      <c r="C1732" t="s">
        <v>112</v>
      </c>
      <c r="D1732" t="s">
        <v>85</v>
      </c>
      <c r="E1732" t="s">
        <v>30</v>
      </c>
      <c r="F1732" t="s">
        <v>55</v>
      </c>
      <c r="G1732" t="s">
        <v>45</v>
      </c>
      <c r="H1732" t="s">
        <v>46</v>
      </c>
      <c r="I1732" t="s">
        <v>95</v>
      </c>
      <c r="J1732" t="s">
        <v>58</v>
      </c>
      <c r="K1732" s="2">
        <v>21120</v>
      </c>
      <c r="L1732" t="s">
        <v>36</v>
      </c>
      <c r="M1732" t="s">
        <v>37</v>
      </c>
      <c r="N1732" t="s">
        <v>49</v>
      </c>
      <c r="O1732" t="s">
        <v>61</v>
      </c>
      <c r="P1732" t="s">
        <v>40</v>
      </c>
      <c r="Q1732">
        <v>2</v>
      </c>
      <c r="R1732" s="2">
        <v>44909</v>
      </c>
      <c r="S1732">
        <v>3</v>
      </c>
      <c r="T1732">
        <v>2</v>
      </c>
      <c r="U1732">
        <v>5</v>
      </c>
      <c r="V1732" s="1">
        <v>44885</v>
      </c>
      <c r="W1732" t="s">
        <v>62</v>
      </c>
      <c r="X1732" t="s">
        <v>42</v>
      </c>
      <c r="Y1732" t="s">
        <v>43</v>
      </c>
      <c r="Z1732">
        <v>4</v>
      </c>
      <c r="AA1732">
        <v>267.76</v>
      </c>
      <c r="AB1732">
        <v>64</v>
      </c>
    </row>
    <row r="1733" spans="1:28" x14ac:dyDescent="0.2">
      <c r="A1733">
        <v>2255</v>
      </c>
      <c r="B1733" s="1">
        <v>44089</v>
      </c>
      <c r="C1733" t="s">
        <v>112</v>
      </c>
      <c r="D1733" t="s">
        <v>64</v>
      </c>
      <c r="E1733" t="s">
        <v>30</v>
      </c>
      <c r="F1733" t="s">
        <v>55</v>
      </c>
      <c r="G1733" t="s">
        <v>32</v>
      </c>
      <c r="H1733" t="s">
        <v>46</v>
      </c>
      <c r="I1733" t="s">
        <v>95</v>
      </c>
      <c r="J1733" t="s">
        <v>101</v>
      </c>
      <c r="K1733" s="2">
        <v>33070</v>
      </c>
      <c r="L1733" t="s">
        <v>36</v>
      </c>
      <c r="M1733" t="s">
        <v>37</v>
      </c>
      <c r="N1733" t="s">
        <v>49</v>
      </c>
      <c r="O1733" t="s">
        <v>61</v>
      </c>
      <c r="P1733" t="s">
        <v>40</v>
      </c>
      <c r="Q1733">
        <v>2</v>
      </c>
      <c r="R1733" s="2">
        <v>45058</v>
      </c>
      <c r="S1733">
        <v>1</v>
      </c>
      <c r="T1733">
        <v>4</v>
      </c>
      <c r="U1733">
        <v>4</v>
      </c>
      <c r="V1733" s="1">
        <v>44962</v>
      </c>
      <c r="W1733" t="s">
        <v>50</v>
      </c>
      <c r="X1733" t="s">
        <v>42</v>
      </c>
      <c r="Y1733" t="s">
        <v>63</v>
      </c>
      <c r="Z1733">
        <v>1</v>
      </c>
      <c r="AA1733">
        <v>357.69</v>
      </c>
      <c r="AB1733">
        <v>30</v>
      </c>
    </row>
    <row r="1734" spans="1:28" x14ac:dyDescent="0.2">
      <c r="A1734">
        <v>2256</v>
      </c>
      <c r="B1734" s="1">
        <v>43810</v>
      </c>
      <c r="C1734" t="s">
        <v>112</v>
      </c>
      <c r="D1734" t="s">
        <v>74</v>
      </c>
      <c r="E1734" t="s">
        <v>30</v>
      </c>
      <c r="F1734" t="s">
        <v>46</v>
      </c>
      <c r="G1734" t="s">
        <v>32</v>
      </c>
      <c r="H1734" t="s">
        <v>55</v>
      </c>
      <c r="I1734" t="s">
        <v>95</v>
      </c>
      <c r="J1734" t="s">
        <v>70</v>
      </c>
      <c r="K1734" s="2">
        <v>29949</v>
      </c>
      <c r="L1734" t="s">
        <v>71</v>
      </c>
      <c r="M1734" t="s">
        <v>37</v>
      </c>
      <c r="N1734" t="s">
        <v>84</v>
      </c>
      <c r="O1734" t="s">
        <v>39</v>
      </c>
      <c r="P1734" t="s">
        <v>40</v>
      </c>
      <c r="Q1734">
        <v>5</v>
      </c>
      <c r="R1734" s="2">
        <v>45121</v>
      </c>
      <c r="S1734">
        <v>5</v>
      </c>
      <c r="T1734">
        <v>5</v>
      </c>
      <c r="U1734">
        <v>4</v>
      </c>
      <c r="V1734" s="1">
        <v>44939</v>
      </c>
      <c r="W1734" t="s">
        <v>41</v>
      </c>
      <c r="X1734" t="s">
        <v>42</v>
      </c>
      <c r="Y1734" t="s">
        <v>63</v>
      </c>
      <c r="Z1734">
        <v>1</v>
      </c>
      <c r="AA1734">
        <v>312.42</v>
      </c>
      <c r="AB1734">
        <v>38</v>
      </c>
    </row>
    <row r="1735" spans="1:28" x14ac:dyDescent="0.2">
      <c r="A1735">
        <v>2257</v>
      </c>
      <c r="B1735" s="1">
        <v>44315</v>
      </c>
      <c r="C1735" t="s">
        <v>143</v>
      </c>
      <c r="D1735" t="s">
        <v>74</v>
      </c>
      <c r="E1735" t="s">
        <v>30</v>
      </c>
      <c r="F1735" t="s">
        <v>31</v>
      </c>
      <c r="G1735" t="s">
        <v>56</v>
      </c>
      <c r="H1735" t="s">
        <v>55</v>
      </c>
      <c r="I1735" t="s">
        <v>95</v>
      </c>
      <c r="J1735" t="s">
        <v>75</v>
      </c>
      <c r="K1735" s="2">
        <v>32438</v>
      </c>
      <c r="L1735" t="s">
        <v>36</v>
      </c>
      <c r="M1735" t="s">
        <v>48</v>
      </c>
      <c r="N1735" t="s">
        <v>38</v>
      </c>
      <c r="O1735" t="s">
        <v>67</v>
      </c>
      <c r="P1735" t="s">
        <v>40</v>
      </c>
      <c r="Q1735">
        <v>2</v>
      </c>
      <c r="R1735" s="2">
        <v>45132</v>
      </c>
      <c r="S1735">
        <v>4</v>
      </c>
      <c r="T1735">
        <v>3</v>
      </c>
      <c r="U1735">
        <v>5</v>
      </c>
      <c r="V1735" s="1">
        <v>45010</v>
      </c>
      <c r="W1735" t="s">
        <v>50</v>
      </c>
      <c r="X1735" t="s">
        <v>51</v>
      </c>
      <c r="Y1735" t="s">
        <v>52</v>
      </c>
      <c r="Z1735">
        <v>2</v>
      </c>
      <c r="AA1735">
        <v>456.3</v>
      </c>
      <c r="AB1735">
        <v>33</v>
      </c>
    </row>
    <row r="1736" spans="1:28" x14ac:dyDescent="0.2">
      <c r="A1736">
        <v>2258</v>
      </c>
      <c r="B1736" s="1">
        <v>44289</v>
      </c>
      <c r="C1736" t="s">
        <v>144</v>
      </c>
      <c r="D1736" t="s">
        <v>64</v>
      </c>
      <c r="E1736" t="s">
        <v>30</v>
      </c>
      <c r="F1736" t="s">
        <v>55</v>
      </c>
      <c r="G1736" t="s">
        <v>32</v>
      </c>
      <c r="H1736" t="s">
        <v>46</v>
      </c>
      <c r="I1736" t="s">
        <v>95</v>
      </c>
      <c r="J1736" t="s">
        <v>79</v>
      </c>
      <c r="K1736" s="2">
        <v>36211</v>
      </c>
      <c r="L1736" t="s">
        <v>36</v>
      </c>
      <c r="M1736" t="s">
        <v>48</v>
      </c>
      <c r="N1736" t="s">
        <v>38</v>
      </c>
      <c r="O1736" t="s">
        <v>39</v>
      </c>
      <c r="P1736" t="s">
        <v>40</v>
      </c>
      <c r="Q1736">
        <v>2</v>
      </c>
      <c r="R1736" s="2">
        <v>45019</v>
      </c>
      <c r="S1736">
        <v>2</v>
      </c>
      <c r="T1736">
        <v>5</v>
      </c>
      <c r="U1736">
        <v>4</v>
      </c>
      <c r="V1736" s="1">
        <v>45110</v>
      </c>
      <c r="W1736" t="s">
        <v>68</v>
      </c>
      <c r="X1736" t="s">
        <v>42</v>
      </c>
      <c r="Y1736" t="s">
        <v>43</v>
      </c>
      <c r="Z1736">
        <v>2</v>
      </c>
      <c r="AA1736">
        <v>675.95</v>
      </c>
      <c r="AB1736">
        <v>22</v>
      </c>
    </row>
    <row r="1737" spans="1:28" x14ac:dyDescent="0.2">
      <c r="A1737">
        <v>2259</v>
      </c>
      <c r="B1737" s="1">
        <v>44593</v>
      </c>
      <c r="C1737" t="s">
        <v>112</v>
      </c>
      <c r="D1737" t="s">
        <v>85</v>
      </c>
      <c r="E1737" t="s">
        <v>30</v>
      </c>
      <c r="F1737" t="s">
        <v>46</v>
      </c>
      <c r="G1737" t="s">
        <v>45</v>
      </c>
      <c r="H1737" t="s">
        <v>33</v>
      </c>
      <c r="I1737" t="s">
        <v>95</v>
      </c>
      <c r="J1737" t="s">
        <v>75</v>
      </c>
      <c r="K1737" s="2">
        <v>22364</v>
      </c>
      <c r="L1737" t="s">
        <v>36</v>
      </c>
      <c r="M1737" t="s">
        <v>37</v>
      </c>
      <c r="N1737" t="s">
        <v>49</v>
      </c>
      <c r="O1737" t="s">
        <v>77</v>
      </c>
      <c r="P1737" t="s">
        <v>40</v>
      </c>
      <c r="Q1737">
        <v>1</v>
      </c>
      <c r="R1737" s="2">
        <v>44935</v>
      </c>
      <c r="S1737">
        <v>1</v>
      </c>
      <c r="T1737">
        <v>2</v>
      </c>
      <c r="U1737">
        <v>5</v>
      </c>
      <c r="V1737" s="1">
        <v>45049</v>
      </c>
      <c r="W1737" t="s">
        <v>92</v>
      </c>
      <c r="X1737" t="s">
        <v>51</v>
      </c>
      <c r="Y1737" t="s">
        <v>43</v>
      </c>
      <c r="Z1737">
        <v>3</v>
      </c>
      <c r="AA1737">
        <v>754.61</v>
      </c>
      <c r="AB1737">
        <v>61</v>
      </c>
    </row>
    <row r="1738" spans="1:28" x14ac:dyDescent="0.2">
      <c r="A1738">
        <v>2260</v>
      </c>
      <c r="B1738" s="1">
        <v>43847</v>
      </c>
      <c r="C1738" t="s">
        <v>112</v>
      </c>
      <c r="D1738" t="s">
        <v>44</v>
      </c>
      <c r="E1738" t="s">
        <v>30</v>
      </c>
      <c r="F1738" t="s">
        <v>46</v>
      </c>
      <c r="G1738" t="s">
        <v>56</v>
      </c>
      <c r="H1738" t="s">
        <v>33</v>
      </c>
      <c r="I1738" t="s">
        <v>95</v>
      </c>
      <c r="J1738" t="s">
        <v>79</v>
      </c>
      <c r="K1738" s="2">
        <v>33898</v>
      </c>
      <c r="L1738" t="s">
        <v>36</v>
      </c>
      <c r="M1738" t="s">
        <v>37</v>
      </c>
      <c r="N1738" t="s">
        <v>49</v>
      </c>
      <c r="O1738" t="s">
        <v>39</v>
      </c>
      <c r="P1738" t="s">
        <v>40</v>
      </c>
      <c r="Q1738">
        <v>1</v>
      </c>
      <c r="R1738" s="2">
        <v>45143</v>
      </c>
      <c r="S1738">
        <v>3</v>
      </c>
      <c r="T1738">
        <v>1</v>
      </c>
      <c r="U1738">
        <v>4</v>
      </c>
      <c r="V1738" s="1">
        <v>44796</v>
      </c>
      <c r="W1738" t="s">
        <v>50</v>
      </c>
      <c r="X1738" t="s">
        <v>42</v>
      </c>
      <c r="Y1738" t="s">
        <v>52</v>
      </c>
      <c r="Z1738">
        <v>2</v>
      </c>
      <c r="AA1738">
        <v>377.64</v>
      </c>
      <c r="AB1738">
        <v>28</v>
      </c>
    </row>
    <row r="1739" spans="1:28" x14ac:dyDescent="0.2">
      <c r="A1739">
        <v>2261</v>
      </c>
      <c r="B1739" s="1">
        <v>44713</v>
      </c>
      <c r="C1739" t="s">
        <v>112</v>
      </c>
      <c r="D1739" t="s">
        <v>87</v>
      </c>
      <c r="E1739" t="s">
        <v>30</v>
      </c>
      <c r="F1739" t="s">
        <v>55</v>
      </c>
      <c r="G1739" t="s">
        <v>56</v>
      </c>
      <c r="H1739" t="s">
        <v>46</v>
      </c>
      <c r="I1739" t="s">
        <v>95</v>
      </c>
      <c r="J1739" t="s">
        <v>101</v>
      </c>
      <c r="K1739" s="2">
        <v>21337</v>
      </c>
      <c r="L1739" t="s">
        <v>71</v>
      </c>
      <c r="M1739" t="s">
        <v>37</v>
      </c>
      <c r="N1739" t="s">
        <v>72</v>
      </c>
      <c r="O1739" t="s">
        <v>77</v>
      </c>
      <c r="P1739" t="s">
        <v>40</v>
      </c>
      <c r="Q1739">
        <v>2</v>
      </c>
      <c r="R1739" s="2">
        <v>44882</v>
      </c>
      <c r="S1739">
        <v>2</v>
      </c>
      <c r="T1739">
        <v>1</v>
      </c>
      <c r="U1739">
        <v>5</v>
      </c>
      <c r="V1739" s="1">
        <v>45081</v>
      </c>
      <c r="W1739" t="s">
        <v>62</v>
      </c>
      <c r="X1739" t="s">
        <v>51</v>
      </c>
      <c r="Y1739" t="s">
        <v>43</v>
      </c>
      <c r="Z1739">
        <v>3</v>
      </c>
      <c r="AA1739">
        <v>647.41</v>
      </c>
      <c r="AB1739">
        <v>64</v>
      </c>
    </row>
    <row r="1740" spans="1:28" x14ac:dyDescent="0.2">
      <c r="A1740">
        <v>2262</v>
      </c>
      <c r="B1740" s="1">
        <v>43541</v>
      </c>
      <c r="C1740" t="s">
        <v>112</v>
      </c>
      <c r="D1740" t="s">
        <v>64</v>
      </c>
      <c r="E1740" t="s">
        <v>30</v>
      </c>
      <c r="F1740" t="s">
        <v>31</v>
      </c>
      <c r="G1740" t="s">
        <v>45</v>
      </c>
      <c r="H1740" t="s">
        <v>33</v>
      </c>
      <c r="I1740" t="s">
        <v>95</v>
      </c>
      <c r="J1740" t="s">
        <v>79</v>
      </c>
      <c r="K1740" s="2">
        <v>18539</v>
      </c>
      <c r="L1740" t="s">
        <v>71</v>
      </c>
      <c r="M1740" t="s">
        <v>37</v>
      </c>
      <c r="N1740" t="s">
        <v>60</v>
      </c>
      <c r="O1740" t="s">
        <v>77</v>
      </c>
      <c r="P1740" t="s">
        <v>40</v>
      </c>
      <c r="Q1740">
        <v>2</v>
      </c>
      <c r="R1740" s="2">
        <v>45043</v>
      </c>
      <c r="S1740">
        <v>4</v>
      </c>
      <c r="T1740">
        <v>4</v>
      </c>
      <c r="U1740">
        <v>3</v>
      </c>
      <c r="V1740" s="1">
        <v>45075</v>
      </c>
      <c r="W1740" t="s">
        <v>92</v>
      </c>
      <c r="X1740" t="s">
        <v>51</v>
      </c>
      <c r="Y1740" t="s">
        <v>52</v>
      </c>
      <c r="Z1740">
        <v>3</v>
      </c>
      <c r="AA1740">
        <v>122.43</v>
      </c>
      <c r="AB1740">
        <v>69</v>
      </c>
    </row>
    <row r="1741" spans="1:28" x14ac:dyDescent="0.2">
      <c r="A1741">
        <v>2263</v>
      </c>
      <c r="B1741" s="1">
        <v>43837</v>
      </c>
      <c r="C1741" t="s">
        <v>143</v>
      </c>
      <c r="D1741" t="s">
        <v>94</v>
      </c>
      <c r="E1741" t="s">
        <v>30</v>
      </c>
      <c r="F1741" t="s">
        <v>31</v>
      </c>
      <c r="G1741" t="s">
        <v>56</v>
      </c>
      <c r="H1741" t="s">
        <v>33</v>
      </c>
      <c r="I1741" t="s">
        <v>95</v>
      </c>
      <c r="J1741" t="s">
        <v>58</v>
      </c>
      <c r="K1741" s="2">
        <v>24024</v>
      </c>
      <c r="L1741" t="s">
        <v>36</v>
      </c>
      <c r="M1741" t="s">
        <v>48</v>
      </c>
      <c r="N1741" t="s">
        <v>49</v>
      </c>
      <c r="O1741" t="s">
        <v>61</v>
      </c>
      <c r="P1741" t="s">
        <v>40</v>
      </c>
      <c r="Q1741">
        <v>2</v>
      </c>
      <c r="R1741" s="2">
        <v>44893</v>
      </c>
      <c r="S1741">
        <v>3</v>
      </c>
      <c r="T1741">
        <v>1</v>
      </c>
      <c r="U1741">
        <v>4</v>
      </c>
      <c r="V1741" s="1">
        <v>44839</v>
      </c>
      <c r="W1741" t="s">
        <v>62</v>
      </c>
      <c r="X1741" t="s">
        <v>42</v>
      </c>
      <c r="Y1741" t="s">
        <v>52</v>
      </c>
      <c r="Z1741">
        <v>5</v>
      </c>
      <c r="AA1741">
        <v>662.94</v>
      </c>
      <c r="AB1741">
        <v>55</v>
      </c>
    </row>
    <row r="1742" spans="1:28" x14ac:dyDescent="0.2">
      <c r="A1742">
        <v>2264</v>
      </c>
      <c r="B1742" s="1">
        <v>44251</v>
      </c>
      <c r="C1742" t="s">
        <v>144</v>
      </c>
      <c r="D1742" t="s">
        <v>74</v>
      </c>
      <c r="E1742" t="s">
        <v>30</v>
      </c>
      <c r="F1742" t="s">
        <v>46</v>
      </c>
      <c r="G1742" t="s">
        <v>45</v>
      </c>
      <c r="H1742" t="s">
        <v>46</v>
      </c>
      <c r="I1742" t="s">
        <v>95</v>
      </c>
      <c r="J1742" t="s">
        <v>82</v>
      </c>
      <c r="K1742" s="2">
        <v>28919</v>
      </c>
      <c r="L1742" t="s">
        <v>36</v>
      </c>
      <c r="M1742" t="s">
        <v>48</v>
      </c>
      <c r="N1742" t="s">
        <v>38</v>
      </c>
      <c r="O1742" t="s">
        <v>61</v>
      </c>
      <c r="P1742" t="s">
        <v>40</v>
      </c>
      <c r="Q1742">
        <v>5</v>
      </c>
      <c r="R1742" s="2">
        <v>44873</v>
      </c>
      <c r="S1742">
        <v>1</v>
      </c>
      <c r="T1742">
        <v>2</v>
      </c>
      <c r="U1742">
        <v>3</v>
      </c>
      <c r="V1742" s="1">
        <v>45052</v>
      </c>
      <c r="W1742" t="s">
        <v>92</v>
      </c>
      <c r="X1742" t="s">
        <v>51</v>
      </c>
      <c r="Y1742" t="s">
        <v>43</v>
      </c>
      <c r="Z1742">
        <v>3</v>
      </c>
      <c r="AA1742">
        <v>465.3</v>
      </c>
      <c r="AB1742">
        <v>42</v>
      </c>
    </row>
    <row r="1743" spans="1:28" x14ac:dyDescent="0.2">
      <c r="A1743">
        <v>2265</v>
      </c>
      <c r="B1743" s="1">
        <v>43829</v>
      </c>
      <c r="C1743" t="s">
        <v>112</v>
      </c>
      <c r="D1743" t="s">
        <v>85</v>
      </c>
      <c r="E1743" t="s">
        <v>30</v>
      </c>
      <c r="F1743" t="s">
        <v>31</v>
      </c>
      <c r="G1743" t="s">
        <v>32</v>
      </c>
      <c r="H1743" t="s">
        <v>46</v>
      </c>
      <c r="I1743" t="s">
        <v>95</v>
      </c>
      <c r="J1743" t="s">
        <v>70</v>
      </c>
      <c r="K1743" s="2">
        <v>16436</v>
      </c>
      <c r="L1743" t="s">
        <v>36</v>
      </c>
      <c r="M1743" t="s">
        <v>37</v>
      </c>
      <c r="N1743" t="s">
        <v>49</v>
      </c>
      <c r="O1743" t="s">
        <v>61</v>
      </c>
      <c r="P1743" t="s">
        <v>40</v>
      </c>
      <c r="Q1743">
        <v>1</v>
      </c>
      <c r="R1743" s="2">
        <v>44993</v>
      </c>
      <c r="S1743">
        <v>2</v>
      </c>
      <c r="T1743">
        <v>4</v>
      </c>
      <c r="U1743">
        <v>2</v>
      </c>
      <c r="V1743" s="1">
        <v>44888</v>
      </c>
      <c r="W1743" t="s">
        <v>50</v>
      </c>
      <c r="X1743" t="s">
        <v>42</v>
      </c>
      <c r="Y1743" t="s">
        <v>43</v>
      </c>
      <c r="Z1743">
        <v>4</v>
      </c>
      <c r="AA1743">
        <v>680.88</v>
      </c>
      <c r="AB1743">
        <v>75</v>
      </c>
    </row>
    <row r="1744" spans="1:28" x14ac:dyDescent="0.2">
      <c r="A1744">
        <v>2266</v>
      </c>
      <c r="B1744" s="1">
        <v>43963</v>
      </c>
      <c r="C1744" t="s">
        <v>112</v>
      </c>
      <c r="D1744" t="s">
        <v>44</v>
      </c>
      <c r="E1744" t="s">
        <v>30</v>
      </c>
      <c r="F1744" t="s">
        <v>55</v>
      </c>
      <c r="G1744" t="s">
        <v>56</v>
      </c>
      <c r="H1744" t="s">
        <v>33</v>
      </c>
      <c r="I1744" t="s">
        <v>95</v>
      </c>
      <c r="J1744" t="s">
        <v>70</v>
      </c>
      <c r="K1744" s="2">
        <v>27435</v>
      </c>
      <c r="L1744" t="s">
        <v>36</v>
      </c>
      <c r="M1744" t="s">
        <v>37</v>
      </c>
      <c r="N1744" t="s">
        <v>60</v>
      </c>
      <c r="O1744" t="s">
        <v>61</v>
      </c>
      <c r="P1744" t="s">
        <v>40</v>
      </c>
      <c r="Q1744">
        <v>5</v>
      </c>
      <c r="R1744" s="2">
        <v>45043</v>
      </c>
      <c r="S1744">
        <v>5</v>
      </c>
      <c r="T1744">
        <v>3</v>
      </c>
      <c r="U1744">
        <v>2</v>
      </c>
      <c r="V1744" s="1">
        <v>44857</v>
      </c>
      <c r="W1744" t="s">
        <v>41</v>
      </c>
      <c r="X1744" t="s">
        <v>51</v>
      </c>
      <c r="Y1744" t="s">
        <v>63</v>
      </c>
      <c r="Z1744">
        <v>5</v>
      </c>
      <c r="AA1744">
        <v>898.01</v>
      </c>
      <c r="AB1744">
        <v>45</v>
      </c>
    </row>
    <row r="1745" spans="1:28" x14ac:dyDescent="0.2">
      <c r="A1745">
        <v>2267</v>
      </c>
      <c r="B1745" s="1">
        <v>45020</v>
      </c>
      <c r="C1745" t="s">
        <v>112</v>
      </c>
      <c r="D1745" t="s">
        <v>87</v>
      </c>
      <c r="E1745" t="s">
        <v>30</v>
      </c>
      <c r="F1745" t="s">
        <v>55</v>
      </c>
      <c r="G1745" t="s">
        <v>45</v>
      </c>
      <c r="H1745" t="s">
        <v>46</v>
      </c>
      <c r="I1745" t="s">
        <v>95</v>
      </c>
      <c r="J1745" t="s">
        <v>65</v>
      </c>
      <c r="K1745" s="2">
        <v>26102</v>
      </c>
      <c r="L1745" t="s">
        <v>71</v>
      </c>
      <c r="M1745" t="s">
        <v>37</v>
      </c>
      <c r="N1745" t="s">
        <v>49</v>
      </c>
      <c r="O1745" t="s">
        <v>77</v>
      </c>
      <c r="P1745" t="s">
        <v>40</v>
      </c>
      <c r="Q1745">
        <v>4</v>
      </c>
      <c r="R1745" s="2">
        <v>44994</v>
      </c>
      <c r="S1745">
        <v>1</v>
      </c>
      <c r="T1745">
        <v>3</v>
      </c>
      <c r="U1745">
        <v>3</v>
      </c>
      <c r="V1745" s="1">
        <v>44876</v>
      </c>
      <c r="W1745" t="s">
        <v>68</v>
      </c>
      <c r="X1745" t="s">
        <v>42</v>
      </c>
      <c r="Y1745" t="s">
        <v>73</v>
      </c>
      <c r="Z1745">
        <v>1</v>
      </c>
      <c r="AA1745">
        <v>518.79</v>
      </c>
      <c r="AB1745">
        <v>52</v>
      </c>
    </row>
    <row r="1746" spans="1:28" x14ac:dyDescent="0.2">
      <c r="A1746">
        <v>2268</v>
      </c>
      <c r="B1746" s="1">
        <v>44200</v>
      </c>
      <c r="C1746" t="s">
        <v>112</v>
      </c>
      <c r="D1746" t="s">
        <v>64</v>
      </c>
      <c r="E1746" t="s">
        <v>30</v>
      </c>
      <c r="F1746" t="s">
        <v>31</v>
      </c>
      <c r="G1746" t="s">
        <v>32</v>
      </c>
      <c r="H1746" t="s">
        <v>55</v>
      </c>
      <c r="I1746" t="s">
        <v>95</v>
      </c>
      <c r="J1746" t="s">
        <v>65</v>
      </c>
      <c r="K1746" s="2">
        <v>23229</v>
      </c>
      <c r="L1746" t="s">
        <v>71</v>
      </c>
      <c r="M1746" t="s">
        <v>48</v>
      </c>
      <c r="N1746" t="s">
        <v>38</v>
      </c>
      <c r="O1746" t="s">
        <v>61</v>
      </c>
      <c r="P1746" t="s">
        <v>40</v>
      </c>
      <c r="Q1746">
        <v>2</v>
      </c>
      <c r="R1746" s="2">
        <v>45110</v>
      </c>
      <c r="S1746">
        <v>2</v>
      </c>
      <c r="T1746">
        <v>3</v>
      </c>
      <c r="U1746">
        <v>2</v>
      </c>
      <c r="V1746" s="1">
        <v>44891</v>
      </c>
      <c r="W1746" t="s">
        <v>92</v>
      </c>
      <c r="X1746" t="s">
        <v>42</v>
      </c>
      <c r="Y1746" t="s">
        <v>43</v>
      </c>
      <c r="Z1746">
        <v>2</v>
      </c>
      <c r="AA1746">
        <v>677.84</v>
      </c>
      <c r="AB1746">
        <v>58</v>
      </c>
    </row>
    <row r="1747" spans="1:28" x14ac:dyDescent="0.2">
      <c r="A1747">
        <v>2269</v>
      </c>
      <c r="B1747" s="1">
        <v>43949</v>
      </c>
      <c r="C1747" t="s">
        <v>143</v>
      </c>
      <c r="D1747" t="s">
        <v>94</v>
      </c>
      <c r="E1747" t="s">
        <v>30</v>
      </c>
      <c r="F1747" t="s">
        <v>55</v>
      </c>
      <c r="G1747" t="s">
        <v>32</v>
      </c>
      <c r="H1747" t="s">
        <v>55</v>
      </c>
      <c r="I1747" t="s">
        <v>95</v>
      </c>
      <c r="J1747" t="s">
        <v>82</v>
      </c>
      <c r="K1747" s="2">
        <v>27044</v>
      </c>
      <c r="L1747" t="s">
        <v>36</v>
      </c>
      <c r="M1747" t="s">
        <v>48</v>
      </c>
      <c r="N1747" t="s">
        <v>49</v>
      </c>
      <c r="O1747" t="s">
        <v>77</v>
      </c>
      <c r="P1747" t="s">
        <v>40</v>
      </c>
      <c r="Q1747">
        <v>1</v>
      </c>
      <c r="R1747" s="2">
        <v>44971</v>
      </c>
      <c r="S1747">
        <v>5</v>
      </c>
      <c r="T1747">
        <v>5</v>
      </c>
      <c r="U1747">
        <v>1</v>
      </c>
      <c r="V1747" s="1">
        <v>44904</v>
      </c>
      <c r="W1747" t="s">
        <v>68</v>
      </c>
      <c r="X1747" t="s">
        <v>42</v>
      </c>
      <c r="Y1747" t="s">
        <v>52</v>
      </c>
      <c r="Z1747">
        <v>1</v>
      </c>
      <c r="AA1747">
        <v>109.33</v>
      </c>
      <c r="AB1747">
        <v>46</v>
      </c>
    </row>
    <row r="1748" spans="1:28" x14ac:dyDescent="0.2">
      <c r="A1748">
        <v>2270</v>
      </c>
      <c r="B1748" s="1">
        <v>43571</v>
      </c>
      <c r="C1748" t="s">
        <v>112</v>
      </c>
      <c r="D1748" t="s">
        <v>94</v>
      </c>
      <c r="E1748" t="s">
        <v>30</v>
      </c>
      <c r="F1748" t="s">
        <v>31</v>
      </c>
      <c r="G1748" t="s">
        <v>32</v>
      </c>
      <c r="H1748" t="s">
        <v>46</v>
      </c>
      <c r="I1748" t="s">
        <v>95</v>
      </c>
      <c r="J1748" t="s">
        <v>96</v>
      </c>
      <c r="K1748" s="2">
        <v>19256</v>
      </c>
      <c r="L1748" t="s">
        <v>36</v>
      </c>
      <c r="M1748" t="s">
        <v>37</v>
      </c>
      <c r="N1748" t="s">
        <v>84</v>
      </c>
      <c r="O1748" t="s">
        <v>61</v>
      </c>
      <c r="P1748" t="s">
        <v>40</v>
      </c>
      <c r="Q1748">
        <v>4</v>
      </c>
      <c r="R1748" s="2">
        <v>45003</v>
      </c>
      <c r="S1748">
        <v>4</v>
      </c>
      <c r="T1748">
        <v>4</v>
      </c>
      <c r="U1748">
        <v>3</v>
      </c>
      <c r="V1748" s="1">
        <v>45057</v>
      </c>
      <c r="W1748" t="s">
        <v>68</v>
      </c>
      <c r="X1748" t="s">
        <v>42</v>
      </c>
      <c r="Y1748" t="s">
        <v>73</v>
      </c>
      <c r="Z1748">
        <v>2</v>
      </c>
      <c r="AA1748">
        <v>781.35</v>
      </c>
      <c r="AB1748">
        <v>67</v>
      </c>
    </row>
    <row r="1749" spans="1:28" x14ac:dyDescent="0.2">
      <c r="A1749">
        <v>2271</v>
      </c>
      <c r="B1749" s="1">
        <v>44751</v>
      </c>
      <c r="C1749" t="s">
        <v>112</v>
      </c>
      <c r="D1749" t="s">
        <v>85</v>
      </c>
      <c r="E1749" t="s">
        <v>30</v>
      </c>
      <c r="F1749" t="s">
        <v>55</v>
      </c>
      <c r="G1749" t="s">
        <v>45</v>
      </c>
      <c r="H1749" t="s">
        <v>33</v>
      </c>
      <c r="I1749" t="s">
        <v>95</v>
      </c>
      <c r="J1749" t="s">
        <v>70</v>
      </c>
      <c r="K1749" s="2">
        <v>35266</v>
      </c>
      <c r="L1749" t="s">
        <v>36</v>
      </c>
      <c r="M1749" t="s">
        <v>37</v>
      </c>
      <c r="N1749" t="s">
        <v>49</v>
      </c>
      <c r="O1749" t="s">
        <v>61</v>
      </c>
      <c r="P1749" t="s">
        <v>40</v>
      </c>
      <c r="Q1749">
        <v>2</v>
      </c>
      <c r="R1749" s="2">
        <v>45006</v>
      </c>
      <c r="S1749">
        <v>5</v>
      </c>
      <c r="T1749">
        <v>4</v>
      </c>
      <c r="U1749">
        <v>4</v>
      </c>
      <c r="V1749" s="1">
        <v>44959</v>
      </c>
      <c r="W1749" t="s">
        <v>50</v>
      </c>
      <c r="X1749" t="s">
        <v>42</v>
      </c>
      <c r="Y1749" t="s">
        <v>43</v>
      </c>
      <c r="Z1749">
        <v>4</v>
      </c>
      <c r="AA1749">
        <v>632.57000000000005</v>
      </c>
      <c r="AB1749">
        <v>26</v>
      </c>
    </row>
    <row r="1750" spans="1:28" x14ac:dyDescent="0.2">
      <c r="A1750">
        <v>2272</v>
      </c>
      <c r="B1750" s="1">
        <v>44802</v>
      </c>
      <c r="C1750" t="s">
        <v>112</v>
      </c>
      <c r="D1750" t="s">
        <v>64</v>
      </c>
      <c r="E1750" t="s">
        <v>30</v>
      </c>
      <c r="F1750" t="s">
        <v>46</v>
      </c>
      <c r="G1750" t="s">
        <v>32</v>
      </c>
      <c r="H1750" t="s">
        <v>55</v>
      </c>
      <c r="I1750" t="s">
        <v>95</v>
      </c>
      <c r="J1750" t="s">
        <v>70</v>
      </c>
      <c r="K1750" s="2">
        <v>31871</v>
      </c>
      <c r="L1750" t="s">
        <v>71</v>
      </c>
      <c r="M1750" t="s">
        <v>37</v>
      </c>
      <c r="N1750" t="s">
        <v>72</v>
      </c>
      <c r="O1750" t="s">
        <v>77</v>
      </c>
      <c r="P1750" t="s">
        <v>40</v>
      </c>
      <c r="Q1750">
        <v>2</v>
      </c>
      <c r="R1750" s="2">
        <v>44778</v>
      </c>
      <c r="S1750">
        <v>5</v>
      </c>
      <c r="T1750">
        <v>5</v>
      </c>
      <c r="U1750">
        <v>3</v>
      </c>
      <c r="V1750" s="1">
        <v>45031</v>
      </c>
      <c r="W1750" t="s">
        <v>92</v>
      </c>
      <c r="X1750" t="s">
        <v>42</v>
      </c>
      <c r="Y1750" t="s">
        <v>73</v>
      </c>
      <c r="Z1750">
        <v>5</v>
      </c>
      <c r="AA1750">
        <v>233.42</v>
      </c>
      <c r="AB1750">
        <v>35</v>
      </c>
    </row>
    <row r="1751" spans="1:28" x14ac:dyDescent="0.2">
      <c r="A1751">
        <v>2273</v>
      </c>
      <c r="B1751" s="1">
        <v>43856</v>
      </c>
      <c r="C1751" t="s">
        <v>112</v>
      </c>
      <c r="D1751" t="s">
        <v>74</v>
      </c>
      <c r="E1751" t="s">
        <v>30</v>
      </c>
      <c r="F1751" t="s">
        <v>55</v>
      </c>
      <c r="G1751" t="s">
        <v>45</v>
      </c>
      <c r="H1751" t="s">
        <v>46</v>
      </c>
      <c r="I1751" t="s">
        <v>95</v>
      </c>
      <c r="J1751" t="s">
        <v>99</v>
      </c>
      <c r="K1751" s="2">
        <v>20591</v>
      </c>
      <c r="L1751" t="s">
        <v>71</v>
      </c>
      <c r="M1751" t="s">
        <v>48</v>
      </c>
      <c r="N1751" t="s">
        <v>60</v>
      </c>
      <c r="O1751" t="s">
        <v>77</v>
      </c>
      <c r="P1751" t="s">
        <v>40</v>
      </c>
      <c r="Q1751">
        <v>4</v>
      </c>
      <c r="R1751" s="2">
        <v>44860</v>
      </c>
      <c r="S1751">
        <v>5</v>
      </c>
      <c r="T1751">
        <v>2</v>
      </c>
      <c r="U1751">
        <v>3</v>
      </c>
      <c r="V1751" s="1">
        <v>45017</v>
      </c>
      <c r="W1751" t="s">
        <v>41</v>
      </c>
      <c r="X1751" t="s">
        <v>51</v>
      </c>
      <c r="Y1751" t="s">
        <v>73</v>
      </c>
      <c r="Z1751">
        <v>4</v>
      </c>
      <c r="AA1751">
        <v>301.14999999999998</v>
      </c>
      <c r="AB1751">
        <v>64</v>
      </c>
    </row>
    <row r="1752" spans="1:28" x14ac:dyDescent="0.2">
      <c r="A1752">
        <v>2274</v>
      </c>
      <c r="B1752" s="1">
        <v>43879</v>
      </c>
      <c r="C1752" t="s">
        <v>143</v>
      </c>
      <c r="D1752" t="s">
        <v>69</v>
      </c>
      <c r="E1752" t="s">
        <v>30</v>
      </c>
      <c r="F1752" t="s">
        <v>55</v>
      </c>
      <c r="G1752" t="s">
        <v>45</v>
      </c>
      <c r="H1752" t="s">
        <v>33</v>
      </c>
      <c r="I1752" t="s">
        <v>95</v>
      </c>
      <c r="J1752" t="s">
        <v>47</v>
      </c>
      <c r="K1752" s="2">
        <v>36548</v>
      </c>
      <c r="L1752" t="s">
        <v>36</v>
      </c>
      <c r="M1752" t="s">
        <v>48</v>
      </c>
      <c r="N1752" t="s">
        <v>60</v>
      </c>
      <c r="O1752" t="s">
        <v>39</v>
      </c>
      <c r="P1752" t="s">
        <v>40</v>
      </c>
      <c r="Q1752">
        <v>4</v>
      </c>
      <c r="R1752" s="2">
        <v>44786</v>
      </c>
      <c r="S1752">
        <v>2</v>
      </c>
      <c r="T1752">
        <v>5</v>
      </c>
      <c r="U1752">
        <v>1</v>
      </c>
      <c r="V1752" s="1">
        <v>45080</v>
      </c>
      <c r="W1752" t="s">
        <v>50</v>
      </c>
      <c r="X1752" t="s">
        <v>51</v>
      </c>
      <c r="Y1752" t="s">
        <v>43</v>
      </c>
      <c r="Z1752">
        <v>2</v>
      </c>
      <c r="AA1752">
        <v>255.54</v>
      </c>
      <c r="AB1752">
        <v>20</v>
      </c>
    </row>
    <row r="1753" spans="1:28" x14ac:dyDescent="0.2">
      <c r="A1753">
        <v>2275</v>
      </c>
      <c r="B1753" s="1">
        <v>44586</v>
      </c>
      <c r="C1753" t="s">
        <v>133</v>
      </c>
      <c r="D1753" t="s">
        <v>44</v>
      </c>
      <c r="E1753" t="s">
        <v>30</v>
      </c>
      <c r="F1753" t="s">
        <v>46</v>
      </c>
      <c r="G1753" t="s">
        <v>56</v>
      </c>
      <c r="H1753" t="s">
        <v>55</v>
      </c>
      <c r="I1753" t="s">
        <v>34</v>
      </c>
      <c r="J1753" t="s">
        <v>105</v>
      </c>
      <c r="K1753" s="2">
        <v>18606</v>
      </c>
      <c r="L1753" t="s">
        <v>36</v>
      </c>
      <c r="M1753" t="s">
        <v>48</v>
      </c>
      <c r="N1753" t="s">
        <v>84</v>
      </c>
      <c r="O1753" t="s">
        <v>67</v>
      </c>
      <c r="P1753" t="s">
        <v>40</v>
      </c>
      <c r="Q1753">
        <v>2</v>
      </c>
      <c r="R1753" s="2">
        <v>44858</v>
      </c>
      <c r="S1753">
        <v>5</v>
      </c>
      <c r="T1753">
        <v>4</v>
      </c>
      <c r="U1753">
        <v>3</v>
      </c>
      <c r="V1753" s="1">
        <v>44990</v>
      </c>
      <c r="W1753" t="s">
        <v>68</v>
      </c>
      <c r="X1753" t="s">
        <v>51</v>
      </c>
      <c r="Y1753" t="s">
        <v>52</v>
      </c>
      <c r="Z1753">
        <v>5</v>
      </c>
      <c r="AA1753">
        <v>138.4</v>
      </c>
      <c r="AB1753">
        <v>72</v>
      </c>
    </row>
    <row r="1754" spans="1:28" x14ac:dyDescent="0.2">
      <c r="A1754">
        <v>2276</v>
      </c>
      <c r="B1754" s="1">
        <v>45117</v>
      </c>
      <c r="C1754" t="s">
        <v>133</v>
      </c>
      <c r="D1754" t="s">
        <v>64</v>
      </c>
      <c r="E1754" t="s">
        <v>30</v>
      </c>
      <c r="F1754" t="s">
        <v>55</v>
      </c>
      <c r="G1754" t="s">
        <v>56</v>
      </c>
      <c r="H1754" t="s">
        <v>33</v>
      </c>
      <c r="I1754" t="s">
        <v>34</v>
      </c>
      <c r="J1754" t="s">
        <v>96</v>
      </c>
      <c r="K1754" s="2">
        <v>30276</v>
      </c>
      <c r="L1754" t="s">
        <v>36</v>
      </c>
      <c r="M1754" t="s">
        <v>37</v>
      </c>
      <c r="N1754" t="s">
        <v>38</v>
      </c>
      <c r="O1754" t="s">
        <v>77</v>
      </c>
      <c r="P1754" t="s">
        <v>40</v>
      </c>
      <c r="Q1754">
        <v>1</v>
      </c>
      <c r="R1754" s="2">
        <v>44820</v>
      </c>
      <c r="S1754">
        <v>5</v>
      </c>
      <c r="T1754">
        <v>2</v>
      </c>
      <c r="U1754">
        <v>2</v>
      </c>
      <c r="V1754" s="1">
        <v>45063</v>
      </c>
      <c r="W1754" t="s">
        <v>50</v>
      </c>
      <c r="X1754" t="s">
        <v>51</v>
      </c>
      <c r="Y1754" t="s">
        <v>63</v>
      </c>
      <c r="Z1754">
        <v>3</v>
      </c>
      <c r="AA1754">
        <v>851.87</v>
      </c>
      <c r="AB1754">
        <v>41</v>
      </c>
    </row>
    <row r="1755" spans="1:28" x14ac:dyDescent="0.2">
      <c r="A1755">
        <v>2277</v>
      </c>
      <c r="B1755" s="1">
        <v>44665</v>
      </c>
      <c r="C1755" t="s">
        <v>133</v>
      </c>
      <c r="D1755" t="s">
        <v>29</v>
      </c>
      <c r="E1755" t="s">
        <v>30</v>
      </c>
      <c r="F1755" t="s">
        <v>31</v>
      </c>
      <c r="G1755" t="s">
        <v>56</v>
      </c>
      <c r="H1755" t="s">
        <v>33</v>
      </c>
      <c r="I1755" t="s">
        <v>34</v>
      </c>
      <c r="J1755" t="s">
        <v>70</v>
      </c>
      <c r="K1755" s="2">
        <v>23283</v>
      </c>
      <c r="L1755" t="s">
        <v>36</v>
      </c>
      <c r="M1755" t="s">
        <v>37</v>
      </c>
      <c r="N1755" t="s">
        <v>49</v>
      </c>
      <c r="O1755" t="s">
        <v>39</v>
      </c>
      <c r="P1755" t="s">
        <v>40</v>
      </c>
      <c r="Q1755">
        <v>5</v>
      </c>
      <c r="R1755" s="2">
        <v>44890</v>
      </c>
      <c r="S1755">
        <v>3</v>
      </c>
      <c r="T1755">
        <v>4</v>
      </c>
      <c r="U1755">
        <v>4</v>
      </c>
      <c r="V1755" s="1">
        <v>44917</v>
      </c>
      <c r="W1755" t="s">
        <v>92</v>
      </c>
      <c r="X1755" t="s">
        <v>42</v>
      </c>
      <c r="Y1755" t="s">
        <v>63</v>
      </c>
      <c r="Z1755">
        <v>3</v>
      </c>
      <c r="AA1755">
        <v>592.23</v>
      </c>
      <c r="AB1755">
        <v>59</v>
      </c>
    </row>
    <row r="1756" spans="1:28" x14ac:dyDescent="0.2">
      <c r="A1756">
        <v>2278</v>
      </c>
      <c r="B1756" s="1">
        <v>44752</v>
      </c>
      <c r="C1756" t="s">
        <v>133</v>
      </c>
      <c r="D1756" t="s">
        <v>29</v>
      </c>
      <c r="E1756" t="s">
        <v>30</v>
      </c>
      <c r="F1756" t="s">
        <v>46</v>
      </c>
      <c r="G1756" t="s">
        <v>56</v>
      </c>
      <c r="H1756" t="s">
        <v>33</v>
      </c>
      <c r="I1756" t="s">
        <v>34</v>
      </c>
      <c r="J1756" t="s">
        <v>103</v>
      </c>
      <c r="K1756" s="2">
        <v>23158</v>
      </c>
      <c r="L1756" t="s">
        <v>36</v>
      </c>
      <c r="M1756" t="s">
        <v>37</v>
      </c>
      <c r="N1756" t="s">
        <v>38</v>
      </c>
      <c r="O1756" t="s">
        <v>39</v>
      </c>
      <c r="P1756" t="s">
        <v>40</v>
      </c>
      <c r="Q1756">
        <v>4</v>
      </c>
      <c r="R1756" s="2">
        <v>44794</v>
      </c>
      <c r="S1756">
        <v>5</v>
      </c>
      <c r="T1756">
        <v>4</v>
      </c>
      <c r="U1756">
        <v>2</v>
      </c>
      <c r="V1756" s="1">
        <v>44990</v>
      </c>
      <c r="W1756" t="s">
        <v>41</v>
      </c>
      <c r="X1756" t="s">
        <v>51</v>
      </c>
      <c r="Y1756" t="s">
        <v>63</v>
      </c>
      <c r="Z1756">
        <v>4</v>
      </c>
      <c r="AA1756">
        <v>544.42999999999995</v>
      </c>
      <c r="AB1756">
        <v>59</v>
      </c>
    </row>
    <row r="1757" spans="1:28" x14ac:dyDescent="0.2">
      <c r="A1757">
        <v>2279</v>
      </c>
      <c r="B1757" s="1">
        <v>44739</v>
      </c>
      <c r="C1757" t="s">
        <v>133</v>
      </c>
      <c r="D1757" t="s">
        <v>44</v>
      </c>
      <c r="E1757" t="s">
        <v>30</v>
      </c>
      <c r="F1757" t="s">
        <v>31</v>
      </c>
      <c r="G1757" t="s">
        <v>32</v>
      </c>
      <c r="H1757" t="s">
        <v>55</v>
      </c>
      <c r="I1757" t="s">
        <v>34</v>
      </c>
      <c r="J1757" t="s">
        <v>135</v>
      </c>
      <c r="K1757" s="2">
        <v>28168</v>
      </c>
      <c r="L1757" t="s">
        <v>36</v>
      </c>
      <c r="M1757" t="s">
        <v>48</v>
      </c>
      <c r="N1757" t="s">
        <v>60</v>
      </c>
      <c r="O1757" t="s">
        <v>77</v>
      </c>
      <c r="P1757" t="s">
        <v>40</v>
      </c>
      <c r="Q1757">
        <v>1</v>
      </c>
      <c r="R1757" s="2">
        <v>45074</v>
      </c>
      <c r="S1757">
        <v>2</v>
      </c>
      <c r="T1757">
        <v>5</v>
      </c>
      <c r="U1757">
        <v>1</v>
      </c>
      <c r="V1757" s="1">
        <v>45008</v>
      </c>
      <c r="W1757" t="s">
        <v>68</v>
      </c>
      <c r="X1757" t="s">
        <v>51</v>
      </c>
      <c r="Y1757" t="s">
        <v>73</v>
      </c>
      <c r="Z1757">
        <v>4</v>
      </c>
      <c r="AA1757">
        <v>230.57</v>
      </c>
      <c r="AB1757">
        <v>45</v>
      </c>
    </row>
    <row r="1758" spans="1:28" x14ac:dyDescent="0.2">
      <c r="A1758">
        <v>2280</v>
      </c>
      <c r="B1758" s="1">
        <v>43438</v>
      </c>
      <c r="C1758" t="s">
        <v>133</v>
      </c>
      <c r="D1758" t="s">
        <v>94</v>
      </c>
      <c r="E1758" t="s">
        <v>108</v>
      </c>
      <c r="F1758" t="s">
        <v>31</v>
      </c>
      <c r="G1758" t="s">
        <v>45</v>
      </c>
      <c r="H1758" t="s">
        <v>33</v>
      </c>
      <c r="I1758" t="s">
        <v>34</v>
      </c>
      <c r="J1758" t="s">
        <v>102</v>
      </c>
      <c r="K1758" s="2">
        <v>31112</v>
      </c>
      <c r="L1758" t="s">
        <v>36</v>
      </c>
      <c r="M1758" t="s">
        <v>37</v>
      </c>
      <c r="N1758" t="s">
        <v>38</v>
      </c>
      <c r="O1758" t="s">
        <v>67</v>
      </c>
      <c r="P1758" t="s">
        <v>40</v>
      </c>
      <c r="Q1758">
        <v>4</v>
      </c>
      <c r="R1758" s="2">
        <v>44980</v>
      </c>
      <c r="S1758">
        <v>4</v>
      </c>
      <c r="T1758">
        <v>2</v>
      </c>
      <c r="U1758">
        <v>5</v>
      </c>
      <c r="V1758" s="1">
        <v>45021</v>
      </c>
      <c r="W1758" t="s">
        <v>50</v>
      </c>
      <c r="X1758" t="s">
        <v>51</v>
      </c>
      <c r="Y1758" t="s">
        <v>73</v>
      </c>
      <c r="Z1758">
        <v>3</v>
      </c>
      <c r="AA1758">
        <v>493.98</v>
      </c>
      <c r="AB1758">
        <v>33</v>
      </c>
    </row>
    <row r="1759" spans="1:28" x14ac:dyDescent="0.2">
      <c r="A1759">
        <v>2281</v>
      </c>
      <c r="B1759" s="1">
        <v>43718</v>
      </c>
      <c r="C1759" t="s">
        <v>133</v>
      </c>
      <c r="D1759" t="s">
        <v>54</v>
      </c>
      <c r="E1759" t="s">
        <v>30</v>
      </c>
      <c r="F1759" t="s">
        <v>55</v>
      </c>
      <c r="G1759" t="s">
        <v>32</v>
      </c>
      <c r="H1759" t="s">
        <v>55</v>
      </c>
      <c r="I1759" t="s">
        <v>34</v>
      </c>
      <c r="J1759" t="s">
        <v>70</v>
      </c>
      <c r="K1759" s="2">
        <v>36050</v>
      </c>
      <c r="L1759" t="s">
        <v>36</v>
      </c>
      <c r="M1759" t="s">
        <v>48</v>
      </c>
      <c r="N1759" t="s">
        <v>49</v>
      </c>
      <c r="O1759" t="s">
        <v>61</v>
      </c>
      <c r="P1759" t="s">
        <v>40</v>
      </c>
      <c r="Q1759">
        <v>4</v>
      </c>
      <c r="R1759" s="2">
        <v>44828</v>
      </c>
      <c r="S1759">
        <v>1</v>
      </c>
      <c r="T1759">
        <v>4</v>
      </c>
      <c r="U1759">
        <v>2</v>
      </c>
      <c r="V1759" s="1">
        <v>44894</v>
      </c>
      <c r="W1759" t="s">
        <v>68</v>
      </c>
      <c r="X1759" t="s">
        <v>42</v>
      </c>
      <c r="Y1759" t="s">
        <v>43</v>
      </c>
      <c r="Z1759">
        <v>4</v>
      </c>
      <c r="AA1759">
        <v>761.7</v>
      </c>
      <c r="AB1759">
        <v>21</v>
      </c>
    </row>
    <row r="1760" spans="1:28" x14ac:dyDescent="0.2">
      <c r="A1760">
        <v>2282</v>
      </c>
      <c r="B1760" s="1">
        <v>43580</v>
      </c>
      <c r="C1760" t="s">
        <v>133</v>
      </c>
      <c r="D1760" t="s">
        <v>54</v>
      </c>
      <c r="E1760" t="s">
        <v>30</v>
      </c>
      <c r="F1760" t="s">
        <v>46</v>
      </c>
      <c r="G1760" t="s">
        <v>45</v>
      </c>
      <c r="H1760" t="s">
        <v>55</v>
      </c>
      <c r="I1760" t="s">
        <v>34</v>
      </c>
      <c r="J1760" t="s">
        <v>97</v>
      </c>
      <c r="K1760" s="2">
        <v>24681</v>
      </c>
      <c r="L1760" t="s">
        <v>36</v>
      </c>
      <c r="M1760" t="s">
        <v>48</v>
      </c>
      <c r="N1760" t="s">
        <v>84</v>
      </c>
      <c r="O1760" t="s">
        <v>61</v>
      </c>
      <c r="P1760" t="s">
        <v>40</v>
      </c>
      <c r="Q1760">
        <v>4</v>
      </c>
      <c r="R1760" s="2">
        <v>44867</v>
      </c>
      <c r="S1760">
        <v>1</v>
      </c>
      <c r="T1760">
        <v>5</v>
      </c>
      <c r="U1760">
        <v>3</v>
      </c>
      <c r="V1760" s="1">
        <v>44854</v>
      </c>
      <c r="W1760" t="s">
        <v>41</v>
      </c>
      <c r="X1760" t="s">
        <v>51</v>
      </c>
      <c r="Y1760" t="s">
        <v>52</v>
      </c>
      <c r="Z1760">
        <v>5</v>
      </c>
      <c r="AA1760">
        <v>454.55</v>
      </c>
      <c r="AB1760">
        <v>52</v>
      </c>
    </row>
    <row r="1761" spans="1:28" x14ac:dyDescent="0.2">
      <c r="A1761">
        <v>2283</v>
      </c>
      <c r="B1761" s="1">
        <v>43376</v>
      </c>
      <c r="C1761" t="s">
        <v>130</v>
      </c>
      <c r="D1761" t="s">
        <v>74</v>
      </c>
      <c r="E1761" t="s">
        <v>108</v>
      </c>
      <c r="F1761" t="s">
        <v>46</v>
      </c>
      <c r="G1761" t="s">
        <v>56</v>
      </c>
      <c r="H1761" t="s">
        <v>33</v>
      </c>
      <c r="I1761" t="s">
        <v>132</v>
      </c>
      <c r="J1761" t="s">
        <v>70</v>
      </c>
      <c r="K1761" s="2">
        <v>22632</v>
      </c>
      <c r="L1761" t="s">
        <v>36</v>
      </c>
      <c r="M1761" t="s">
        <v>48</v>
      </c>
      <c r="N1761" t="s">
        <v>38</v>
      </c>
      <c r="O1761" t="s">
        <v>61</v>
      </c>
      <c r="P1761" t="s">
        <v>40</v>
      </c>
      <c r="Q1761">
        <v>4</v>
      </c>
      <c r="R1761" s="2">
        <v>44854</v>
      </c>
      <c r="S1761">
        <v>4</v>
      </c>
      <c r="T1761">
        <v>2</v>
      </c>
      <c r="U1761">
        <v>1</v>
      </c>
      <c r="V1761" s="1">
        <v>45039</v>
      </c>
      <c r="W1761" t="s">
        <v>41</v>
      </c>
      <c r="X1761" t="s">
        <v>51</v>
      </c>
      <c r="Y1761" t="s">
        <v>43</v>
      </c>
      <c r="Z1761">
        <v>1</v>
      </c>
      <c r="AA1761">
        <v>183.88</v>
      </c>
      <c r="AB1761">
        <v>57</v>
      </c>
    </row>
    <row r="1762" spans="1:28" x14ac:dyDescent="0.2">
      <c r="A1762">
        <v>2284</v>
      </c>
      <c r="B1762" s="1">
        <v>44726</v>
      </c>
      <c r="C1762" t="s">
        <v>124</v>
      </c>
      <c r="D1762" t="s">
        <v>44</v>
      </c>
      <c r="E1762" t="s">
        <v>30</v>
      </c>
      <c r="F1762" t="s">
        <v>46</v>
      </c>
      <c r="G1762" t="s">
        <v>32</v>
      </c>
      <c r="H1762" t="s">
        <v>46</v>
      </c>
      <c r="I1762" t="s">
        <v>95</v>
      </c>
      <c r="J1762" t="s">
        <v>101</v>
      </c>
      <c r="K1762" s="2">
        <v>22182</v>
      </c>
      <c r="L1762" t="s">
        <v>36</v>
      </c>
      <c r="M1762" t="s">
        <v>37</v>
      </c>
      <c r="N1762" t="s">
        <v>60</v>
      </c>
      <c r="O1762" t="s">
        <v>39</v>
      </c>
      <c r="P1762" t="s">
        <v>40</v>
      </c>
      <c r="Q1762">
        <v>2</v>
      </c>
      <c r="R1762" s="2">
        <v>44845</v>
      </c>
      <c r="S1762">
        <v>1</v>
      </c>
      <c r="T1762">
        <v>4</v>
      </c>
      <c r="U1762">
        <v>4</v>
      </c>
      <c r="V1762" s="1">
        <v>45116</v>
      </c>
      <c r="W1762" t="s">
        <v>68</v>
      </c>
      <c r="X1762" t="s">
        <v>51</v>
      </c>
      <c r="Y1762" t="s">
        <v>73</v>
      </c>
      <c r="Z1762">
        <v>3</v>
      </c>
      <c r="AA1762">
        <v>839.16</v>
      </c>
      <c r="AB1762">
        <v>62</v>
      </c>
    </row>
    <row r="1763" spans="1:28" x14ac:dyDescent="0.2">
      <c r="A1763">
        <v>2285</v>
      </c>
      <c r="B1763" s="1">
        <v>44607</v>
      </c>
      <c r="C1763" t="s">
        <v>133</v>
      </c>
      <c r="D1763" t="s">
        <v>69</v>
      </c>
      <c r="E1763" t="s">
        <v>30</v>
      </c>
      <c r="F1763" t="s">
        <v>55</v>
      </c>
      <c r="G1763" t="s">
        <v>32</v>
      </c>
      <c r="H1763" t="s">
        <v>33</v>
      </c>
      <c r="I1763" t="s">
        <v>34</v>
      </c>
      <c r="J1763" t="s">
        <v>96</v>
      </c>
      <c r="K1763" s="2">
        <v>26081</v>
      </c>
      <c r="L1763" t="s">
        <v>36</v>
      </c>
      <c r="M1763" t="s">
        <v>48</v>
      </c>
      <c r="N1763" t="s">
        <v>60</v>
      </c>
      <c r="O1763" t="s">
        <v>61</v>
      </c>
      <c r="P1763" t="s">
        <v>40</v>
      </c>
      <c r="Q1763">
        <v>5</v>
      </c>
      <c r="R1763" s="2">
        <v>45068</v>
      </c>
      <c r="S1763">
        <v>4</v>
      </c>
      <c r="T1763">
        <v>3</v>
      </c>
      <c r="U1763">
        <v>3</v>
      </c>
      <c r="V1763" s="1">
        <v>44897</v>
      </c>
      <c r="W1763" t="s">
        <v>50</v>
      </c>
      <c r="X1763" t="s">
        <v>42</v>
      </c>
      <c r="Y1763" t="s">
        <v>63</v>
      </c>
      <c r="Z1763">
        <v>4</v>
      </c>
      <c r="AA1763">
        <v>679.57</v>
      </c>
      <c r="AB1763">
        <v>51</v>
      </c>
    </row>
    <row r="1764" spans="1:28" x14ac:dyDescent="0.2">
      <c r="A1764">
        <v>2286</v>
      </c>
      <c r="B1764" s="1">
        <v>43367</v>
      </c>
      <c r="C1764" t="s">
        <v>133</v>
      </c>
      <c r="D1764" t="s">
        <v>81</v>
      </c>
      <c r="E1764" t="s">
        <v>30</v>
      </c>
      <c r="F1764" t="s">
        <v>31</v>
      </c>
      <c r="G1764" t="s">
        <v>56</v>
      </c>
      <c r="H1764" t="s">
        <v>33</v>
      </c>
      <c r="I1764" t="s">
        <v>34</v>
      </c>
      <c r="J1764" t="s">
        <v>75</v>
      </c>
      <c r="K1764" s="2">
        <v>29869</v>
      </c>
      <c r="L1764" t="s">
        <v>36</v>
      </c>
      <c r="M1764" t="s">
        <v>48</v>
      </c>
      <c r="N1764" t="s">
        <v>72</v>
      </c>
      <c r="O1764" t="s">
        <v>77</v>
      </c>
      <c r="P1764" t="s">
        <v>40</v>
      </c>
      <c r="Q1764">
        <v>2</v>
      </c>
      <c r="R1764" s="2">
        <v>44946</v>
      </c>
      <c r="S1764">
        <v>4</v>
      </c>
      <c r="T1764">
        <v>4</v>
      </c>
      <c r="U1764">
        <v>4</v>
      </c>
      <c r="V1764" s="1">
        <v>44831</v>
      </c>
      <c r="W1764" t="s">
        <v>62</v>
      </c>
      <c r="X1764" t="s">
        <v>51</v>
      </c>
      <c r="Y1764" t="s">
        <v>43</v>
      </c>
      <c r="Z1764">
        <v>5</v>
      </c>
      <c r="AA1764">
        <v>107.64</v>
      </c>
      <c r="AB1764">
        <v>37</v>
      </c>
    </row>
    <row r="1765" spans="1:28" x14ac:dyDescent="0.2">
      <c r="A1765">
        <v>2287</v>
      </c>
      <c r="B1765" s="1">
        <v>44629</v>
      </c>
      <c r="C1765" t="s">
        <v>133</v>
      </c>
      <c r="D1765" t="s">
        <v>94</v>
      </c>
      <c r="E1765" t="s">
        <v>30</v>
      </c>
      <c r="F1765" t="s">
        <v>31</v>
      </c>
      <c r="G1765" t="s">
        <v>56</v>
      </c>
      <c r="H1765" t="s">
        <v>46</v>
      </c>
      <c r="I1765" t="s">
        <v>34</v>
      </c>
      <c r="J1765" t="s">
        <v>65</v>
      </c>
      <c r="K1765" s="2">
        <v>22360</v>
      </c>
      <c r="L1765" t="s">
        <v>36</v>
      </c>
      <c r="M1765" t="s">
        <v>37</v>
      </c>
      <c r="N1765" t="s">
        <v>38</v>
      </c>
      <c r="O1765" t="s">
        <v>61</v>
      </c>
      <c r="P1765" t="s">
        <v>40</v>
      </c>
      <c r="Q1765">
        <v>2</v>
      </c>
      <c r="R1765" s="2">
        <v>44876</v>
      </c>
      <c r="S1765">
        <v>4</v>
      </c>
      <c r="T1765">
        <v>4</v>
      </c>
      <c r="U1765">
        <v>2</v>
      </c>
      <c r="V1765" s="1">
        <v>45014</v>
      </c>
      <c r="W1765" t="s">
        <v>92</v>
      </c>
      <c r="X1765" t="s">
        <v>42</v>
      </c>
      <c r="Y1765" t="s">
        <v>73</v>
      </c>
      <c r="Z1765">
        <v>4</v>
      </c>
      <c r="AA1765">
        <v>560.64</v>
      </c>
      <c r="AB1765">
        <v>61</v>
      </c>
    </row>
    <row r="1766" spans="1:28" x14ac:dyDescent="0.2">
      <c r="A1766">
        <v>2288</v>
      </c>
      <c r="B1766" s="1">
        <v>43411</v>
      </c>
      <c r="C1766" t="s">
        <v>133</v>
      </c>
      <c r="D1766" t="s">
        <v>81</v>
      </c>
      <c r="E1766" t="s">
        <v>30</v>
      </c>
      <c r="F1766" t="s">
        <v>55</v>
      </c>
      <c r="G1766" t="s">
        <v>45</v>
      </c>
      <c r="H1766" t="s">
        <v>33</v>
      </c>
      <c r="I1766" t="s">
        <v>34</v>
      </c>
      <c r="J1766" t="s">
        <v>97</v>
      </c>
      <c r="K1766" s="2">
        <v>30934</v>
      </c>
      <c r="L1766" t="s">
        <v>36</v>
      </c>
      <c r="M1766" t="s">
        <v>37</v>
      </c>
      <c r="N1766" t="s">
        <v>72</v>
      </c>
      <c r="O1766" t="s">
        <v>77</v>
      </c>
      <c r="P1766" t="s">
        <v>40</v>
      </c>
      <c r="Q1766">
        <v>5</v>
      </c>
      <c r="R1766" s="2">
        <v>45116</v>
      </c>
      <c r="S1766">
        <v>5</v>
      </c>
      <c r="T1766">
        <v>1</v>
      </c>
      <c r="U1766">
        <v>4</v>
      </c>
      <c r="V1766" s="1">
        <v>44829</v>
      </c>
      <c r="W1766" t="s">
        <v>92</v>
      </c>
      <c r="X1766" t="s">
        <v>42</v>
      </c>
      <c r="Y1766" t="s">
        <v>43</v>
      </c>
      <c r="Z1766">
        <v>2</v>
      </c>
      <c r="AA1766">
        <v>187.85</v>
      </c>
      <c r="AB1766">
        <v>34</v>
      </c>
    </row>
    <row r="1767" spans="1:28" x14ac:dyDescent="0.2">
      <c r="A1767">
        <v>2289</v>
      </c>
      <c r="B1767" s="1">
        <v>43708</v>
      </c>
      <c r="C1767" t="s">
        <v>130</v>
      </c>
      <c r="D1767" t="s">
        <v>69</v>
      </c>
      <c r="E1767" t="s">
        <v>30</v>
      </c>
      <c r="F1767" t="s">
        <v>55</v>
      </c>
      <c r="G1767" t="s">
        <v>45</v>
      </c>
      <c r="H1767" t="s">
        <v>46</v>
      </c>
      <c r="I1767" t="s">
        <v>132</v>
      </c>
      <c r="J1767" t="s">
        <v>70</v>
      </c>
      <c r="K1767" s="2">
        <v>22710</v>
      </c>
      <c r="L1767" t="s">
        <v>36</v>
      </c>
      <c r="M1767" t="s">
        <v>48</v>
      </c>
      <c r="N1767" t="s">
        <v>38</v>
      </c>
      <c r="O1767" t="s">
        <v>61</v>
      </c>
      <c r="P1767" t="s">
        <v>40</v>
      </c>
      <c r="Q1767">
        <v>4</v>
      </c>
      <c r="R1767" s="2">
        <v>44997</v>
      </c>
      <c r="S1767">
        <v>2</v>
      </c>
      <c r="T1767">
        <v>5</v>
      </c>
      <c r="U1767">
        <v>3</v>
      </c>
      <c r="V1767" s="1">
        <v>45091</v>
      </c>
      <c r="W1767" t="s">
        <v>68</v>
      </c>
      <c r="X1767" t="s">
        <v>51</v>
      </c>
      <c r="Y1767" t="s">
        <v>63</v>
      </c>
      <c r="Z1767">
        <v>3</v>
      </c>
      <c r="AA1767">
        <v>353.58</v>
      </c>
      <c r="AB1767">
        <v>57</v>
      </c>
    </row>
    <row r="1768" spans="1:28" x14ac:dyDescent="0.2">
      <c r="A1768">
        <v>2290</v>
      </c>
      <c r="B1768" s="1">
        <v>44162</v>
      </c>
      <c r="C1768" t="s">
        <v>146</v>
      </c>
      <c r="D1768" t="s">
        <v>44</v>
      </c>
      <c r="E1768" t="s">
        <v>30</v>
      </c>
      <c r="F1768" t="s">
        <v>55</v>
      </c>
      <c r="G1768" t="s">
        <v>56</v>
      </c>
      <c r="H1768" t="s">
        <v>33</v>
      </c>
      <c r="I1768" t="s">
        <v>57</v>
      </c>
      <c r="J1768" t="s">
        <v>101</v>
      </c>
      <c r="K1768" s="2">
        <v>15447</v>
      </c>
      <c r="L1768" t="s">
        <v>147</v>
      </c>
      <c r="M1768" t="s">
        <v>37</v>
      </c>
      <c r="N1768" t="s">
        <v>49</v>
      </c>
      <c r="O1768" t="s">
        <v>39</v>
      </c>
      <c r="P1768" t="s">
        <v>40</v>
      </c>
      <c r="Q1768">
        <v>2</v>
      </c>
      <c r="R1768" s="2">
        <v>45030</v>
      </c>
      <c r="S1768">
        <v>4</v>
      </c>
      <c r="T1768">
        <v>1</v>
      </c>
      <c r="U1768">
        <v>3</v>
      </c>
      <c r="V1768" s="1">
        <v>45039</v>
      </c>
      <c r="W1768" t="s">
        <v>92</v>
      </c>
      <c r="X1768" t="s">
        <v>42</v>
      </c>
      <c r="Y1768" t="s">
        <v>43</v>
      </c>
      <c r="Z1768">
        <v>4</v>
      </c>
      <c r="AA1768">
        <v>575.54999999999995</v>
      </c>
      <c r="AB1768">
        <v>78</v>
      </c>
    </row>
    <row r="1769" spans="1:28" x14ac:dyDescent="0.2">
      <c r="A1769">
        <v>2291</v>
      </c>
      <c r="B1769" s="1">
        <v>44019</v>
      </c>
      <c r="C1769" t="s">
        <v>148</v>
      </c>
      <c r="D1769" t="s">
        <v>81</v>
      </c>
      <c r="E1769" t="s">
        <v>30</v>
      </c>
      <c r="F1769" t="s">
        <v>31</v>
      </c>
      <c r="G1769" t="s">
        <v>56</v>
      </c>
      <c r="H1769" t="s">
        <v>46</v>
      </c>
      <c r="I1769" t="s">
        <v>34</v>
      </c>
      <c r="J1769" t="s">
        <v>65</v>
      </c>
      <c r="K1769" s="2">
        <v>31095</v>
      </c>
      <c r="L1769" t="s">
        <v>36</v>
      </c>
      <c r="M1769" t="s">
        <v>37</v>
      </c>
      <c r="N1769" t="s">
        <v>72</v>
      </c>
      <c r="O1769" t="s">
        <v>67</v>
      </c>
      <c r="P1769" t="s">
        <v>40</v>
      </c>
      <c r="Q1769">
        <v>4</v>
      </c>
      <c r="R1769" s="2">
        <v>44793</v>
      </c>
      <c r="S1769">
        <v>3</v>
      </c>
      <c r="T1769">
        <v>4</v>
      </c>
      <c r="U1769">
        <v>1</v>
      </c>
      <c r="V1769" s="1">
        <v>45108</v>
      </c>
      <c r="W1769" t="s">
        <v>62</v>
      </c>
      <c r="X1769" t="s">
        <v>42</v>
      </c>
      <c r="Y1769" t="s">
        <v>52</v>
      </c>
      <c r="Z1769">
        <v>5</v>
      </c>
      <c r="AA1769">
        <v>973.53</v>
      </c>
      <c r="AB1769">
        <v>35</v>
      </c>
    </row>
    <row r="1770" spans="1:28" x14ac:dyDescent="0.2">
      <c r="A1770">
        <v>2292</v>
      </c>
      <c r="B1770" s="1">
        <v>43841</v>
      </c>
      <c r="C1770" t="s">
        <v>133</v>
      </c>
      <c r="D1770" t="s">
        <v>64</v>
      </c>
      <c r="E1770" t="s">
        <v>30</v>
      </c>
      <c r="F1770" t="s">
        <v>31</v>
      </c>
      <c r="G1770" t="s">
        <v>32</v>
      </c>
      <c r="H1770" t="s">
        <v>33</v>
      </c>
      <c r="I1770" t="s">
        <v>34</v>
      </c>
      <c r="J1770" t="s">
        <v>47</v>
      </c>
      <c r="K1770" s="2">
        <v>23108</v>
      </c>
      <c r="L1770" t="s">
        <v>36</v>
      </c>
      <c r="M1770" t="s">
        <v>48</v>
      </c>
      <c r="N1770" t="s">
        <v>38</v>
      </c>
      <c r="O1770" t="s">
        <v>39</v>
      </c>
      <c r="P1770" t="s">
        <v>40</v>
      </c>
      <c r="Q1770">
        <v>2</v>
      </c>
      <c r="R1770" s="2">
        <v>44880</v>
      </c>
      <c r="S1770">
        <v>5</v>
      </c>
      <c r="T1770">
        <v>1</v>
      </c>
      <c r="U1770">
        <v>1</v>
      </c>
      <c r="V1770" s="1">
        <v>44996</v>
      </c>
      <c r="W1770" t="s">
        <v>92</v>
      </c>
      <c r="X1770" t="s">
        <v>51</v>
      </c>
      <c r="Y1770" t="s">
        <v>63</v>
      </c>
      <c r="Z1770">
        <v>3</v>
      </c>
      <c r="AA1770">
        <v>894.38</v>
      </c>
      <c r="AB1770">
        <v>57</v>
      </c>
    </row>
    <row r="1771" spans="1:28" x14ac:dyDescent="0.2">
      <c r="A1771">
        <v>2293</v>
      </c>
      <c r="B1771" s="1">
        <v>43997</v>
      </c>
      <c r="C1771" t="s">
        <v>133</v>
      </c>
      <c r="D1771" t="s">
        <v>29</v>
      </c>
      <c r="E1771" t="s">
        <v>30</v>
      </c>
      <c r="F1771" t="s">
        <v>31</v>
      </c>
      <c r="G1771" t="s">
        <v>56</v>
      </c>
      <c r="H1771" t="s">
        <v>55</v>
      </c>
      <c r="I1771" t="s">
        <v>34</v>
      </c>
      <c r="J1771" t="s">
        <v>70</v>
      </c>
      <c r="K1771" s="2">
        <v>35886</v>
      </c>
      <c r="L1771" t="s">
        <v>36</v>
      </c>
      <c r="M1771" t="s">
        <v>48</v>
      </c>
      <c r="N1771" t="s">
        <v>60</v>
      </c>
      <c r="O1771" t="s">
        <v>61</v>
      </c>
      <c r="P1771" t="s">
        <v>40</v>
      </c>
      <c r="Q1771">
        <v>2</v>
      </c>
      <c r="R1771" s="2">
        <v>45096</v>
      </c>
      <c r="S1771">
        <v>5</v>
      </c>
      <c r="T1771">
        <v>3</v>
      </c>
      <c r="U1771">
        <v>1</v>
      </c>
      <c r="V1771" s="1">
        <v>45033</v>
      </c>
      <c r="W1771" t="s">
        <v>62</v>
      </c>
      <c r="X1771" t="s">
        <v>42</v>
      </c>
      <c r="Y1771" t="s">
        <v>43</v>
      </c>
      <c r="Z1771">
        <v>1</v>
      </c>
      <c r="AA1771">
        <v>510.67</v>
      </c>
      <c r="AB1771">
        <v>22</v>
      </c>
    </row>
    <row r="1772" spans="1:28" x14ac:dyDescent="0.2">
      <c r="A1772">
        <v>2294</v>
      </c>
      <c r="B1772" s="1">
        <v>44114</v>
      </c>
      <c r="C1772" t="s">
        <v>133</v>
      </c>
      <c r="D1772" t="s">
        <v>94</v>
      </c>
      <c r="E1772" t="s">
        <v>30</v>
      </c>
      <c r="F1772" t="s">
        <v>31</v>
      </c>
      <c r="G1772" t="s">
        <v>45</v>
      </c>
      <c r="H1772" t="s">
        <v>46</v>
      </c>
      <c r="I1772" t="s">
        <v>34</v>
      </c>
      <c r="J1772" t="s">
        <v>70</v>
      </c>
      <c r="K1772" s="2">
        <v>27731</v>
      </c>
      <c r="L1772" t="s">
        <v>36</v>
      </c>
      <c r="M1772" t="s">
        <v>48</v>
      </c>
      <c r="N1772" t="s">
        <v>72</v>
      </c>
      <c r="O1772" t="s">
        <v>61</v>
      </c>
      <c r="P1772" t="s">
        <v>40</v>
      </c>
      <c r="Q1772">
        <v>4</v>
      </c>
      <c r="R1772" s="2">
        <v>44803</v>
      </c>
      <c r="S1772">
        <v>4</v>
      </c>
      <c r="T1772">
        <v>4</v>
      </c>
      <c r="U1772">
        <v>4</v>
      </c>
      <c r="V1772" s="1">
        <v>45025</v>
      </c>
      <c r="W1772" t="s">
        <v>92</v>
      </c>
      <c r="X1772" t="s">
        <v>51</v>
      </c>
      <c r="Y1772" t="s">
        <v>43</v>
      </c>
      <c r="Z1772">
        <v>1</v>
      </c>
      <c r="AA1772">
        <v>261.17</v>
      </c>
      <c r="AB1772">
        <v>45</v>
      </c>
    </row>
    <row r="1773" spans="1:28" x14ac:dyDescent="0.2">
      <c r="A1773">
        <v>2295</v>
      </c>
      <c r="B1773" s="1">
        <v>44700</v>
      </c>
      <c r="C1773" t="s">
        <v>133</v>
      </c>
      <c r="D1773" t="s">
        <v>85</v>
      </c>
      <c r="E1773" t="s">
        <v>30</v>
      </c>
      <c r="F1773" t="s">
        <v>55</v>
      </c>
      <c r="G1773" t="s">
        <v>56</v>
      </c>
      <c r="H1773" t="s">
        <v>33</v>
      </c>
      <c r="I1773" t="s">
        <v>34</v>
      </c>
      <c r="J1773" t="s">
        <v>70</v>
      </c>
      <c r="K1773" s="2">
        <v>36185</v>
      </c>
      <c r="L1773" t="s">
        <v>36</v>
      </c>
      <c r="M1773" t="s">
        <v>37</v>
      </c>
      <c r="N1773" t="s">
        <v>84</v>
      </c>
      <c r="O1773" t="s">
        <v>77</v>
      </c>
      <c r="P1773" t="s">
        <v>40</v>
      </c>
      <c r="Q1773">
        <v>5</v>
      </c>
      <c r="R1773" s="2">
        <v>44891</v>
      </c>
      <c r="S1773">
        <v>3</v>
      </c>
      <c r="T1773">
        <v>5</v>
      </c>
      <c r="U1773">
        <v>4</v>
      </c>
      <c r="V1773" s="1">
        <v>44877</v>
      </c>
      <c r="W1773" t="s">
        <v>92</v>
      </c>
      <c r="X1773" t="s">
        <v>42</v>
      </c>
      <c r="Y1773" t="s">
        <v>73</v>
      </c>
      <c r="Z1773">
        <v>5</v>
      </c>
      <c r="AA1773">
        <v>448.38</v>
      </c>
      <c r="AB1773">
        <v>23</v>
      </c>
    </row>
    <row r="1774" spans="1:28" x14ac:dyDescent="0.2">
      <c r="A1774">
        <v>2296</v>
      </c>
      <c r="B1774" s="1">
        <v>44433</v>
      </c>
      <c r="C1774" t="s">
        <v>133</v>
      </c>
      <c r="D1774" t="s">
        <v>64</v>
      </c>
      <c r="E1774" t="s">
        <v>30</v>
      </c>
      <c r="F1774" t="s">
        <v>55</v>
      </c>
      <c r="G1774" t="s">
        <v>56</v>
      </c>
      <c r="H1774" t="s">
        <v>33</v>
      </c>
      <c r="I1774" t="s">
        <v>34</v>
      </c>
      <c r="J1774" t="s">
        <v>70</v>
      </c>
      <c r="K1774" s="2">
        <v>26772</v>
      </c>
      <c r="L1774" t="s">
        <v>36</v>
      </c>
      <c r="M1774" t="s">
        <v>37</v>
      </c>
      <c r="N1774" t="s">
        <v>49</v>
      </c>
      <c r="O1774" t="s">
        <v>77</v>
      </c>
      <c r="P1774" t="s">
        <v>40</v>
      </c>
      <c r="Q1774">
        <v>1</v>
      </c>
      <c r="R1774" s="2">
        <v>45092</v>
      </c>
      <c r="S1774">
        <v>4</v>
      </c>
      <c r="T1774">
        <v>4</v>
      </c>
      <c r="U1774">
        <v>5</v>
      </c>
      <c r="V1774" s="1">
        <v>44874</v>
      </c>
      <c r="W1774" t="s">
        <v>68</v>
      </c>
      <c r="X1774" t="s">
        <v>42</v>
      </c>
      <c r="Y1774" t="s">
        <v>73</v>
      </c>
      <c r="Z1774">
        <v>4</v>
      </c>
      <c r="AA1774">
        <v>808.77</v>
      </c>
      <c r="AB1774">
        <v>48</v>
      </c>
    </row>
    <row r="1775" spans="1:28" x14ac:dyDescent="0.2">
      <c r="A1775">
        <v>2297</v>
      </c>
      <c r="B1775" s="1">
        <v>43452</v>
      </c>
      <c r="C1775" t="s">
        <v>133</v>
      </c>
      <c r="D1775" t="s">
        <v>74</v>
      </c>
      <c r="E1775" t="s">
        <v>108</v>
      </c>
      <c r="F1775" t="s">
        <v>46</v>
      </c>
      <c r="G1775" t="s">
        <v>32</v>
      </c>
      <c r="H1775" t="s">
        <v>55</v>
      </c>
      <c r="I1775" t="s">
        <v>34</v>
      </c>
      <c r="J1775" t="s">
        <v>47</v>
      </c>
      <c r="K1775" s="2">
        <v>21451</v>
      </c>
      <c r="L1775" t="s">
        <v>36</v>
      </c>
      <c r="M1775" t="s">
        <v>37</v>
      </c>
      <c r="N1775" t="s">
        <v>72</v>
      </c>
      <c r="O1775" t="s">
        <v>61</v>
      </c>
      <c r="P1775" t="s">
        <v>40</v>
      </c>
      <c r="Q1775">
        <v>2</v>
      </c>
      <c r="R1775" s="2">
        <v>44818</v>
      </c>
      <c r="S1775">
        <v>5</v>
      </c>
      <c r="T1775">
        <v>4</v>
      </c>
      <c r="U1775">
        <v>1</v>
      </c>
      <c r="V1775" s="1">
        <v>44923</v>
      </c>
      <c r="W1775" t="s">
        <v>41</v>
      </c>
      <c r="X1775" t="s">
        <v>42</v>
      </c>
      <c r="Y1775" t="s">
        <v>63</v>
      </c>
      <c r="Z1775">
        <v>5</v>
      </c>
      <c r="AA1775">
        <v>691.71</v>
      </c>
      <c r="AB1775">
        <v>60</v>
      </c>
    </row>
    <row r="1776" spans="1:28" x14ac:dyDescent="0.2">
      <c r="A1776">
        <v>2298</v>
      </c>
      <c r="B1776" s="1">
        <v>45143</v>
      </c>
      <c r="C1776" t="s">
        <v>133</v>
      </c>
      <c r="D1776" t="s">
        <v>74</v>
      </c>
      <c r="E1776" t="s">
        <v>30</v>
      </c>
      <c r="F1776" t="s">
        <v>55</v>
      </c>
      <c r="G1776" t="s">
        <v>56</v>
      </c>
      <c r="H1776" t="s">
        <v>55</v>
      </c>
      <c r="I1776" t="s">
        <v>34</v>
      </c>
      <c r="J1776" t="s">
        <v>70</v>
      </c>
      <c r="K1776" s="2">
        <v>21302</v>
      </c>
      <c r="L1776" t="s">
        <v>36</v>
      </c>
      <c r="M1776" t="s">
        <v>37</v>
      </c>
      <c r="N1776" t="s">
        <v>60</v>
      </c>
      <c r="O1776" t="s">
        <v>67</v>
      </c>
      <c r="P1776" t="s">
        <v>40</v>
      </c>
      <c r="Q1776">
        <v>4</v>
      </c>
      <c r="R1776" s="2">
        <v>44869</v>
      </c>
      <c r="S1776">
        <v>3</v>
      </c>
      <c r="T1776">
        <v>2</v>
      </c>
      <c r="U1776">
        <v>1</v>
      </c>
      <c r="V1776" s="1">
        <v>44987</v>
      </c>
      <c r="W1776" t="s">
        <v>92</v>
      </c>
      <c r="X1776" t="s">
        <v>51</v>
      </c>
      <c r="Y1776" t="s">
        <v>43</v>
      </c>
      <c r="Z1776">
        <v>1</v>
      </c>
      <c r="AA1776">
        <v>145.08000000000001</v>
      </c>
      <c r="AB1776">
        <v>65</v>
      </c>
    </row>
    <row r="1777" spans="1:28" x14ac:dyDescent="0.2">
      <c r="A1777">
        <v>2299</v>
      </c>
      <c r="B1777" s="1">
        <v>44664</v>
      </c>
      <c r="C1777" t="s">
        <v>133</v>
      </c>
      <c r="D1777" t="s">
        <v>64</v>
      </c>
      <c r="E1777" t="s">
        <v>30</v>
      </c>
      <c r="F1777" t="s">
        <v>46</v>
      </c>
      <c r="G1777" t="s">
        <v>45</v>
      </c>
      <c r="H1777" t="s">
        <v>33</v>
      </c>
      <c r="I1777" t="s">
        <v>34</v>
      </c>
      <c r="J1777" t="s">
        <v>70</v>
      </c>
      <c r="K1777" s="2">
        <v>15396</v>
      </c>
      <c r="L1777" t="s">
        <v>36</v>
      </c>
      <c r="M1777" t="s">
        <v>37</v>
      </c>
      <c r="N1777" t="s">
        <v>84</v>
      </c>
      <c r="O1777" t="s">
        <v>67</v>
      </c>
      <c r="P1777" t="s">
        <v>40</v>
      </c>
      <c r="Q1777">
        <v>2</v>
      </c>
      <c r="R1777" s="2">
        <v>44791</v>
      </c>
      <c r="S1777">
        <v>2</v>
      </c>
      <c r="T1777">
        <v>1</v>
      </c>
      <c r="U1777">
        <v>2</v>
      </c>
      <c r="V1777" s="1">
        <v>45029</v>
      </c>
      <c r="W1777" t="s">
        <v>50</v>
      </c>
      <c r="X1777" t="s">
        <v>51</v>
      </c>
      <c r="Y1777" t="s">
        <v>43</v>
      </c>
      <c r="Z1777">
        <v>4</v>
      </c>
      <c r="AA1777">
        <v>922.03</v>
      </c>
      <c r="AB1777">
        <v>80</v>
      </c>
    </row>
    <row r="1778" spans="1:28" x14ac:dyDescent="0.2">
      <c r="A1778">
        <v>2300</v>
      </c>
      <c r="B1778" s="1">
        <v>44100</v>
      </c>
      <c r="C1778" t="s">
        <v>133</v>
      </c>
      <c r="D1778" t="s">
        <v>85</v>
      </c>
      <c r="E1778" t="s">
        <v>30</v>
      </c>
      <c r="F1778" t="s">
        <v>55</v>
      </c>
      <c r="G1778" t="s">
        <v>45</v>
      </c>
      <c r="H1778" t="s">
        <v>55</v>
      </c>
      <c r="I1778" t="s">
        <v>34</v>
      </c>
      <c r="J1778" t="s">
        <v>111</v>
      </c>
      <c r="K1778" s="2">
        <v>17414</v>
      </c>
      <c r="L1778" t="s">
        <v>36</v>
      </c>
      <c r="M1778" t="s">
        <v>37</v>
      </c>
      <c r="N1778" t="s">
        <v>72</v>
      </c>
      <c r="O1778" t="s">
        <v>61</v>
      </c>
      <c r="P1778" t="s">
        <v>40</v>
      </c>
      <c r="Q1778">
        <v>5</v>
      </c>
      <c r="R1778" s="2">
        <v>44842</v>
      </c>
      <c r="S1778">
        <v>5</v>
      </c>
      <c r="T1778">
        <v>1</v>
      </c>
      <c r="U1778">
        <v>2</v>
      </c>
      <c r="V1778" s="1">
        <v>44831</v>
      </c>
      <c r="W1778" t="s">
        <v>50</v>
      </c>
      <c r="X1778" t="s">
        <v>51</v>
      </c>
      <c r="Y1778" t="s">
        <v>63</v>
      </c>
      <c r="Z1778">
        <v>2</v>
      </c>
      <c r="AA1778">
        <v>668.1</v>
      </c>
      <c r="AB1778">
        <v>73</v>
      </c>
    </row>
    <row r="1779" spans="1:28" x14ac:dyDescent="0.2">
      <c r="A1779">
        <v>2301</v>
      </c>
      <c r="B1779" s="1">
        <v>44239</v>
      </c>
      <c r="C1779" t="s">
        <v>133</v>
      </c>
      <c r="D1779" t="s">
        <v>94</v>
      </c>
      <c r="E1779" t="s">
        <v>30</v>
      </c>
      <c r="F1779" t="s">
        <v>46</v>
      </c>
      <c r="G1779" t="s">
        <v>32</v>
      </c>
      <c r="H1779" t="s">
        <v>33</v>
      </c>
      <c r="I1779" t="s">
        <v>34</v>
      </c>
      <c r="J1779" t="s">
        <v>111</v>
      </c>
      <c r="K1779" s="2">
        <v>17026</v>
      </c>
      <c r="L1779" t="s">
        <v>36</v>
      </c>
      <c r="M1779" t="s">
        <v>37</v>
      </c>
      <c r="N1779" t="s">
        <v>84</v>
      </c>
      <c r="O1779" t="s">
        <v>61</v>
      </c>
      <c r="P1779" t="s">
        <v>40</v>
      </c>
      <c r="Q1779">
        <v>1</v>
      </c>
      <c r="R1779" s="2">
        <v>45133</v>
      </c>
      <c r="S1779">
        <v>3</v>
      </c>
      <c r="T1779">
        <v>1</v>
      </c>
      <c r="U1779">
        <v>4</v>
      </c>
      <c r="V1779" s="1">
        <v>44984</v>
      </c>
      <c r="W1779" t="s">
        <v>68</v>
      </c>
      <c r="X1779" t="s">
        <v>42</v>
      </c>
      <c r="Y1779" t="s">
        <v>52</v>
      </c>
      <c r="Z1779">
        <v>4</v>
      </c>
      <c r="AA1779">
        <v>475.03</v>
      </c>
      <c r="AB1779">
        <v>75</v>
      </c>
    </row>
    <row r="1780" spans="1:28" x14ac:dyDescent="0.2">
      <c r="A1780">
        <v>2302</v>
      </c>
      <c r="B1780" s="1">
        <v>43467</v>
      </c>
      <c r="C1780" t="s">
        <v>133</v>
      </c>
      <c r="D1780" t="s">
        <v>54</v>
      </c>
      <c r="E1780" t="s">
        <v>108</v>
      </c>
      <c r="F1780" t="s">
        <v>31</v>
      </c>
      <c r="G1780" t="s">
        <v>32</v>
      </c>
      <c r="H1780" t="s">
        <v>33</v>
      </c>
      <c r="I1780" t="s">
        <v>34</v>
      </c>
      <c r="J1780" t="s">
        <v>101</v>
      </c>
      <c r="K1780" s="2">
        <v>32475</v>
      </c>
      <c r="L1780" t="s">
        <v>36</v>
      </c>
      <c r="M1780" t="s">
        <v>37</v>
      </c>
      <c r="N1780" t="s">
        <v>49</v>
      </c>
      <c r="O1780" t="s">
        <v>67</v>
      </c>
      <c r="P1780" t="s">
        <v>40</v>
      </c>
      <c r="Q1780">
        <v>4</v>
      </c>
      <c r="R1780" s="2">
        <v>45028</v>
      </c>
      <c r="S1780">
        <v>2</v>
      </c>
      <c r="T1780">
        <v>5</v>
      </c>
      <c r="U1780">
        <v>3</v>
      </c>
      <c r="V1780" s="1">
        <v>44996</v>
      </c>
      <c r="W1780" t="s">
        <v>62</v>
      </c>
      <c r="X1780" t="s">
        <v>42</v>
      </c>
      <c r="Y1780" t="s">
        <v>73</v>
      </c>
      <c r="Z1780">
        <v>2</v>
      </c>
      <c r="AA1780">
        <v>173.45</v>
      </c>
      <c r="AB1780">
        <v>31</v>
      </c>
    </row>
    <row r="1781" spans="1:28" x14ac:dyDescent="0.2">
      <c r="A1781">
        <v>2303</v>
      </c>
      <c r="B1781" s="1">
        <v>43764</v>
      </c>
      <c r="C1781" t="s">
        <v>133</v>
      </c>
      <c r="D1781" t="s">
        <v>81</v>
      </c>
      <c r="E1781" t="s">
        <v>108</v>
      </c>
      <c r="F1781" t="s">
        <v>31</v>
      </c>
      <c r="G1781" t="s">
        <v>32</v>
      </c>
      <c r="H1781" t="s">
        <v>33</v>
      </c>
      <c r="I1781" t="s">
        <v>34</v>
      </c>
      <c r="J1781" t="s">
        <v>70</v>
      </c>
      <c r="K1781" s="2">
        <v>21181</v>
      </c>
      <c r="L1781" t="s">
        <v>36</v>
      </c>
      <c r="M1781" t="s">
        <v>37</v>
      </c>
      <c r="N1781" t="s">
        <v>72</v>
      </c>
      <c r="O1781" t="s">
        <v>77</v>
      </c>
      <c r="P1781" t="s">
        <v>40</v>
      </c>
      <c r="Q1781">
        <v>5</v>
      </c>
      <c r="R1781" s="2">
        <v>44958</v>
      </c>
      <c r="S1781">
        <v>5</v>
      </c>
      <c r="T1781">
        <v>5</v>
      </c>
      <c r="U1781">
        <v>1</v>
      </c>
      <c r="V1781" s="1">
        <v>44939</v>
      </c>
      <c r="W1781" t="s">
        <v>50</v>
      </c>
      <c r="X1781" t="s">
        <v>51</v>
      </c>
      <c r="Y1781" t="s">
        <v>73</v>
      </c>
      <c r="Z1781">
        <v>2</v>
      </c>
      <c r="AA1781">
        <v>813.39</v>
      </c>
      <c r="AB1781">
        <v>62</v>
      </c>
    </row>
    <row r="1782" spans="1:28" x14ac:dyDescent="0.2">
      <c r="A1782">
        <v>2304</v>
      </c>
      <c r="B1782" s="1">
        <v>44297</v>
      </c>
      <c r="C1782" t="s">
        <v>136</v>
      </c>
      <c r="D1782" t="s">
        <v>87</v>
      </c>
      <c r="E1782" t="s">
        <v>30</v>
      </c>
      <c r="F1782" t="s">
        <v>55</v>
      </c>
      <c r="G1782" t="s">
        <v>56</v>
      </c>
      <c r="H1782" t="s">
        <v>46</v>
      </c>
      <c r="I1782" t="s">
        <v>34</v>
      </c>
      <c r="J1782" t="s">
        <v>65</v>
      </c>
      <c r="K1782" s="2">
        <v>20931</v>
      </c>
      <c r="L1782" t="s">
        <v>36</v>
      </c>
      <c r="M1782" t="s">
        <v>37</v>
      </c>
      <c r="N1782" t="s">
        <v>38</v>
      </c>
      <c r="O1782" t="s">
        <v>77</v>
      </c>
      <c r="P1782" t="s">
        <v>40</v>
      </c>
      <c r="Q1782">
        <v>2</v>
      </c>
      <c r="R1782" s="2">
        <v>45106</v>
      </c>
      <c r="S1782">
        <v>5</v>
      </c>
      <c r="T1782">
        <v>1</v>
      </c>
      <c r="U1782">
        <v>2</v>
      </c>
      <c r="V1782" s="1">
        <v>44853</v>
      </c>
      <c r="W1782" t="s">
        <v>50</v>
      </c>
      <c r="X1782" t="s">
        <v>42</v>
      </c>
      <c r="Y1782" t="s">
        <v>73</v>
      </c>
      <c r="Z1782">
        <v>5</v>
      </c>
      <c r="AA1782">
        <v>759.9</v>
      </c>
      <c r="AB1782">
        <v>64</v>
      </c>
    </row>
    <row r="1783" spans="1:28" x14ac:dyDescent="0.2">
      <c r="A1783">
        <v>2305</v>
      </c>
      <c r="B1783" s="1">
        <v>43810</v>
      </c>
      <c r="C1783" t="s">
        <v>113</v>
      </c>
      <c r="D1783" t="s">
        <v>44</v>
      </c>
      <c r="E1783" t="s">
        <v>30</v>
      </c>
      <c r="F1783" t="s">
        <v>46</v>
      </c>
      <c r="G1783" t="s">
        <v>45</v>
      </c>
      <c r="H1783" t="s">
        <v>55</v>
      </c>
      <c r="I1783" t="s">
        <v>34</v>
      </c>
      <c r="J1783" t="s">
        <v>70</v>
      </c>
      <c r="K1783" s="2">
        <v>25844</v>
      </c>
      <c r="L1783" t="s">
        <v>36</v>
      </c>
      <c r="M1783" t="s">
        <v>37</v>
      </c>
      <c r="N1783" t="s">
        <v>38</v>
      </c>
      <c r="O1783" t="s">
        <v>77</v>
      </c>
      <c r="P1783" t="s">
        <v>40</v>
      </c>
      <c r="Q1783">
        <v>2</v>
      </c>
      <c r="R1783" s="2">
        <v>45072</v>
      </c>
      <c r="S1783">
        <v>4</v>
      </c>
      <c r="T1783">
        <v>5</v>
      </c>
      <c r="U1783">
        <v>5</v>
      </c>
      <c r="V1783" s="1">
        <v>45040</v>
      </c>
      <c r="W1783" t="s">
        <v>92</v>
      </c>
      <c r="X1783" t="s">
        <v>51</v>
      </c>
      <c r="Y1783" t="s">
        <v>52</v>
      </c>
      <c r="Z1783">
        <v>2</v>
      </c>
      <c r="AA1783">
        <v>933.39</v>
      </c>
      <c r="AB1783">
        <v>49</v>
      </c>
    </row>
    <row r="1784" spans="1:28" x14ac:dyDescent="0.2">
      <c r="A1784">
        <v>2306</v>
      </c>
      <c r="B1784" s="1">
        <v>44125</v>
      </c>
      <c r="C1784" t="s">
        <v>113</v>
      </c>
      <c r="D1784" t="s">
        <v>29</v>
      </c>
      <c r="E1784" t="s">
        <v>30</v>
      </c>
      <c r="F1784" t="s">
        <v>46</v>
      </c>
      <c r="G1784" t="s">
        <v>56</v>
      </c>
      <c r="H1784" t="s">
        <v>55</v>
      </c>
      <c r="I1784" t="s">
        <v>34</v>
      </c>
      <c r="J1784" t="s">
        <v>96</v>
      </c>
      <c r="K1784" s="2">
        <v>36470</v>
      </c>
      <c r="L1784" t="s">
        <v>36</v>
      </c>
      <c r="M1784" t="s">
        <v>48</v>
      </c>
      <c r="N1784" t="s">
        <v>49</v>
      </c>
      <c r="O1784" t="s">
        <v>67</v>
      </c>
      <c r="P1784" t="s">
        <v>40</v>
      </c>
      <c r="Q1784">
        <v>1</v>
      </c>
      <c r="R1784" s="2">
        <v>45041</v>
      </c>
      <c r="S1784">
        <v>3</v>
      </c>
      <c r="T1784">
        <v>4</v>
      </c>
      <c r="U1784">
        <v>3</v>
      </c>
      <c r="V1784" s="1">
        <v>44985</v>
      </c>
      <c r="W1784" t="s">
        <v>92</v>
      </c>
      <c r="X1784" t="s">
        <v>51</v>
      </c>
      <c r="Y1784" t="s">
        <v>43</v>
      </c>
      <c r="Z1784">
        <v>2</v>
      </c>
      <c r="AA1784">
        <v>217.33</v>
      </c>
      <c r="AB1784">
        <v>21</v>
      </c>
    </row>
    <row r="1785" spans="1:28" x14ac:dyDescent="0.2">
      <c r="A1785">
        <v>2307</v>
      </c>
      <c r="B1785" s="1">
        <v>43959</v>
      </c>
      <c r="C1785" t="s">
        <v>113</v>
      </c>
      <c r="D1785" t="s">
        <v>69</v>
      </c>
      <c r="E1785" t="s">
        <v>30</v>
      </c>
      <c r="F1785" t="s">
        <v>46</v>
      </c>
      <c r="G1785" t="s">
        <v>32</v>
      </c>
      <c r="H1785" t="s">
        <v>46</v>
      </c>
      <c r="I1785" t="s">
        <v>115</v>
      </c>
      <c r="J1785" t="s">
        <v>96</v>
      </c>
      <c r="K1785" s="2">
        <v>32268</v>
      </c>
      <c r="L1785" t="s">
        <v>36</v>
      </c>
      <c r="M1785" t="s">
        <v>48</v>
      </c>
      <c r="N1785" t="s">
        <v>84</v>
      </c>
      <c r="O1785" t="s">
        <v>61</v>
      </c>
      <c r="P1785" t="s">
        <v>40</v>
      </c>
      <c r="Q1785">
        <v>2</v>
      </c>
      <c r="R1785" s="2">
        <v>45129</v>
      </c>
      <c r="S1785">
        <v>5</v>
      </c>
      <c r="T1785">
        <v>2</v>
      </c>
      <c r="U1785">
        <v>3</v>
      </c>
      <c r="V1785" s="1">
        <v>45067</v>
      </c>
      <c r="W1785" t="s">
        <v>50</v>
      </c>
      <c r="X1785" t="s">
        <v>42</v>
      </c>
      <c r="Y1785" t="s">
        <v>73</v>
      </c>
      <c r="Z1785">
        <v>2</v>
      </c>
      <c r="AA1785">
        <v>856.15</v>
      </c>
      <c r="AB1785">
        <v>32</v>
      </c>
    </row>
    <row r="1786" spans="1:28" x14ac:dyDescent="0.2">
      <c r="A1786">
        <v>2308</v>
      </c>
      <c r="B1786" s="1">
        <v>44705</v>
      </c>
      <c r="C1786" t="s">
        <v>120</v>
      </c>
      <c r="D1786" t="s">
        <v>44</v>
      </c>
      <c r="E1786" t="s">
        <v>30</v>
      </c>
      <c r="F1786" t="s">
        <v>55</v>
      </c>
      <c r="G1786" t="s">
        <v>45</v>
      </c>
      <c r="H1786" t="s">
        <v>55</v>
      </c>
      <c r="I1786" t="s">
        <v>34</v>
      </c>
      <c r="J1786" t="s">
        <v>70</v>
      </c>
      <c r="K1786" s="2">
        <v>36289</v>
      </c>
      <c r="L1786" t="s">
        <v>36</v>
      </c>
      <c r="M1786" t="s">
        <v>48</v>
      </c>
      <c r="N1786" t="s">
        <v>60</v>
      </c>
      <c r="O1786" t="s">
        <v>77</v>
      </c>
      <c r="P1786" t="s">
        <v>40</v>
      </c>
      <c r="Q1786">
        <v>5</v>
      </c>
      <c r="R1786" s="2">
        <v>44996</v>
      </c>
      <c r="S1786">
        <v>1</v>
      </c>
      <c r="T1786">
        <v>2</v>
      </c>
      <c r="U1786">
        <v>3</v>
      </c>
      <c r="V1786" s="1">
        <v>44812</v>
      </c>
      <c r="W1786" t="s">
        <v>92</v>
      </c>
      <c r="X1786" t="s">
        <v>42</v>
      </c>
      <c r="Y1786" t="s">
        <v>63</v>
      </c>
      <c r="Z1786">
        <v>4</v>
      </c>
      <c r="AA1786">
        <v>751.86</v>
      </c>
      <c r="AB1786">
        <v>23</v>
      </c>
    </row>
    <row r="1787" spans="1:28" x14ac:dyDescent="0.2">
      <c r="A1787">
        <v>2309</v>
      </c>
      <c r="B1787" s="1">
        <v>43621</v>
      </c>
      <c r="C1787" t="s">
        <v>120</v>
      </c>
      <c r="D1787" t="s">
        <v>29</v>
      </c>
      <c r="E1787" t="s">
        <v>30</v>
      </c>
      <c r="F1787" t="s">
        <v>46</v>
      </c>
      <c r="G1787" t="s">
        <v>45</v>
      </c>
      <c r="H1787" t="s">
        <v>46</v>
      </c>
      <c r="I1787" t="s">
        <v>34</v>
      </c>
      <c r="J1787" t="s">
        <v>65</v>
      </c>
      <c r="K1787" s="2">
        <v>33335</v>
      </c>
      <c r="L1787" t="s">
        <v>36</v>
      </c>
      <c r="M1787" t="s">
        <v>48</v>
      </c>
      <c r="N1787" t="s">
        <v>49</v>
      </c>
      <c r="O1787" t="s">
        <v>39</v>
      </c>
      <c r="P1787" t="s">
        <v>40</v>
      </c>
      <c r="Q1787">
        <v>2</v>
      </c>
      <c r="R1787" s="2">
        <v>44929</v>
      </c>
      <c r="S1787">
        <v>2</v>
      </c>
      <c r="T1787">
        <v>5</v>
      </c>
      <c r="U1787">
        <v>5</v>
      </c>
      <c r="V1787" s="1">
        <v>45127</v>
      </c>
      <c r="W1787" t="s">
        <v>92</v>
      </c>
      <c r="X1787" t="s">
        <v>42</v>
      </c>
      <c r="Y1787" t="s">
        <v>52</v>
      </c>
      <c r="Z1787">
        <v>1</v>
      </c>
      <c r="AA1787">
        <v>309.24</v>
      </c>
      <c r="AB1787">
        <v>28</v>
      </c>
    </row>
    <row r="1788" spans="1:28" x14ac:dyDescent="0.2">
      <c r="A1788">
        <v>2310</v>
      </c>
      <c r="B1788" s="1">
        <v>44672</v>
      </c>
      <c r="C1788" t="s">
        <v>122</v>
      </c>
      <c r="D1788" t="s">
        <v>69</v>
      </c>
      <c r="E1788" t="s">
        <v>30</v>
      </c>
      <c r="F1788" t="s">
        <v>46</v>
      </c>
      <c r="G1788" t="s">
        <v>56</v>
      </c>
      <c r="H1788" t="s">
        <v>46</v>
      </c>
      <c r="I1788" t="s">
        <v>34</v>
      </c>
      <c r="J1788" t="s">
        <v>97</v>
      </c>
      <c r="K1788" s="2">
        <v>30641</v>
      </c>
      <c r="L1788" t="s">
        <v>36</v>
      </c>
      <c r="M1788" t="s">
        <v>48</v>
      </c>
      <c r="N1788" t="s">
        <v>49</v>
      </c>
      <c r="O1788" t="s">
        <v>61</v>
      </c>
      <c r="P1788" t="s">
        <v>40</v>
      </c>
      <c r="Q1788">
        <v>5</v>
      </c>
      <c r="R1788" s="2">
        <v>44838</v>
      </c>
      <c r="S1788">
        <v>4</v>
      </c>
      <c r="T1788">
        <v>1</v>
      </c>
      <c r="U1788">
        <v>3</v>
      </c>
      <c r="V1788" s="1">
        <v>44922</v>
      </c>
      <c r="W1788" t="s">
        <v>41</v>
      </c>
      <c r="X1788" t="s">
        <v>42</v>
      </c>
      <c r="Y1788" t="s">
        <v>52</v>
      </c>
      <c r="Z1788">
        <v>4</v>
      </c>
      <c r="AA1788">
        <v>581.95000000000005</v>
      </c>
      <c r="AB1788">
        <v>39</v>
      </c>
    </row>
    <row r="1789" spans="1:28" x14ac:dyDescent="0.2">
      <c r="A1789">
        <v>2311</v>
      </c>
      <c r="B1789" s="1">
        <v>43809</v>
      </c>
      <c r="C1789" t="s">
        <v>120</v>
      </c>
      <c r="D1789" t="s">
        <v>94</v>
      </c>
      <c r="E1789" t="s">
        <v>30</v>
      </c>
      <c r="F1789" t="s">
        <v>46</v>
      </c>
      <c r="G1789" t="s">
        <v>45</v>
      </c>
      <c r="H1789" t="s">
        <v>55</v>
      </c>
      <c r="I1789" t="s">
        <v>34</v>
      </c>
      <c r="J1789" t="s">
        <v>70</v>
      </c>
      <c r="K1789" s="2">
        <v>26017</v>
      </c>
      <c r="L1789" t="s">
        <v>36</v>
      </c>
      <c r="M1789" t="s">
        <v>37</v>
      </c>
      <c r="N1789" t="s">
        <v>72</v>
      </c>
      <c r="O1789" t="s">
        <v>77</v>
      </c>
      <c r="P1789" t="s">
        <v>40</v>
      </c>
      <c r="Q1789">
        <v>2</v>
      </c>
      <c r="R1789" s="2">
        <v>45000</v>
      </c>
      <c r="S1789">
        <v>5</v>
      </c>
      <c r="T1789">
        <v>3</v>
      </c>
      <c r="U1789">
        <v>2</v>
      </c>
      <c r="V1789" s="1">
        <v>45020</v>
      </c>
      <c r="W1789" t="s">
        <v>41</v>
      </c>
      <c r="X1789" t="s">
        <v>51</v>
      </c>
      <c r="Y1789" t="s">
        <v>73</v>
      </c>
      <c r="Z1789">
        <v>5</v>
      </c>
      <c r="AA1789">
        <v>616.42999999999995</v>
      </c>
      <c r="AB1789">
        <v>48</v>
      </c>
    </row>
    <row r="1790" spans="1:28" x14ac:dyDescent="0.2">
      <c r="A1790">
        <v>2312</v>
      </c>
      <c r="B1790" s="1">
        <v>43795</v>
      </c>
      <c r="C1790" t="s">
        <v>120</v>
      </c>
      <c r="D1790" t="s">
        <v>74</v>
      </c>
      <c r="E1790" t="s">
        <v>30</v>
      </c>
      <c r="F1790" t="s">
        <v>55</v>
      </c>
      <c r="G1790" t="s">
        <v>32</v>
      </c>
      <c r="H1790" t="s">
        <v>46</v>
      </c>
      <c r="I1790" t="s">
        <v>95</v>
      </c>
      <c r="J1790" t="s">
        <v>70</v>
      </c>
      <c r="K1790" s="2">
        <v>18973</v>
      </c>
      <c r="L1790" t="s">
        <v>36</v>
      </c>
      <c r="M1790" t="s">
        <v>48</v>
      </c>
      <c r="N1790" t="s">
        <v>84</v>
      </c>
      <c r="O1790" t="s">
        <v>39</v>
      </c>
      <c r="P1790" t="s">
        <v>40</v>
      </c>
      <c r="Q1790">
        <v>4</v>
      </c>
      <c r="R1790" s="2">
        <v>45018</v>
      </c>
      <c r="S1790">
        <v>1</v>
      </c>
      <c r="T1790">
        <v>4</v>
      </c>
      <c r="U1790">
        <v>3</v>
      </c>
      <c r="V1790" s="1">
        <v>44932</v>
      </c>
      <c r="W1790" t="s">
        <v>41</v>
      </c>
      <c r="X1790" t="s">
        <v>42</v>
      </c>
      <c r="Y1790" t="s">
        <v>63</v>
      </c>
      <c r="Z1790">
        <v>3</v>
      </c>
      <c r="AA1790">
        <v>623.75</v>
      </c>
      <c r="AB1790">
        <v>68</v>
      </c>
    </row>
    <row r="1791" spans="1:28" x14ac:dyDescent="0.2">
      <c r="A1791">
        <v>2313</v>
      </c>
      <c r="B1791" s="1">
        <v>44452</v>
      </c>
      <c r="C1791" t="s">
        <v>120</v>
      </c>
      <c r="D1791" t="s">
        <v>81</v>
      </c>
      <c r="E1791" t="s">
        <v>30</v>
      </c>
      <c r="F1791" t="s">
        <v>46</v>
      </c>
      <c r="G1791" t="s">
        <v>32</v>
      </c>
      <c r="H1791" t="s">
        <v>55</v>
      </c>
      <c r="I1791" t="s">
        <v>95</v>
      </c>
      <c r="J1791" t="s">
        <v>100</v>
      </c>
      <c r="K1791" s="2">
        <v>36829</v>
      </c>
      <c r="L1791" t="s">
        <v>36</v>
      </c>
      <c r="M1791" t="s">
        <v>48</v>
      </c>
      <c r="N1791" t="s">
        <v>84</v>
      </c>
      <c r="O1791" t="s">
        <v>77</v>
      </c>
      <c r="P1791" t="s">
        <v>40</v>
      </c>
      <c r="Q1791">
        <v>2</v>
      </c>
      <c r="R1791" s="2">
        <v>45020</v>
      </c>
      <c r="S1791">
        <v>5</v>
      </c>
      <c r="T1791">
        <v>2</v>
      </c>
      <c r="U1791">
        <v>3</v>
      </c>
      <c r="V1791" s="1">
        <v>44961</v>
      </c>
      <c r="W1791" t="s">
        <v>62</v>
      </c>
      <c r="X1791" t="s">
        <v>51</v>
      </c>
      <c r="Y1791" t="s">
        <v>73</v>
      </c>
      <c r="Z1791">
        <v>1</v>
      </c>
      <c r="AA1791">
        <v>802.99</v>
      </c>
      <c r="AB1791">
        <v>21</v>
      </c>
    </row>
    <row r="1792" spans="1:28" x14ac:dyDescent="0.2">
      <c r="A1792">
        <v>2314</v>
      </c>
      <c r="B1792" s="1">
        <v>43696</v>
      </c>
      <c r="C1792" t="s">
        <v>120</v>
      </c>
      <c r="D1792" t="s">
        <v>54</v>
      </c>
      <c r="E1792" t="s">
        <v>30</v>
      </c>
      <c r="F1792" t="s">
        <v>46</v>
      </c>
      <c r="G1792" t="s">
        <v>32</v>
      </c>
      <c r="H1792" t="s">
        <v>46</v>
      </c>
      <c r="I1792" t="s">
        <v>95</v>
      </c>
      <c r="J1792" t="s">
        <v>70</v>
      </c>
      <c r="K1792" s="2">
        <v>22572</v>
      </c>
      <c r="L1792" t="s">
        <v>36</v>
      </c>
      <c r="M1792" t="s">
        <v>37</v>
      </c>
      <c r="N1792" t="s">
        <v>84</v>
      </c>
      <c r="O1792" t="s">
        <v>67</v>
      </c>
      <c r="P1792" t="s">
        <v>40</v>
      </c>
      <c r="Q1792">
        <v>1</v>
      </c>
      <c r="R1792" s="2">
        <v>45100</v>
      </c>
      <c r="S1792">
        <v>4</v>
      </c>
      <c r="T1792">
        <v>1</v>
      </c>
      <c r="U1792">
        <v>3</v>
      </c>
      <c r="V1792" s="1">
        <v>44883</v>
      </c>
      <c r="W1792" t="s">
        <v>92</v>
      </c>
      <c r="X1792" t="s">
        <v>51</v>
      </c>
      <c r="Y1792" t="s">
        <v>43</v>
      </c>
      <c r="Z1792">
        <v>1</v>
      </c>
      <c r="AA1792">
        <v>725.98</v>
      </c>
      <c r="AB1792">
        <v>58</v>
      </c>
    </row>
    <row r="1793" spans="1:28" x14ac:dyDescent="0.2">
      <c r="A1793">
        <v>2315</v>
      </c>
      <c r="B1793" s="1">
        <v>44724</v>
      </c>
      <c r="C1793" t="s">
        <v>133</v>
      </c>
      <c r="D1793" t="s">
        <v>29</v>
      </c>
      <c r="E1793" t="s">
        <v>30</v>
      </c>
      <c r="F1793" t="s">
        <v>55</v>
      </c>
      <c r="G1793" t="s">
        <v>45</v>
      </c>
      <c r="H1793" t="s">
        <v>55</v>
      </c>
      <c r="I1793" t="s">
        <v>34</v>
      </c>
      <c r="J1793" t="s">
        <v>96</v>
      </c>
      <c r="K1793" s="2">
        <v>31462</v>
      </c>
      <c r="L1793" t="s">
        <v>36</v>
      </c>
      <c r="M1793" t="s">
        <v>37</v>
      </c>
      <c r="N1793" t="s">
        <v>60</v>
      </c>
      <c r="O1793" t="s">
        <v>67</v>
      </c>
      <c r="P1793" t="s">
        <v>40</v>
      </c>
      <c r="Q1793">
        <v>4</v>
      </c>
      <c r="R1793" s="2">
        <v>44783</v>
      </c>
      <c r="S1793">
        <v>4</v>
      </c>
      <c r="T1793">
        <v>3</v>
      </c>
      <c r="U1793">
        <v>2</v>
      </c>
      <c r="V1793" s="1">
        <v>44900</v>
      </c>
      <c r="W1793" t="s">
        <v>50</v>
      </c>
      <c r="X1793" t="s">
        <v>51</v>
      </c>
      <c r="Y1793" t="s">
        <v>52</v>
      </c>
      <c r="Z1793">
        <v>1</v>
      </c>
      <c r="AA1793">
        <v>252.59</v>
      </c>
      <c r="AB1793">
        <v>36</v>
      </c>
    </row>
    <row r="1794" spans="1:28" x14ac:dyDescent="0.2">
      <c r="A1794">
        <v>2316</v>
      </c>
      <c r="B1794" s="1">
        <v>44398</v>
      </c>
      <c r="C1794" t="s">
        <v>133</v>
      </c>
      <c r="D1794" t="s">
        <v>85</v>
      </c>
      <c r="E1794" t="s">
        <v>30</v>
      </c>
      <c r="F1794" t="s">
        <v>55</v>
      </c>
      <c r="G1794" t="s">
        <v>56</v>
      </c>
      <c r="H1794" t="s">
        <v>55</v>
      </c>
      <c r="I1794" t="s">
        <v>34</v>
      </c>
      <c r="J1794" t="s">
        <v>70</v>
      </c>
      <c r="K1794" s="2">
        <v>26936</v>
      </c>
      <c r="L1794" t="s">
        <v>36</v>
      </c>
      <c r="M1794" t="s">
        <v>48</v>
      </c>
      <c r="N1794" t="s">
        <v>84</v>
      </c>
      <c r="O1794" t="s">
        <v>77</v>
      </c>
      <c r="P1794" t="s">
        <v>40</v>
      </c>
      <c r="Q1794">
        <v>2</v>
      </c>
      <c r="R1794" s="2">
        <v>44810</v>
      </c>
      <c r="S1794">
        <v>4</v>
      </c>
      <c r="T1794">
        <v>2</v>
      </c>
      <c r="U1794">
        <v>5</v>
      </c>
      <c r="V1794" s="1">
        <v>45069</v>
      </c>
      <c r="W1794" t="s">
        <v>92</v>
      </c>
      <c r="X1794" t="s">
        <v>42</v>
      </c>
      <c r="Y1794" t="s">
        <v>43</v>
      </c>
      <c r="Z1794">
        <v>1</v>
      </c>
      <c r="AA1794">
        <v>731.84</v>
      </c>
      <c r="AB1794">
        <v>48</v>
      </c>
    </row>
    <row r="1795" spans="1:28" x14ac:dyDescent="0.2">
      <c r="A1795">
        <v>2317</v>
      </c>
      <c r="B1795" s="1">
        <v>44148</v>
      </c>
      <c r="C1795" t="s">
        <v>133</v>
      </c>
      <c r="D1795" t="s">
        <v>44</v>
      </c>
      <c r="E1795" t="s">
        <v>30</v>
      </c>
      <c r="F1795" t="s">
        <v>55</v>
      </c>
      <c r="G1795" t="s">
        <v>45</v>
      </c>
      <c r="H1795" t="s">
        <v>33</v>
      </c>
      <c r="I1795" t="s">
        <v>34</v>
      </c>
      <c r="J1795" t="s">
        <v>105</v>
      </c>
      <c r="K1795" s="2">
        <v>16239</v>
      </c>
      <c r="L1795" t="s">
        <v>36</v>
      </c>
      <c r="M1795" t="s">
        <v>37</v>
      </c>
      <c r="N1795" t="s">
        <v>72</v>
      </c>
      <c r="O1795" t="s">
        <v>61</v>
      </c>
      <c r="P1795" t="s">
        <v>40</v>
      </c>
      <c r="Q1795">
        <v>1</v>
      </c>
      <c r="R1795" s="2">
        <v>44964</v>
      </c>
      <c r="S1795">
        <v>2</v>
      </c>
      <c r="T1795">
        <v>2</v>
      </c>
      <c r="U1795">
        <v>1</v>
      </c>
      <c r="V1795" s="1">
        <v>44966</v>
      </c>
      <c r="W1795" t="s">
        <v>50</v>
      </c>
      <c r="X1795" t="s">
        <v>51</v>
      </c>
      <c r="Y1795" t="s">
        <v>43</v>
      </c>
      <c r="Z1795">
        <v>1</v>
      </c>
      <c r="AA1795">
        <v>787.01</v>
      </c>
      <c r="AB1795">
        <v>76</v>
      </c>
    </row>
    <row r="1796" spans="1:28" x14ac:dyDescent="0.2">
      <c r="A1796">
        <v>2318</v>
      </c>
      <c r="B1796" s="1">
        <v>44612</v>
      </c>
      <c r="C1796" t="s">
        <v>133</v>
      </c>
      <c r="D1796" t="s">
        <v>87</v>
      </c>
      <c r="E1796" t="s">
        <v>30</v>
      </c>
      <c r="F1796" t="s">
        <v>46</v>
      </c>
      <c r="G1796" t="s">
        <v>45</v>
      </c>
      <c r="H1796" t="s">
        <v>33</v>
      </c>
      <c r="I1796" t="s">
        <v>34</v>
      </c>
      <c r="J1796" t="s">
        <v>70</v>
      </c>
      <c r="K1796" s="2">
        <v>20904</v>
      </c>
      <c r="L1796" t="s">
        <v>36</v>
      </c>
      <c r="M1796" t="s">
        <v>37</v>
      </c>
      <c r="N1796" t="s">
        <v>38</v>
      </c>
      <c r="O1796" t="s">
        <v>39</v>
      </c>
      <c r="P1796" t="s">
        <v>40</v>
      </c>
      <c r="Q1796">
        <v>2</v>
      </c>
      <c r="R1796" s="2">
        <v>44915</v>
      </c>
      <c r="S1796">
        <v>2</v>
      </c>
      <c r="T1796">
        <v>1</v>
      </c>
      <c r="U1796">
        <v>5</v>
      </c>
      <c r="V1796" s="1">
        <v>45099</v>
      </c>
      <c r="W1796" t="s">
        <v>92</v>
      </c>
      <c r="X1796" t="s">
        <v>51</v>
      </c>
      <c r="Y1796" t="s">
        <v>52</v>
      </c>
      <c r="Z1796">
        <v>2</v>
      </c>
      <c r="AA1796">
        <v>303.8</v>
      </c>
      <c r="AB1796">
        <v>65</v>
      </c>
    </row>
    <row r="1797" spans="1:28" x14ac:dyDescent="0.2">
      <c r="A1797">
        <v>2319</v>
      </c>
      <c r="B1797" s="1">
        <v>43552</v>
      </c>
      <c r="C1797" t="s">
        <v>133</v>
      </c>
      <c r="D1797" t="s">
        <v>64</v>
      </c>
      <c r="E1797" t="s">
        <v>108</v>
      </c>
      <c r="F1797" t="s">
        <v>31</v>
      </c>
      <c r="G1797" t="s">
        <v>45</v>
      </c>
      <c r="H1797" t="s">
        <v>46</v>
      </c>
      <c r="I1797" t="s">
        <v>34</v>
      </c>
      <c r="J1797" t="s">
        <v>58</v>
      </c>
      <c r="K1797" s="2">
        <v>30365</v>
      </c>
      <c r="L1797" t="s">
        <v>36</v>
      </c>
      <c r="M1797" t="s">
        <v>37</v>
      </c>
      <c r="N1797" t="s">
        <v>38</v>
      </c>
      <c r="O1797" t="s">
        <v>39</v>
      </c>
      <c r="P1797" t="s">
        <v>40</v>
      </c>
      <c r="Q1797">
        <v>5</v>
      </c>
      <c r="R1797" s="2">
        <v>45014</v>
      </c>
      <c r="S1797">
        <v>5</v>
      </c>
      <c r="T1797">
        <v>4</v>
      </c>
      <c r="U1797">
        <v>3</v>
      </c>
      <c r="V1797" s="1">
        <v>44916</v>
      </c>
      <c r="W1797" t="s">
        <v>50</v>
      </c>
      <c r="X1797" t="s">
        <v>42</v>
      </c>
      <c r="Y1797" t="s">
        <v>73</v>
      </c>
      <c r="Z1797">
        <v>3</v>
      </c>
      <c r="AA1797">
        <v>832.15</v>
      </c>
      <c r="AB1797">
        <v>36</v>
      </c>
    </row>
    <row r="1798" spans="1:28" x14ac:dyDescent="0.2">
      <c r="A1798">
        <v>2320</v>
      </c>
      <c r="B1798" s="1">
        <v>44860</v>
      </c>
      <c r="C1798" t="s">
        <v>133</v>
      </c>
      <c r="D1798" t="s">
        <v>94</v>
      </c>
      <c r="E1798" t="s">
        <v>108</v>
      </c>
      <c r="F1798" t="s">
        <v>46</v>
      </c>
      <c r="G1798" t="s">
        <v>45</v>
      </c>
      <c r="H1798" t="s">
        <v>55</v>
      </c>
      <c r="I1798" t="s">
        <v>34</v>
      </c>
      <c r="J1798" t="s">
        <v>97</v>
      </c>
      <c r="K1798" s="2">
        <v>23629</v>
      </c>
      <c r="L1798" t="s">
        <v>36</v>
      </c>
      <c r="M1798" t="s">
        <v>37</v>
      </c>
      <c r="N1798" t="s">
        <v>38</v>
      </c>
      <c r="O1798" t="s">
        <v>61</v>
      </c>
      <c r="P1798" t="s">
        <v>40</v>
      </c>
      <c r="Q1798">
        <v>4</v>
      </c>
      <c r="R1798" s="2">
        <v>44969</v>
      </c>
      <c r="S1798">
        <v>5</v>
      </c>
      <c r="T1798">
        <v>1</v>
      </c>
      <c r="U1798">
        <v>3</v>
      </c>
      <c r="V1798" s="1">
        <v>45132</v>
      </c>
      <c r="W1798" t="s">
        <v>92</v>
      </c>
      <c r="X1798" t="s">
        <v>51</v>
      </c>
      <c r="Y1798" t="s">
        <v>52</v>
      </c>
      <c r="Z1798">
        <v>5</v>
      </c>
      <c r="AA1798">
        <v>509.71</v>
      </c>
      <c r="AB1798">
        <v>58</v>
      </c>
    </row>
    <row r="1799" spans="1:28" x14ac:dyDescent="0.2">
      <c r="A1799">
        <v>2321</v>
      </c>
      <c r="B1799" s="1">
        <v>45056</v>
      </c>
      <c r="C1799" t="s">
        <v>133</v>
      </c>
      <c r="D1799" t="s">
        <v>74</v>
      </c>
      <c r="E1799" t="s">
        <v>30</v>
      </c>
      <c r="F1799" t="s">
        <v>55</v>
      </c>
      <c r="G1799" t="s">
        <v>32</v>
      </c>
      <c r="H1799" t="s">
        <v>55</v>
      </c>
      <c r="I1799" t="s">
        <v>34</v>
      </c>
      <c r="J1799" t="s">
        <v>70</v>
      </c>
      <c r="K1799" s="2">
        <v>18861</v>
      </c>
      <c r="L1799" t="s">
        <v>36</v>
      </c>
      <c r="M1799" t="s">
        <v>37</v>
      </c>
      <c r="N1799" t="s">
        <v>72</v>
      </c>
      <c r="O1799" t="s">
        <v>77</v>
      </c>
      <c r="P1799" t="s">
        <v>40</v>
      </c>
      <c r="Q1799">
        <v>2</v>
      </c>
      <c r="R1799" s="2">
        <v>44872</v>
      </c>
      <c r="S1799">
        <v>4</v>
      </c>
      <c r="T1799">
        <v>2</v>
      </c>
      <c r="U1799">
        <v>5</v>
      </c>
      <c r="V1799" s="1">
        <v>44810</v>
      </c>
      <c r="W1799" t="s">
        <v>92</v>
      </c>
      <c r="X1799" t="s">
        <v>42</v>
      </c>
      <c r="Y1799" t="s">
        <v>52</v>
      </c>
      <c r="Z1799">
        <v>3</v>
      </c>
      <c r="AA1799">
        <v>781.95</v>
      </c>
      <c r="AB1799">
        <v>72</v>
      </c>
    </row>
    <row r="1800" spans="1:28" x14ac:dyDescent="0.2">
      <c r="A1800">
        <v>2322</v>
      </c>
      <c r="B1800" s="1">
        <v>44805</v>
      </c>
      <c r="C1800" t="s">
        <v>133</v>
      </c>
      <c r="D1800" t="s">
        <v>81</v>
      </c>
      <c r="E1800" t="s">
        <v>30</v>
      </c>
      <c r="F1800" t="s">
        <v>31</v>
      </c>
      <c r="G1800" t="s">
        <v>32</v>
      </c>
      <c r="H1800" t="s">
        <v>46</v>
      </c>
      <c r="I1800" t="s">
        <v>34</v>
      </c>
      <c r="J1800" t="s">
        <v>70</v>
      </c>
      <c r="K1800" s="2">
        <v>23128</v>
      </c>
      <c r="L1800" t="s">
        <v>36</v>
      </c>
      <c r="M1800" t="s">
        <v>37</v>
      </c>
      <c r="N1800" t="s">
        <v>84</v>
      </c>
      <c r="O1800" t="s">
        <v>77</v>
      </c>
      <c r="P1800" t="s">
        <v>40</v>
      </c>
      <c r="Q1800">
        <v>5</v>
      </c>
      <c r="R1800" s="2">
        <v>44793</v>
      </c>
      <c r="S1800">
        <v>4</v>
      </c>
      <c r="T1800">
        <v>3</v>
      </c>
      <c r="U1800">
        <v>4</v>
      </c>
      <c r="V1800" s="1">
        <v>44989</v>
      </c>
      <c r="W1800" t="s">
        <v>92</v>
      </c>
      <c r="X1800" t="s">
        <v>42</v>
      </c>
      <c r="Y1800" t="s">
        <v>63</v>
      </c>
      <c r="Z1800">
        <v>3</v>
      </c>
      <c r="AA1800">
        <v>178.4</v>
      </c>
      <c r="AB1800">
        <v>59</v>
      </c>
    </row>
    <row r="1801" spans="1:28" x14ac:dyDescent="0.2">
      <c r="A1801">
        <v>2323</v>
      </c>
      <c r="B1801" s="1">
        <v>44307</v>
      </c>
      <c r="C1801" t="s">
        <v>133</v>
      </c>
      <c r="D1801" t="s">
        <v>54</v>
      </c>
      <c r="E1801" t="s">
        <v>30</v>
      </c>
      <c r="F1801" t="s">
        <v>46</v>
      </c>
      <c r="G1801" t="s">
        <v>32</v>
      </c>
      <c r="H1801" t="s">
        <v>33</v>
      </c>
      <c r="I1801" t="s">
        <v>34</v>
      </c>
      <c r="J1801" t="s">
        <v>96</v>
      </c>
      <c r="K1801" s="2">
        <v>21736</v>
      </c>
      <c r="L1801" t="s">
        <v>36</v>
      </c>
      <c r="M1801" t="s">
        <v>37</v>
      </c>
      <c r="N1801" t="s">
        <v>84</v>
      </c>
      <c r="O1801" t="s">
        <v>77</v>
      </c>
      <c r="P1801" t="s">
        <v>40</v>
      </c>
      <c r="Q1801">
        <v>5</v>
      </c>
      <c r="R1801" s="2">
        <v>44886</v>
      </c>
      <c r="S1801">
        <v>2</v>
      </c>
      <c r="T1801">
        <v>1</v>
      </c>
      <c r="U1801">
        <v>3</v>
      </c>
      <c r="V1801" s="1">
        <v>44925</v>
      </c>
      <c r="W1801" t="s">
        <v>62</v>
      </c>
      <c r="X1801" t="s">
        <v>51</v>
      </c>
      <c r="Y1801" t="s">
        <v>52</v>
      </c>
      <c r="Z1801">
        <v>3</v>
      </c>
      <c r="AA1801">
        <v>964.4</v>
      </c>
      <c r="AB1801">
        <v>62</v>
      </c>
    </row>
    <row r="1802" spans="1:28" x14ac:dyDescent="0.2">
      <c r="A1802">
        <v>2324</v>
      </c>
      <c r="B1802" s="1">
        <v>44400</v>
      </c>
      <c r="C1802" t="s">
        <v>133</v>
      </c>
      <c r="D1802" t="s">
        <v>69</v>
      </c>
      <c r="E1802" t="s">
        <v>108</v>
      </c>
      <c r="F1802" t="s">
        <v>46</v>
      </c>
      <c r="G1802" t="s">
        <v>45</v>
      </c>
      <c r="H1802" t="s">
        <v>33</v>
      </c>
      <c r="I1802" t="s">
        <v>34</v>
      </c>
      <c r="J1802" t="s">
        <v>65</v>
      </c>
      <c r="K1802" s="2">
        <v>35263</v>
      </c>
      <c r="L1802" t="s">
        <v>36</v>
      </c>
      <c r="M1802" t="s">
        <v>37</v>
      </c>
      <c r="N1802" t="s">
        <v>72</v>
      </c>
      <c r="O1802" t="s">
        <v>39</v>
      </c>
      <c r="P1802" t="s">
        <v>40</v>
      </c>
      <c r="Q1802">
        <v>4</v>
      </c>
      <c r="R1802" s="2">
        <v>45101</v>
      </c>
      <c r="S1802">
        <v>1</v>
      </c>
      <c r="T1802">
        <v>2</v>
      </c>
      <c r="U1802">
        <v>4</v>
      </c>
      <c r="V1802" s="1">
        <v>45045</v>
      </c>
      <c r="W1802" t="s">
        <v>92</v>
      </c>
      <c r="X1802" t="s">
        <v>51</v>
      </c>
      <c r="Y1802" t="s">
        <v>52</v>
      </c>
      <c r="Z1802">
        <v>1</v>
      </c>
      <c r="AA1802">
        <v>299.75</v>
      </c>
      <c r="AB1802">
        <v>25</v>
      </c>
    </row>
    <row r="1803" spans="1:28" x14ac:dyDescent="0.2">
      <c r="A1803">
        <v>2325</v>
      </c>
      <c r="B1803" s="1">
        <v>44194</v>
      </c>
      <c r="C1803" t="s">
        <v>133</v>
      </c>
      <c r="D1803" t="s">
        <v>29</v>
      </c>
      <c r="E1803" t="s">
        <v>30</v>
      </c>
      <c r="F1803" t="s">
        <v>46</v>
      </c>
      <c r="G1803" t="s">
        <v>45</v>
      </c>
      <c r="H1803" t="s">
        <v>33</v>
      </c>
      <c r="I1803" t="s">
        <v>34</v>
      </c>
      <c r="J1803" t="s">
        <v>70</v>
      </c>
      <c r="K1803" s="2">
        <v>36453</v>
      </c>
      <c r="L1803" t="s">
        <v>36</v>
      </c>
      <c r="M1803" t="s">
        <v>37</v>
      </c>
      <c r="N1803" t="s">
        <v>84</v>
      </c>
      <c r="O1803" t="s">
        <v>77</v>
      </c>
      <c r="P1803" t="s">
        <v>40</v>
      </c>
      <c r="Q1803">
        <v>1</v>
      </c>
      <c r="R1803" s="2">
        <v>44922</v>
      </c>
      <c r="S1803">
        <v>4</v>
      </c>
      <c r="T1803">
        <v>4</v>
      </c>
      <c r="U1803">
        <v>1</v>
      </c>
      <c r="V1803" s="1">
        <v>44930</v>
      </c>
      <c r="W1803" t="s">
        <v>62</v>
      </c>
      <c r="X1803" t="s">
        <v>42</v>
      </c>
      <c r="Y1803" t="s">
        <v>63</v>
      </c>
      <c r="Z1803">
        <v>2</v>
      </c>
      <c r="AA1803">
        <v>745.68</v>
      </c>
      <c r="AB1803">
        <v>21</v>
      </c>
    </row>
    <row r="1804" spans="1:28" x14ac:dyDescent="0.2">
      <c r="A1804">
        <v>2326</v>
      </c>
      <c r="B1804" s="1">
        <v>44781</v>
      </c>
      <c r="C1804" t="s">
        <v>136</v>
      </c>
      <c r="D1804" t="s">
        <v>85</v>
      </c>
      <c r="E1804" t="s">
        <v>30</v>
      </c>
      <c r="F1804" t="s">
        <v>31</v>
      </c>
      <c r="G1804" t="s">
        <v>45</v>
      </c>
      <c r="H1804" t="s">
        <v>33</v>
      </c>
      <c r="I1804" t="s">
        <v>34</v>
      </c>
      <c r="J1804" t="s">
        <v>96</v>
      </c>
      <c r="K1804" s="2">
        <v>17490</v>
      </c>
      <c r="L1804" t="s">
        <v>36</v>
      </c>
      <c r="M1804" t="s">
        <v>37</v>
      </c>
      <c r="N1804" t="s">
        <v>72</v>
      </c>
      <c r="O1804" t="s">
        <v>61</v>
      </c>
      <c r="P1804" t="s">
        <v>40</v>
      </c>
      <c r="Q1804">
        <v>2</v>
      </c>
      <c r="R1804" s="2">
        <v>45035</v>
      </c>
      <c r="S1804">
        <v>3</v>
      </c>
      <c r="T1804">
        <v>1</v>
      </c>
      <c r="U1804">
        <v>4</v>
      </c>
      <c r="V1804" s="1">
        <v>44932</v>
      </c>
      <c r="W1804" t="s">
        <v>50</v>
      </c>
      <c r="X1804" t="s">
        <v>51</v>
      </c>
      <c r="Y1804" t="s">
        <v>63</v>
      </c>
      <c r="Z1804">
        <v>5</v>
      </c>
      <c r="AA1804">
        <v>263.20999999999998</v>
      </c>
      <c r="AB1804">
        <v>75</v>
      </c>
    </row>
    <row r="1805" spans="1:28" x14ac:dyDescent="0.2">
      <c r="A1805">
        <v>2327</v>
      </c>
      <c r="B1805" s="1">
        <v>44042</v>
      </c>
      <c r="C1805" t="s">
        <v>113</v>
      </c>
      <c r="D1805" t="s">
        <v>44</v>
      </c>
      <c r="E1805" t="s">
        <v>30</v>
      </c>
      <c r="F1805" t="s">
        <v>55</v>
      </c>
      <c r="G1805" t="s">
        <v>45</v>
      </c>
      <c r="H1805" t="s">
        <v>46</v>
      </c>
      <c r="I1805" t="s">
        <v>34</v>
      </c>
      <c r="J1805" t="s">
        <v>70</v>
      </c>
      <c r="K1805" s="2">
        <v>26264</v>
      </c>
      <c r="L1805" t="s">
        <v>36</v>
      </c>
      <c r="M1805" t="s">
        <v>48</v>
      </c>
      <c r="N1805" t="s">
        <v>72</v>
      </c>
      <c r="O1805" t="s">
        <v>67</v>
      </c>
      <c r="P1805" t="s">
        <v>40</v>
      </c>
      <c r="Q1805">
        <v>4</v>
      </c>
      <c r="R1805" s="2">
        <v>45014</v>
      </c>
      <c r="S1805">
        <v>4</v>
      </c>
      <c r="T1805">
        <v>1</v>
      </c>
      <c r="U1805">
        <v>2</v>
      </c>
      <c r="V1805" s="1">
        <v>44854</v>
      </c>
      <c r="W1805" t="s">
        <v>50</v>
      </c>
      <c r="X1805" t="s">
        <v>51</v>
      </c>
      <c r="Y1805" t="s">
        <v>52</v>
      </c>
      <c r="Z1805">
        <v>1</v>
      </c>
      <c r="AA1805">
        <v>802.98</v>
      </c>
      <c r="AB1805">
        <v>49</v>
      </c>
    </row>
    <row r="1806" spans="1:28" x14ac:dyDescent="0.2">
      <c r="A1806">
        <v>2328</v>
      </c>
      <c r="B1806" s="1">
        <v>43542</v>
      </c>
      <c r="C1806" t="s">
        <v>113</v>
      </c>
      <c r="D1806" t="s">
        <v>87</v>
      </c>
      <c r="E1806" t="s">
        <v>30</v>
      </c>
      <c r="F1806" t="s">
        <v>55</v>
      </c>
      <c r="G1806" t="s">
        <v>56</v>
      </c>
      <c r="H1806" t="s">
        <v>46</v>
      </c>
      <c r="I1806" t="s">
        <v>34</v>
      </c>
      <c r="J1806" t="s">
        <v>65</v>
      </c>
      <c r="K1806" s="2">
        <v>29367</v>
      </c>
      <c r="L1806" t="s">
        <v>36</v>
      </c>
      <c r="M1806" t="s">
        <v>48</v>
      </c>
      <c r="N1806" t="s">
        <v>84</v>
      </c>
      <c r="O1806" t="s">
        <v>77</v>
      </c>
      <c r="P1806" t="s">
        <v>40</v>
      </c>
      <c r="Q1806">
        <v>4</v>
      </c>
      <c r="R1806" s="2">
        <v>44806</v>
      </c>
      <c r="S1806">
        <v>1</v>
      </c>
      <c r="T1806">
        <v>4</v>
      </c>
      <c r="U1806">
        <v>3</v>
      </c>
      <c r="V1806" s="1">
        <v>44986</v>
      </c>
      <c r="W1806" t="s">
        <v>92</v>
      </c>
      <c r="X1806" t="s">
        <v>42</v>
      </c>
      <c r="Y1806" t="s">
        <v>73</v>
      </c>
      <c r="Z1806">
        <v>3</v>
      </c>
      <c r="AA1806">
        <v>960.9</v>
      </c>
      <c r="AB1806">
        <v>39</v>
      </c>
    </row>
    <row r="1807" spans="1:28" x14ac:dyDescent="0.2">
      <c r="A1807">
        <v>2329</v>
      </c>
      <c r="B1807" s="1">
        <v>43671</v>
      </c>
      <c r="C1807" t="s">
        <v>113</v>
      </c>
      <c r="D1807" t="s">
        <v>64</v>
      </c>
      <c r="E1807" t="s">
        <v>30</v>
      </c>
      <c r="F1807" t="s">
        <v>55</v>
      </c>
      <c r="G1807" t="s">
        <v>45</v>
      </c>
      <c r="H1807" t="s">
        <v>55</v>
      </c>
      <c r="I1807" t="s">
        <v>115</v>
      </c>
      <c r="J1807" t="s">
        <v>47</v>
      </c>
      <c r="K1807" s="2">
        <v>22945</v>
      </c>
      <c r="L1807" t="s">
        <v>36</v>
      </c>
      <c r="M1807" t="s">
        <v>48</v>
      </c>
      <c r="N1807" t="s">
        <v>84</v>
      </c>
      <c r="O1807" t="s">
        <v>61</v>
      </c>
      <c r="P1807" t="s">
        <v>40</v>
      </c>
      <c r="Q1807">
        <v>2</v>
      </c>
      <c r="R1807" s="2">
        <v>44806</v>
      </c>
      <c r="S1807">
        <v>2</v>
      </c>
      <c r="T1807">
        <v>3</v>
      </c>
      <c r="U1807">
        <v>1</v>
      </c>
      <c r="V1807" s="1">
        <v>44947</v>
      </c>
      <c r="W1807" t="s">
        <v>41</v>
      </c>
      <c r="X1807" t="s">
        <v>51</v>
      </c>
      <c r="Y1807" t="s">
        <v>52</v>
      </c>
      <c r="Z1807">
        <v>2</v>
      </c>
      <c r="AA1807">
        <v>209.86</v>
      </c>
      <c r="AB1807">
        <v>57</v>
      </c>
    </row>
    <row r="1808" spans="1:28" x14ac:dyDescent="0.2">
      <c r="A1808">
        <v>2330</v>
      </c>
      <c r="B1808" s="1">
        <v>44485</v>
      </c>
      <c r="C1808" t="s">
        <v>120</v>
      </c>
      <c r="D1808" t="s">
        <v>85</v>
      </c>
      <c r="E1808" t="s">
        <v>30</v>
      </c>
      <c r="F1808" t="s">
        <v>55</v>
      </c>
      <c r="G1808" t="s">
        <v>32</v>
      </c>
      <c r="H1808" t="s">
        <v>46</v>
      </c>
      <c r="I1808" t="s">
        <v>34</v>
      </c>
      <c r="J1808" t="s">
        <v>82</v>
      </c>
      <c r="K1808" s="2">
        <v>21167</v>
      </c>
      <c r="L1808" t="s">
        <v>36</v>
      </c>
      <c r="M1808" t="s">
        <v>48</v>
      </c>
      <c r="N1808" t="s">
        <v>60</v>
      </c>
      <c r="O1808" t="s">
        <v>67</v>
      </c>
      <c r="P1808" t="s">
        <v>40</v>
      </c>
      <c r="Q1808">
        <v>2</v>
      </c>
      <c r="R1808" s="2">
        <v>44815</v>
      </c>
      <c r="S1808">
        <v>3</v>
      </c>
      <c r="T1808">
        <v>4</v>
      </c>
      <c r="U1808">
        <v>5</v>
      </c>
      <c r="V1808" s="1">
        <v>45006</v>
      </c>
      <c r="W1808" t="s">
        <v>50</v>
      </c>
      <c r="X1808" t="s">
        <v>42</v>
      </c>
      <c r="Y1808" t="s">
        <v>73</v>
      </c>
      <c r="Z1808">
        <v>2</v>
      </c>
      <c r="AA1808">
        <v>942.81</v>
      </c>
      <c r="AB1808">
        <v>64</v>
      </c>
    </row>
    <row r="1809" spans="1:28" x14ac:dyDescent="0.2">
      <c r="A1809">
        <v>2331</v>
      </c>
      <c r="B1809" s="1">
        <v>43805</v>
      </c>
      <c r="C1809" t="s">
        <v>120</v>
      </c>
      <c r="D1809" t="s">
        <v>64</v>
      </c>
      <c r="E1809" t="s">
        <v>30</v>
      </c>
      <c r="F1809" t="s">
        <v>31</v>
      </c>
      <c r="G1809" t="s">
        <v>32</v>
      </c>
      <c r="H1809" t="s">
        <v>46</v>
      </c>
      <c r="I1809" t="s">
        <v>34</v>
      </c>
      <c r="J1809" t="s">
        <v>101</v>
      </c>
      <c r="K1809" s="2">
        <v>19038</v>
      </c>
      <c r="L1809" t="s">
        <v>36</v>
      </c>
      <c r="M1809" t="s">
        <v>48</v>
      </c>
      <c r="N1809" t="s">
        <v>72</v>
      </c>
      <c r="O1809" t="s">
        <v>77</v>
      </c>
      <c r="P1809" t="s">
        <v>40</v>
      </c>
      <c r="Q1809">
        <v>1</v>
      </c>
      <c r="R1809" s="2">
        <v>44906</v>
      </c>
      <c r="S1809">
        <v>2</v>
      </c>
      <c r="T1809">
        <v>5</v>
      </c>
      <c r="U1809">
        <v>3</v>
      </c>
      <c r="V1809" s="1">
        <v>44942</v>
      </c>
      <c r="W1809" t="s">
        <v>68</v>
      </c>
      <c r="X1809" t="s">
        <v>42</v>
      </c>
      <c r="Y1809" t="s">
        <v>43</v>
      </c>
      <c r="Z1809">
        <v>3</v>
      </c>
      <c r="AA1809">
        <v>108.2</v>
      </c>
      <c r="AB1809">
        <v>67</v>
      </c>
    </row>
    <row r="1810" spans="1:28" x14ac:dyDescent="0.2">
      <c r="A1810">
        <v>2332</v>
      </c>
      <c r="B1810" s="1">
        <v>43645</v>
      </c>
      <c r="C1810" t="s">
        <v>122</v>
      </c>
      <c r="D1810" t="s">
        <v>74</v>
      </c>
      <c r="E1810" t="s">
        <v>30</v>
      </c>
      <c r="F1810" t="s">
        <v>31</v>
      </c>
      <c r="G1810" t="s">
        <v>32</v>
      </c>
      <c r="H1810" t="s">
        <v>55</v>
      </c>
      <c r="I1810" t="s">
        <v>34</v>
      </c>
      <c r="J1810" t="s">
        <v>97</v>
      </c>
      <c r="K1810" s="2">
        <v>26166</v>
      </c>
      <c r="L1810" t="s">
        <v>36</v>
      </c>
      <c r="M1810" t="s">
        <v>48</v>
      </c>
      <c r="N1810" t="s">
        <v>38</v>
      </c>
      <c r="O1810" t="s">
        <v>39</v>
      </c>
      <c r="P1810" t="s">
        <v>40</v>
      </c>
      <c r="Q1810">
        <v>4</v>
      </c>
      <c r="R1810" s="2">
        <v>44867</v>
      </c>
      <c r="S1810">
        <v>1</v>
      </c>
      <c r="T1810">
        <v>1</v>
      </c>
      <c r="U1810">
        <v>1</v>
      </c>
      <c r="V1810" s="1">
        <v>44894</v>
      </c>
      <c r="W1810" t="s">
        <v>92</v>
      </c>
      <c r="X1810" t="s">
        <v>42</v>
      </c>
      <c r="Y1810" t="s">
        <v>63</v>
      </c>
      <c r="Z1810">
        <v>3</v>
      </c>
      <c r="AA1810">
        <v>144.68</v>
      </c>
      <c r="AB1810">
        <v>48</v>
      </c>
    </row>
    <row r="1811" spans="1:28" x14ac:dyDescent="0.2">
      <c r="A1811">
        <v>2333</v>
      </c>
      <c r="B1811" s="1">
        <v>43558</v>
      </c>
      <c r="C1811" t="s">
        <v>120</v>
      </c>
      <c r="D1811" t="s">
        <v>69</v>
      </c>
      <c r="E1811" t="s">
        <v>30</v>
      </c>
      <c r="F1811" t="s">
        <v>55</v>
      </c>
      <c r="G1811" t="s">
        <v>32</v>
      </c>
      <c r="H1811" t="s">
        <v>33</v>
      </c>
      <c r="I1811" t="s">
        <v>95</v>
      </c>
      <c r="J1811" t="s">
        <v>105</v>
      </c>
      <c r="K1811" s="2">
        <v>18828</v>
      </c>
      <c r="L1811" t="s">
        <v>36</v>
      </c>
      <c r="M1811" t="s">
        <v>37</v>
      </c>
      <c r="N1811" t="s">
        <v>84</v>
      </c>
      <c r="O1811" t="s">
        <v>77</v>
      </c>
      <c r="P1811" t="s">
        <v>40</v>
      </c>
      <c r="Q1811">
        <v>1</v>
      </c>
      <c r="R1811" s="2">
        <v>45035</v>
      </c>
      <c r="S1811">
        <v>5</v>
      </c>
      <c r="T1811">
        <v>4</v>
      </c>
      <c r="U1811">
        <v>2</v>
      </c>
      <c r="V1811" s="1">
        <v>45017</v>
      </c>
      <c r="W1811" t="s">
        <v>68</v>
      </c>
      <c r="X1811" t="s">
        <v>42</v>
      </c>
      <c r="Y1811" t="s">
        <v>43</v>
      </c>
      <c r="Z1811">
        <v>4</v>
      </c>
      <c r="AA1811">
        <v>769.76</v>
      </c>
      <c r="AB1811">
        <v>68</v>
      </c>
    </row>
    <row r="1812" spans="1:28" x14ac:dyDescent="0.2">
      <c r="A1812">
        <v>2334</v>
      </c>
      <c r="B1812" s="1">
        <v>44398</v>
      </c>
      <c r="C1812" t="s">
        <v>120</v>
      </c>
      <c r="D1812" t="s">
        <v>29</v>
      </c>
      <c r="E1812" t="s">
        <v>30</v>
      </c>
      <c r="F1812" t="s">
        <v>31</v>
      </c>
      <c r="G1812" t="s">
        <v>45</v>
      </c>
      <c r="H1812" t="s">
        <v>33</v>
      </c>
      <c r="I1812" t="s">
        <v>95</v>
      </c>
      <c r="J1812" t="s">
        <v>79</v>
      </c>
      <c r="K1812" s="2">
        <v>30366</v>
      </c>
      <c r="L1812" t="s">
        <v>36</v>
      </c>
      <c r="M1812" t="s">
        <v>48</v>
      </c>
      <c r="N1812" t="s">
        <v>84</v>
      </c>
      <c r="O1812" t="s">
        <v>61</v>
      </c>
      <c r="P1812" t="s">
        <v>40</v>
      </c>
      <c r="Q1812">
        <v>4</v>
      </c>
      <c r="R1812" s="2">
        <v>44896</v>
      </c>
      <c r="S1812">
        <v>3</v>
      </c>
      <c r="T1812">
        <v>3</v>
      </c>
      <c r="U1812">
        <v>5</v>
      </c>
      <c r="V1812" s="1">
        <v>45006</v>
      </c>
      <c r="W1812" t="s">
        <v>62</v>
      </c>
      <c r="X1812" t="s">
        <v>42</v>
      </c>
      <c r="Y1812" t="s">
        <v>43</v>
      </c>
      <c r="Z1812">
        <v>5</v>
      </c>
      <c r="AA1812">
        <v>860.16</v>
      </c>
      <c r="AB1812">
        <v>38</v>
      </c>
    </row>
    <row r="1813" spans="1:28" x14ac:dyDescent="0.2">
      <c r="A1813">
        <v>2335</v>
      </c>
      <c r="B1813" s="1">
        <v>44769</v>
      </c>
      <c r="C1813" t="s">
        <v>120</v>
      </c>
      <c r="D1813" t="s">
        <v>44</v>
      </c>
      <c r="E1813" t="s">
        <v>30</v>
      </c>
      <c r="F1813" t="s">
        <v>55</v>
      </c>
      <c r="G1813" t="s">
        <v>32</v>
      </c>
      <c r="H1813" t="s">
        <v>33</v>
      </c>
      <c r="I1813" t="s">
        <v>95</v>
      </c>
      <c r="J1813" t="s">
        <v>65</v>
      </c>
      <c r="K1813" s="2">
        <v>16395</v>
      </c>
      <c r="L1813" t="s">
        <v>36</v>
      </c>
      <c r="M1813" t="s">
        <v>48</v>
      </c>
      <c r="N1813" t="s">
        <v>38</v>
      </c>
      <c r="O1813" t="s">
        <v>77</v>
      </c>
      <c r="P1813" t="s">
        <v>40</v>
      </c>
      <c r="Q1813">
        <v>4</v>
      </c>
      <c r="R1813" s="2">
        <v>45009</v>
      </c>
      <c r="S1813">
        <v>1</v>
      </c>
      <c r="T1813">
        <v>5</v>
      </c>
      <c r="U1813">
        <v>5</v>
      </c>
      <c r="V1813" s="1">
        <v>44805</v>
      </c>
      <c r="W1813" t="s">
        <v>92</v>
      </c>
      <c r="X1813" t="s">
        <v>42</v>
      </c>
      <c r="Y1813" t="s">
        <v>63</v>
      </c>
      <c r="Z1813">
        <v>4</v>
      </c>
      <c r="AA1813">
        <v>957.24</v>
      </c>
      <c r="AB1813">
        <v>78</v>
      </c>
    </row>
    <row r="1814" spans="1:28" x14ac:dyDescent="0.2">
      <c r="A1814">
        <v>2336</v>
      </c>
      <c r="B1814" s="1">
        <v>43744</v>
      </c>
      <c r="C1814" t="s">
        <v>133</v>
      </c>
      <c r="D1814" t="s">
        <v>29</v>
      </c>
      <c r="E1814" t="s">
        <v>30</v>
      </c>
      <c r="F1814" t="s">
        <v>31</v>
      </c>
      <c r="G1814" t="s">
        <v>45</v>
      </c>
      <c r="H1814" t="s">
        <v>55</v>
      </c>
      <c r="I1814" t="s">
        <v>34</v>
      </c>
      <c r="J1814" t="s">
        <v>65</v>
      </c>
      <c r="K1814" s="2">
        <v>30808</v>
      </c>
      <c r="L1814" t="s">
        <v>36</v>
      </c>
      <c r="M1814" t="s">
        <v>37</v>
      </c>
      <c r="N1814" t="s">
        <v>60</v>
      </c>
      <c r="O1814" t="s">
        <v>61</v>
      </c>
      <c r="P1814" t="s">
        <v>40</v>
      </c>
      <c r="Q1814">
        <v>4</v>
      </c>
      <c r="R1814" s="2">
        <v>44783</v>
      </c>
      <c r="S1814">
        <v>5</v>
      </c>
      <c r="T1814">
        <v>1</v>
      </c>
      <c r="U1814">
        <v>5</v>
      </c>
      <c r="V1814" s="1">
        <v>44963</v>
      </c>
      <c r="W1814" t="s">
        <v>92</v>
      </c>
      <c r="X1814" t="s">
        <v>51</v>
      </c>
      <c r="Y1814" t="s">
        <v>63</v>
      </c>
      <c r="Z1814">
        <v>3</v>
      </c>
      <c r="AA1814">
        <v>301.02999999999997</v>
      </c>
      <c r="AB1814">
        <v>35</v>
      </c>
    </row>
    <row r="1815" spans="1:28" x14ac:dyDescent="0.2">
      <c r="A1815">
        <v>2337</v>
      </c>
      <c r="B1815" s="1">
        <v>44302</v>
      </c>
      <c r="C1815" t="s">
        <v>133</v>
      </c>
      <c r="D1815" t="s">
        <v>85</v>
      </c>
      <c r="E1815" t="s">
        <v>30</v>
      </c>
      <c r="F1815" t="s">
        <v>55</v>
      </c>
      <c r="G1815" t="s">
        <v>32</v>
      </c>
      <c r="H1815" t="s">
        <v>46</v>
      </c>
      <c r="I1815" t="s">
        <v>34</v>
      </c>
      <c r="J1815" t="s">
        <v>79</v>
      </c>
      <c r="K1815" s="2">
        <v>32533</v>
      </c>
      <c r="L1815" t="s">
        <v>36</v>
      </c>
      <c r="M1815" t="s">
        <v>48</v>
      </c>
      <c r="N1815" t="s">
        <v>60</v>
      </c>
      <c r="O1815" t="s">
        <v>61</v>
      </c>
      <c r="P1815" t="s">
        <v>40</v>
      </c>
      <c r="Q1815">
        <v>4</v>
      </c>
      <c r="R1815" s="2">
        <v>45116</v>
      </c>
      <c r="S1815">
        <v>1</v>
      </c>
      <c r="T1815">
        <v>4</v>
      </c>
      <c r="U1815">
        <v>3</v>
      </c>
      <c r="V1815" s="1">
        <v>45122</v>
      </c>
      <c r="W1815" t="s">
        <v>62</v>
      </c>
      <c r="X1815" t="s">
        <v>42</v>
      </c>
      <c r="Y1815" t="s">
        <v>52</v>
      </c>
      <c r="Z1815">
        <v>2</v>
      </c>
      <c r="AA1815">
        <v>366.82</v>
      </c>
      <c r="AB1815">
        <v>32</v>
      </c>
    </row>
    <row r="1816" spans="1:28" x14ac:dyDescent="0.2">
      <c r="A1816">
        <v>2338</v>
      </c>
      <c r="B1816" s="1">
        <v>43383</v>
      </c>
      <c r="C1816" t="s">
        <v>133</v>
      </c>
      <c r="D1816" t="s">
        <v>44</v>
      </c>
      <c r="E1816" t="s">
        <v>30</v>
      </c>
      <c r="F1816" t="s">
        <v>46</v>
      </c>
      <c r="G1816" t="s">
        <v>32</v>
      </c>
      <c r="H1816" t="s">
        <v>33</v>
      </c>
      <c r="I1816" t="s">
        <v>34</v>
      </c>
      <c r="J1816" t="s">
        <v>96</v>
      </c>
      <c r="K1816" s="2">
        <v>26151</v>
      </c>
      <c r="L1816" t="s">
        <v>36</v>
      </c>
      <c r="M1816" t="s">
        <v>37</v>
      </c>
      <c r="N1816" t="s">
        <v>60</v>
      </c>
      <c r="O1816" t="s">
        <v>67</v>
      </c>
      <c r="P1816" t="s">
        <v>40</v>
      </c>
      <c r="Q1816">
        <v>4</v>
      </c>
      <c r="R1816" s="2">
        <v>44813</v>
      </c>
      <c r="S1816">
        <v>2</v>
      </c>
      <c r="T1816">
        <v>3</v>
      </c>
      <c r="U1816">
        <v>5</v>
      </c>
      <c r="V1816" s="1">
        <v>45095</v>
      </c>
      <c r="W1816" t="s">
        <v>50</v>
      </c>
      <c r="X1816" t="s">
        <v>51</v>
      </c>
      <c r="Y1816" t="s">
        <v>63</v>
      </c>
      <c r="Z1816">
        <v>2</v>
      </c>
      <c r="AA1816">
        <v>819.8</v>
      </c>
      <c r="AB1816">
        <v>47</v>
      </c>
    </row>
    <row r="1817" spans="1:28" x14ac:dyDescent="0.2">
      <c r="A1817">
        <v>2339</v>
      </c>
      <c r="B1817" s="1">
        <v>44767</v>
      </c>
      <c r="C1817" t="s">
        <v>133</v>
      </c>
      <c r="D1817" t="s">
        <v>87</v>
      </c>
      <c r="E1817" t="s">
        <v>108</v>
      </c>
      <c r="F1817" t="s">
        <v>55</v>
      </c>
      <c r="G1817" t="s">
        <v>56</v>
      </c>
      <c r="H1817" t="s">
        <v>46</v>
      </c>
      <c r="I1817" t="s">
        <v>34</v>
      </c>
      <c r="J1817" t="s">
        <v>58</v>
      </c>
      <c r="K1817" s="2">
        <v>26517</v>
      </c>
      <c r="L1817" t="s">
        <v>36</v>
      </c>
      <c r="M1817" t="s">
        <v>37</v>
      </c>
      <c r="N1817" t="s">
        <v>72</v>
      </c>
      <c r="O1817" t="s">
        <v>67</v>
      </c>
      <c r="P1817" t="s">
        <v>40</v>
      </c>
      <c r="Q1817">
        <v>1</v>
      </c>
      <c r="R1817" s="2">
        <v>45007</v>
      </c>
      <c r="S1817">
        <v>3</v>
      </c>
      <c r="T1817">
        <v>1</v>
      </c>
      <c r="U1817">
        <v>5</v>
      </c>
      <c r="V1817" s="1">
        <v>44897</v>
      </c>
      <c r="W1817" t="s">
        <v>41</v>
      </c>
      <c r="X1817" t="s">
        <v>42</v>
      </c>
      <c r="Y1817" t="s">
        <v>43</v>
      </c>
      <c r="Z1817">
        <v>5</v>
      </c>
      <c r="AA1817">
        <v>369.94</v>
      </c>
      <c r="AB1817">
        <v>50</v>
      </c>
    </row>
    <row r="1818" spans="1:28" x14ac:dyDescent="0.2">
      <c r="A1818">
        <v>2340</v>
      </c>
      <c r="B1818" s="1">
        <v>44272</v>
      </c>
      <c r="C1818" t="s">
        <v>133</v>
      </c>
      <c r="D1818" t="s">
        <v>64</v>
      </c>
      <c r="E1818" t="s">
        <v>108</v>
      </c>
      <c r="F1818" t="s">
        <v>31</v>
      </c>
      <c r="G1818" t="s">
        <v>45</v>
      </c>
      <c r="H1818" t="s">
        <v>33</v>
      </c>
      <c r="I1818" t="s">
        <v>34</v>
      </c>
      <c r="J1818" t="s">
        <v>65</v>
      </c>
      <c r="K1818" s="2">
        <v>36949</v>
      </c>
      <c r="L1818" t="s">
        <v>36</v>
      </c>
      <c r="M1818" t="s">
        <v>37</v>
      </c>
      <c r="N1818" t="s">
        <v>38</v>
      </c>
      <c r="O1818" t="s">
        <v>61</v>
      </c>
      <c r="P1818" t="s">
        <v>40</v>
      </c>
      <c r="Q1818">
        <v>5</v>
      </c>
      <c r="R1818" s="2">
        <v>45069</v>
      </c>
      <c r="S1818">
        <v>4</v>
      </c>
      <c r="T1818">
        <v>5</v>
      </c>
      <c r="U1818">
        <v>3</v>
      </c>
      <c r="V1818" s="1">
        <v>45051</v>
      </c>
      <c r="W1818" t="s">
        <v>62</v>
      </c>
      <c r="X1818" t="s">
        <v>51</v>
      </c>
      <c r="Y1818" t="s">
        <v>43</v>
      </c>
      <c r="Z1818">
        <v>1</v>
      </c>
      <c r="AA1818">
        <v>811.91</v>
      </c>
      <c r="AB1818">
        <v>20</v>
      </c>
    </row>
    <row r="1819" spans="1:28" x14ac:dyDescent="0.2">
      <c r="A1819">
        <v>2341</v>
      </c>
      <c r="B1819" s="1">
        <v>43386</v>
      </c>
      <c r="C1819" t="s">
        <v>133</v>
      </c>
      <c r="D1819" t="s">
        <v>94</v>
      </c>
      <c r="E1819" t="s">
        <v>30</v>
      </c>
      <c r="F1819" t="s">
        <v>55</v>
      </c>
      <c r="G1819" t="s">
        <v>45</v>
      </c>
      <c r="H1819" t="s">
        <v>55</v>
      </c>
      <c r="I1819" t="s">
        <v>34</v>
      </c>
      <c r="J1819" t="s">
        <v>58</v>
      </c>
      <c r="K1819" s="2">
        <v>30988</v>
      </c>
      <c r="L1819" t="s">
        <v>36</v>
      </c>
      <c r="M1819" t="s">
        <v>37</v>
      </c>
      <c r="N1819" t="s">
        <v>49</v>
      </c>
      <c r="O1819" t="s">
        <v>77</v>
      </c>
      <c r="P1819" t="s">
        <v>40</v>
      </c>
      <c r="Q1819">
        <v>2</v>
      </c>
      <c r="R1819" s="2">
        <v>44848</v>
      </c>
      <c r="S1819">
        <v>1</v>
      </c>
      <c r="T1819">
        <v>5</v>
      </c>
      <c r="U1819">
        <v>2</v>
      </c>
      <c r="V1819" s="1">
        <v>45022</v>
      </c>
      <c r="W1819" t="s">
        <v>92</v>
      </c>
      <c r="X1819" t="s">
        <v>42</v>
      </c>
      <c r="Y1819" t="s">
        <v>43</v>
      </c>
      <c r="Z1819">
        <v>2</v>
      </c>
      <c r="AA1819">
        <v>121.05</v>
      </c>
      <c r="AB1819">
        <v>34</v>
      </c>
    </row>
    <row r="1820" spans="1:28" x14ac:dyDescent="0.2">
      <c r="A1820">
        <v>2342</v>
      </c>
      <c r="B1820" s="1">
        <v>43839</v>
      </c>
      <c r="C1820" t="s">
        <v>133</v>
      </c>
      <c r="D1820" t="s">
        <v>74</v>
      </c>
      <c r="E1820" t="s">
        <v>30</v>
      </c>
      <c r="F1820" t="s">
        <v>46</v>
      </c>
      <c r="G1820" t="s">
        <v>32</v>
      </c>
      <c r="H1820" t="s">
        <v>33</v>
      </c>
      <c r="I1820" t="s">
        <v>34</v>
      </c>
      <c r="J1820" t="s">
        <v>70</v>
      </c>
      <c r="K1820" s="2">
        <v>24606</v>
      </c>
      <c r="L1820" t="s">
        <v>36</v>
      </c>
      <c r="M1820" t="s">
        <v>37</v>
      </c>
      <c r="N1820" t="s">
        <v>60</v>
      </c>
      <c r="O1820" t="s">
        <v>61</v>
      </c>
      <c r="P1820" t="s">
        <v>40</v>
      </c>
      <c r="Q1820">
        <v>5</v>
      </c>
      <c r="R1820" s="2">
        <v>45131</v>
      </c>
      <c r="S1820">
        <v>1</v>
      </c>
      <c r="T1820">
        <v>4</v>
      </c>
      <c r="U1820">
        <v>3</v>
      </c>
      <c r="V1820" s="1">
        <v>45076</v>
      </c>
      <c r="W1820" t="s">
        <v>92</v>
      </c>
      <c r="X1820" t="s">
        <v>42</v>
      </c>
      <c r="Y1820" t="s">
        <v>63</v>
      </c>
      <c r="Z1820">
        <v>1</v>
      </c>
      <c r="AA1820">
        <v>704.53</v>
      </c>
      <c r="AB1820">
        <v>53</v>
      </c>
    </row>
    <row r="1821" spans="1:28" x14ac:dyDescent="0.2">
      <c r="A1821">
        <v>2343</v>
      </c>
      <c r="B1821" s="1">
        <v>43726</v>
      </c>
      <c r="C1821" t="s">
        <v>133</v>
      </c>
      <c r="D1821" t="s">
        <v>81</v>
      </c>
      <c r="E1821" t="s">
        <v>30</v>
      </c>
      <c r="F1821" t="s">
        <v>55</v>
      </c>
      <c r="G1821" t="s">
        <v>56</v>
      </c>
      <c r="H1821" t="s">
        <v>33</v>
      </c>
      <c r="I1821" t="s">
        <v>34</v>
      </c>
      <c r="J1821" t="s">
        <v>103</v>
      </c>
      <c r="K1821" s="2">
        <v>36085</v>
      </c>
      <c r="L1821" t="s">
        <v>36</v>
      </c>
      <c r="M1821" t="s">
        <v>37</v>
      </c>
      <c r="N1821" t="s">
        <v>49</v>
      </c>
      <c r="O1821" t="s">
        <v>61</v>
      </c>
      <c r="P1821" t="s">
        <v>40</v>
      </c>
      <c r="Q1821">
        <v>4</v>
      </c>
      <c r="R1821" s="2">
        <v>44887</v>
      </c>
      <c r="S1821">
        <v>1</v>
      </c>
      <c r="T1821">
        <v>3</v>
      </c>
      <c r="U1821">
        <v>4</v>
      </c>
      <c r="V1821" s="1">
        <v>45077</v>
      </c>
      <c r="W1821" t="s">
        <v>50</v>
      </c>
      <c r="X1821" t="s">
        <v>42</v>
      </c>
      <c r="Y1821" t="s">
        <v>63</v>
      </c>
      <c r="Z1821">
        <v>5</v>
      </c>
      <c r="AA1821">
        <v>959.22</v>
      </c>
      <c r="AB1821">
        <v>21</v>
      </c>
    </row>
    <row r="1822" spans="1:28" x14ac:dyDescent="0.2">
      <c r="A1822">
        <v>2344</v>
      </c>
      <c r="B1822" s="1">
        <v>43764</v>
      </c>
      <c r="C1822" t="s">
        <v>133</v>
      </c>
      <c r="D1822" t="s">
        <v>54</v>
      </c>
      <c r="E1822" t="s">
        <v>30</v>
      </c>
      <c r="F1822" t="s">
        <v>31</v>
      </c>
      <c r="G1822" t="s">
        <v>32</v>
      </c>
      <c r="H1822" t="s">
        <v>33</v>
      </c>
      <c r="I1822" t="s">
        <v>34</v>
      </c>
      <c r="J1822" t="s">
        <v>105</v>
      </c>
      <c r="K1822" s="2">
        <v>33473</v>
      </c>
      <c r="L1822" t="s">
        <v>36</v>
      </c>
      <c r="M1822" t="s">
        <v>37</v>
      </c>
      <c r="N1822" t="s">
        <v>60</v>
      </c>
      <c r="O1822" t="s">
        <v>77</v>
      </c>
      <c r="P1822" t="s">
        <v>40</v>
      </c>
      <c r="Q1822">
        <v>1</v>
      </c>
      <c r="R1822" s="2">
        <v>44965</v>
      </c>
      <c r="S1822">
        <v>2</v>
      </c>
      <c r="T1822">
        <v>5</v>
      </c>
      <c r="U1822">
        <v>5</v>
      </c>
      <c r="V1822" s="1">
        <v>44998</v>
      </c>
      <c r="W1822" t="s">
        <v>68</v>
      </c>
      <c r="X1822" t="s">
        <v>51</v>
      </c>
      <c r="Y1822" t="s">
        <v>63</v>
      </c>
      <c r="Z1822">
        <v>2</v>
      </c>
      <c r="AA1822">
        <v>967.05</v>
      </c>
      <c r="AB1822">
        <v>28</v>
      </c>
    </row>
    <row r="1823" spans="1:28" x14ac:dyDescent="0.2">
      <c r="A1823">
        <v>2345</v>
      </c>
      <c r="B1823" s="1">
        <v>44088</v>
      </c>
      <c r="C1823" t="s">
        <v>133</v>
      </c>
      <c r="D1823" t="s">
        <v>69</v>
      </c>
      <c r="E1823" t="s">
        <v>108</v>
      </c>
      <c r="F1823" t="s">
        <v>55</v>
      </c>
      <c r="G1823" t="s">
        <v>56</v>
      </c>
      <c r="H1823" t="s">
        <v>33</v>
      </c>
      <c r="I1823" t="s">
        <v>34</v>
      </c>
      <c r="J1823" t="s">
        <v>70</v>
      </c>
      <c r="K1823" s="2">
        <v>25943</v>
      </c>
      <c r="L1823" t="s">
        <v>36</v>
      </c>
      <c r="M1823" t="s">
        <v>37</v>
      </c>
      <c r="N1823" t="s">
        <v>49</v>
      </c>
      <c r="O1823" t="s">
        <v>67</v>
      </c>
      <c r="P1823" t="s">
        <v>40</v>
      </c>
      <c r="Q1823">
        <v>2</v>
      </c>
      <c r="R1823" s="2">
        <v>44940</v>
      </c>
      <c r="S1823">
        <v>2</v>
      </c>
      <c r="T1823">
        <v>1</v>
      </c>
      <c r="U1823">
        <v>5</v>
      </c>
      <c r="V1823" s="1">
        <v>44843</v>
      </c>
      <c r="W1823" t="s">
        <v>62</v>
      </c>
      <c r="X1823" t="s">
        <v>51</v>
      </c>
      <c r="Y1823" t="s">
        <v>52</v>
      </c>
      <c r="Z1823">
        <v>3</v>
      </c>
      <c r="AA1823">
        <v>379.57</v>
      </c>
      <c r="AB1823">
        <v>49</v>
      </c>
    </row>
    <row r="1824" spans="1:28" x14ac:dyDescent="0.2">
      <c r="A1824">
        <v>2346</v>
      </c>
      <c r="B1824" s="1">
        <v>45025</v>
      </c>
      <c r="C1824" t="s">
        <v>133</v>
      </c>
      <c r="D1824" t="s">
        <v>29</v>
      </c>
      <c r="E1824" t="s">
        <v>30</v>
      </c>
      <c r="F1824" t="s">
        <v>46</v>
      </c>
      <c r="G1824" t="s">
        <v>45</v>
      </c>
      <c r="H1824" t="s">
        <v>55</v>
      </c>
      <c r="I1824" t="s">
        <v>34</v>
      </c>
      <c r="J1824" t="s">
        <v>70</v>
      </c>
      <c r="K1824" s="2">
        <v>30740</v>
      </c>
      <c r="L1824" t="s">
        <v>36</v>
      </c>
      <c r="M1824" t="s">
        <v>37</v>
      </c>
      <c r="N1824" t="s">
        <v>49</v>
      </c>
      <c r="O1824" t="s">
        <v>39</v>
      </c>
      <c r="P1824" t="s">
        <v>40</v>
      </c>
      <c r="Q1824">
        <v>4</v>
      </c>
      <c r="R1824" s="2">
        <v>44963</v>
      </c>
      <c r="S1824">
        <v>5</v>
      </c>
      <c r="T1824">
        <v>3</v>
      </c>
      <c r="U1824">
        <v>1</v>
      </c>
      <c r="V1824" s="1">
        <v>44836</v>
      </c>
      <c r="W1824" t="s">
        <v>50</v>
      </c>
      <c r="X1824" t="s">
        <v>51</v>
      </c>
      <c r="Y1824" t="s">
        <v>63</v>
      </c>
      <c r="Z1824">
        <v>3</v>
      </c>
      <c r="AA1824">
        <v>811.14</v>
      </c>
      <c r="AB1824">
        <v>39</v>
      </c>
    </row>
    <row r="1825" spans="1:28" x14ac:dyDescent="0.2">
      <c r="A1825">
        <v>2347</v>
      </c>
      <c r="B1825" s="1">
        <v>43763</v>
      </c>
      <c r="C1825" t="s">
        <v>136</v>
      </c>
      <c r="D1825" t="s">
        <v>85</v>
      </c>
      <c r="E1825" t="s">
        <v>30</v>
      </c>
      <c r="F1825" t="s">
        <v>55</v>
      </c>
      <c r="G1825" t="s">
        <v>45</v>
      </c>
      <c r="H1825" t="s">
        <v>46</v>
      </c>
      <c r="I1825" t="s">
        <v>34</v>
      </c>
      <c r="J1825" t="s">
        <v>70</v>
      </c>
      <c r="K1825" s="2">
        <v>28436</v>
      </c>
      <c r="L1825" t="s">
        <v>36</v>
      </c>
      <c r="M1825" t="s">
        <v>37</v>
      </c>
      <c r="N1825" t="s">
        <v>38</v>
      </c>
      <c r="O1825" t="s">
        <v>61</v>
      </c>
      <c r="P1825" t="s">
        <v>40</v>
      </c>
      <c r="Q1825">
        <v>1</v>
      </c>
      <c r="R1825" s="2">
        <v>44935</v>
      </c>
      <c r="S1825">
        <v>2</v>
      </c>
      <c r="T1825">
        <v>3</v>
      </c>
      <c r="U1825">
        <v>2</v>
      </c>
      <c r="V1825" s="1">
        <v>44909</v>
      </c>
      <c r="W1825" t="s">
        <v>92</v>
      </c>
      <c r="X1825" t="s">
        <v>42</v>
      </c>
      <c r="Y1825" t="s">
        <v>73</v>
      </c>
      <c r="Z1825">
        <v>1</v>
      </c>
      <c r="AA1825">
        <v>780.53</v>
      </c>
      <c r="AB1825">
        <v>42</v>
      </c>
    </row>
    <row r="1826" spans="1:28" x14ac:dyDescent="0.2">
      <c r="A1826">
        <v>2348</v>
      </c>
      <c r="B1826" s="1">
        <v>44737</v>
      </c>
      <c r="C1826" t="s">
        <v>113</v>
      </c>
      <c r="D1826" t="s">
        <v>44</v>
      </c>
      <c r="E1826" t="s">
        <v>30</v>
      </c>
      <c r="F1826" t="s">
        <v>46</v>
      </c>
      <c r="G1826" t="s">
        <v>32</v>
      </c>
      <c r="H1826" t="s">
        <v>55</v>
      </c>
      <c r="I1826" t="s">
        <v>34</v>
      </c>
      <c r="J1826" t="s">
        <v>70</v>
      </c>
      <c r="K1826" s="2">
        <v>27811</v>
      </c>
      <c r="L1826" t="s">
        <v>36</v>
      </c>
      <c r="M1826" t="s">
        <v>48</v>
      </c>
      <c r="N1826" t="s">
        <v>84</v>
      </c>
      <c r="O1826" t="s">
        <v>61</v>
      </c>
      <c r="P1826" t="s">
        <v>40</v>
      </c>
      <c r="Q1826">
        <v>1</v>
      </c>
      <c r="R1826" s="2">
        <v>44846</v>
      </c>
      <c r="S1826">
        <v>4</v>
      </c>
      <c r="T1826">
        <v>4</v>
      </c>
      <c r="U1826">
        <v>2</v>
      </c>
      <c r="V1826" s="1">
        <v>45029</v>
      </c>
      <c r="W1826" t="s">
        <v>68</v>
      </c>
      <c r="X1826" t="s">
        <v>42</v>
      </c>
      <c r="Y1826" t="s">
        <v>73</v>
      </c>
      <c r="Z1826">
        <v>1</v>
      </c>
      <c r="AA1826">
        <v>927.52</v>
      </c>
      <c r="AB1826">
        <v>46</v>
      </c>
    </row>
    <row r="1827" spans="1:28" x14ac:dyDescent="0.2">
      <c r="A1827">
        <v>2349</v>
      </c>
      <c r="B1827" s="1">
        <v>44952</v>
      </c>
      <c r="C1827" t="s">
        <v>113</v>
      </c>
      <c r="D1827" t="s">
        <v>87</v>
      </c>
      <c r="E1827" t="s">
        <v>30</v>
      </c>
      <c r="F1827" t="s">
        <v>46</v>
      </c>
      <c r="G1827" t="s">
        <v>32</v>
      </c>
      <c r="H1827" t="s">
        <v>55</v>
      </c>
      <c r="I1827" t="s">
        <v>34</v>
      </c>
      <c r="J1827" t="s">
        <v>65</v>
      </c>
      <c r="K1827" s="2">
        <v>20609</v>
      </c>
      <c r="L1827" t="s">
        <v>36</v>
      </c>
      <c r="M1827" t="s">
        <v>48</v>
      </c>
      <c r="N1827" t="s">
        <v>72</v>
      </c>
      <c r="O1827" t="s">
        <v>39</v>
      </c>
      <c r="P1827" t="s">
        <v>40</v>
      </c>
      <c r="Q1827">
        <v>4</v>
      </c>
      <c r="R1827" s="2">
        <v>44870</v>
      </c>
      <c r="S1827">
        <v>5</v>
      </c>
      <c r="T1827">
        <v>5</v>
      </c>
      <c r="U1827">
        <v>1</v>
      </c>
      <c r="V1827" s="1">
        <v>45038</v>
      </c>
      <c r="W1827" t="s">
        <v>92</v>
      </c>
      <c r="X1827" t="s">
        <v>42</v>
      </c>
      <c r="Y1827" t="s">
        <v>63</v>
      </c>
      <c r="Z1827">
        <v>2</v>
      </c>
      <c r="AA1827">
        <v>317.31</v>
      </c>
      <c r="AB1827">
        <v>67</v>
      </c>
    </row>
    <row r="1828" spans="1:28" x14ac:dyDescent="0.2">
      <c r="A1828">
        <v>2350</v>
      </c>
      <c r="B1828" s="1">
        <v>43880</v>
      </c>
      <c r="C1828" t="s">
        <v>113</v>
      </c>
      <c r="D1828" t="s">
        <v>64</v>
      </c>
      <c r="E1828" t="s">
        <v>30</v>
      </c>
      <c r="F1828" t="s">
        <v>46</v>
      </c>
      <c r="G1828" t="s">
        <v>45</v>
      </c>
      <c r="H1828" t="s">
        <v>33</v>
      </c>
      <c r="I1828" t="s">
        <v>115</v>
      </c>
      <c r="J1828" t="s">
        <v>101</v>
      </c>
      <c r="K1828" s="2">
        <v>26778</v>
      </c>
      <c r="L1828" t="s">
        <v>36</v>
      </c>
      <c r="M1828" t="s">
        <v>48</v>
      </c>
      <c r="N1828" t="s">
        <v>72</v>
      </c>
      <c r="O1828" t="s">
        <v>77</v>
      </c>
      <c r="P1828" t="s">
        <v>40</v>
      </c>
      <c r="Q1828">
        <v>2</v>
      </c>
      <c r="R1828" s="2">
        <v>44797</v>
      </c>
      <c r="S1828">
        <v>1</v>
      </c>
      <c r="T1828">
        <v>4</v>
      </c>
      <c r="U1828">
        <v>5</v>
      </c>
      <c r="V1828" s="1">
        <v>44994</v>
      </c>
      <c r="W1828" t="s">
        <v>41</v>
      </c>
      <c r="X1828" t="s">
        <v>42</v>
      </c>
      <c r="Y1828" t="s">
        <v>43</v>
      </c>
      <c r="Z1828">
        <v>3</v>
      </c>
      <c r="AA1828">
        <v>858.34</v>
      </c>
      <c r="AB1828">
        <v>47</v>
      </c>
    </row>
    <row r="1829" spans="1:28" x14ac:dyDescent="0.2">
      <c r="A1829">
        <v>2351</v>
      </c>
      <c r="B1829" s="1">
        <v>43823</v>
      </c>
      <c r="C1829" t="s">
        <v>120</v>
      </c>
      <c r="D1829" t="s">
        <v>44</v>
      </c>
      <c r="E1829" t="s">
        <v>30</v>
      </c>
      <c r="F1829" t="s">
        <v>31</v>
      </c>
      <c r="G1829" t="s">
        <v>56</v>
      </c>
      <c r="H1829" t="s">
        <v>33</v>
      </c>
      <c r="I1829" t="s">
        <v>34</v>
      </c>
      <c r="J1829" t="s">
        <v>79</v>
      </c>
      <c r="K1829" s="2">
        <v>15764</v>
      </c>
      <c r="L1829" t="s">
        <v>36</v>
      </c>
      <c r="M1829" t="s">
        <v>48</v>
      </c>
      <c r="N1829" t="s">
        <v>49</v>
      </c>
      <c r="O1829" t="s">
        <v>39</v>
      </c>
      <c r="P1829" t="s">
        <v>40</v>
      </c>
      <c r="Q1829">
        <v>4</v>
      </c>
      <c r="R1829" s="2">
        <v>44978</v>
      </c>
      <c r="S1829">
        <v>3</v>
      </c>
      <c r="T1829">
        <v>3</v>
      </c>
      <c r="U1829">
        <v>5</v>
      </c>
      <c r="V1829" s="1">
        <v>44996</v>
      </c>
      <c r="W1829" t="s">
        <v>92</v>
      </c>
      <c r="X1829" t="s">
        <v>42</v>
      </c>
      <c r="Y1829" t="s">
        <v>52</v>
      </c>
      <c r="Z1829">
        <v>4</v>
      </c>
      <c r="AA1829">
        <v>173.96</v>
      </c>
      <c r="AB1829">
        <v>76</v>
      </c>
    </row>
    <row r="1830" spans="1:28" x14ac:dyDescent="0.2">
      <c r="A1830">
        <v>2352</v>
      </c>
      <c r="B1830" s="1">
        <v>44120</v>
      </c>
      <c r="C1830" t="s">
        <v>120</v>
      </c>
      <c r="D1830" t="s">
        <v>87</v>
      </c>
      <c r="E1830" t="s">
        <v>30</v>
      </c>
      <c r="F1830" t="s">
        <v>55</v>
      </c>
      <c r="G1830" t="s">
        <v>56</v>
      </c>
      <c r="H1830" t="s">
        <v>33</v>
      </c>
      <c r="I1830" t="s">
        <v>34</v>
      </c>
      <c r="J1830" t="s">
        <v>65</v>
      </c>
      <c r="K1830" s="2">
        <v>34334</v>
      </c>
      <c r="L1830" t="s">
        <v>36</v>
      </c>
      <c r="M1830" t="s">
        <v>48</v>
      </c>
      <c r="N1830" t="s">
        <v>38</v>
      </c>
      <c r="O1830" t="s">
        <v>39</v>
      </c>
      <c r="P1830" t="s">
        <v>40</v>
      </c>
      <c r="Q1830">
        <v>2</v>
      </c>
      <c r="R1830" s="2">
        <v>45118</v>
      </c>
      <c r="S1830">
        <v>2</v>
      </c>
      <c r="T1830">
        <v>3</v>
      </c>
      <c r="U1830">
        <v>3</v>
      </c>
      <c r="V1830" s="1">
        <v>44815</v>
      </c>
      <c r="W1830" t="s">
        <v>92</v>
      </c>
      <c r="X1830" t="s">
        <v>51</v>
      </c>
      <c r="Y1830" t="s">
        <v>63</v>
      </c>
      <c r="Z1830">
        <v>4</v>
      </c>
      <c r="AA1830">
        <v>889.07</v>
      </c>
      <c r="AB1830">
        <v>27</v>
      </c>
    </row>
    <row r="1831" spans="1:28" x14ac:dyDescent="0.2">
      <c r="A1831">
        <v>2353</v>
      </c>
      <c r="B1831" s="1">
        <v>43350</v>
      </c>
      <c r="C1831" t="s">
        <v>122</v>
      </c>
      <c r="D1831" t="s">
        <v>64</v>
      </c>
      <c r="E1831" t="s">
        <v>30</v>
      </c>
      <c r="F1831" t="s">
        <v>46</v>
      </c>
      <c r="G1831" t="s">
        <v>56</v>
      </c>
      <c r="H1831" t="s">
        <v>55</v>
      </c>
      <c r="I1831" t="s">
        <v>95</v>
      </c>
      <c r="J1831" t="s">
        <v>70</v>
      </c>
      <c r="K1831" s="2">
        <v>35637</v>
      </c>
      <c r="L1831" t="s">
        <v>36</v>
      </c>
      <c r="M1831" t="s">
        <v>37</v>
      </c>
      <c r="N1831" t="s">
        <v>49</v>
      </c>
      <c r="O1831" t="s">
        <v>67</v>
      </c>
      <c r="P1831" t="s">
        <v>40</v>
      </c>
      <c r="Q1831">
        <v>2</v>
      </c>
      <c r="R1831" s="2">
        <v>44851</v>
      </c>
      <c r="S1831">
        <v>2</v>
      </c>
      <c r="T1831">
        <v>4</v>
      </c>
      <c r="U1831">
        <v>3</v>
      </c>
      <c r="V1831" s="1">
        <v>45125</v>
      </c>
      <c r="W1831" t="s">
        <v>68</v>
      </c>
      <c r="X1831" t="s">
        <v>42</v>
      </c>
      <c r="Y1831" t="s">
        <v>43</v>
      </c>
      <c r="Z1831">
        <v>3</v>
      </c>
      <c r="AA1831">
        <v>198.56</v>
      </c>
      <c r="AB1831">
        <v>21</v>
      </c>
    </row>
    <row r="1832" spans="1:28" x14ac:dyDescent="0.2">
      <c r="A1832">
        <v>2354</v>
      </c>
      <c r="B1832" s="1">
        <v>44568</v>
      </c>
      <c r="C1832" t="s">
        <v>120</v>
      </c>
      <c r="D1832" t="s">
        <v>94</v>
      </c>
      <c r="E1832" t="s">
        <v>30</v>
      </c>
      <c r="F1832" t="s">
        <v>46</v>
      </c>
      <c r="G1832" t="s">
        <v>32</v>
      </c>
      <c r="H1832" t="s">
        <v>55</v>
      </c>
      <c r="I1832" t="s">
        <v>95</v>
      </c>
      <c r="J1832" t="s">
        <v>101</v>
      </c>
      <c r="K1832" s="2">
        <v>26178</v>
      </c>
      <c r="L1832" t="s">
        <v>36</v>
      </c>
      <c r="M1832" t="s">
        <v>37</v>
      </c>
      <c r="N1832" t="s">
        <v>38</v>
      </c>
      <c r="O1832" t="s">
        <v>77</v>
      </c>
      <c r="P1832" t="s">
        <v>40</v>
      </c>
      <c r="Q1832">
        <v>2</v>
      </c>
      <c r="R1832" s="2">
        <v>45087</v>
      </c>
      <c r="S1832">
        <v>5</v>
      </c>
      <c r="T1832">
        <v>1</v>
      </c>
      <c r="U1832">
        <v>1</v>
      </c>
      <c r="V1832" s="1">
        <v>45090</v>
      </c>
      <c r="W1832" t="s">
        <v>92</v>
      </c>
      <c r="X1832" t="s">
        <v>51</v>
      </c>
      <c r="Y1832" t="s">
        <v>63</v>
      </c>
      <c r="Z1832">
        <v>5</v>
      </c>
      <c r="AA1832">
        <v>572.14</v>
      </c>
      <c r="AB1832">
        <v>51</v>
      </c>
    </row>
    <row r="1833" spans="1:28" x14ac:dyDescent="0.2">
      <c r="A1833">
        <v>2355</v>
      </c>
      <c r="B1833" s="1">
        <v>43549</v>
      </c>
      <c r="C1833" t="s">
        <v>120</v>
      </c>
      <c r="D1833" t="s">
        <v>74</v>
      </c>
      <c r="E1833" t="s">
        <v>30</v>
      </c>
      <c r="F1833" t="s">
        <v>31</v>
      </c>
      <c r="G1833" t="s">
        <v>32</v>
      </c>
      <c r="H1833" t="s">
        <v>33</v>
      </c>
      <c r="I1833" t="s">
        <v>95</v>
      </c>
      <c r="J1833" t="s">
        <v>70</v>
      </c>
      <c r="K1833" s="2">
        <v>15723</v>
      </c>
      <c r="L1833" t="s">
        <v>36</v>
      </c>
      <c r="M1833" t="s">
        <v>48</v>
      </c>
      <c r="N1833" t="s">
        <v>84</v>
      </c>
      <c r="O1833" t="s">
        <v>61</v>
      </c>
      <c r="P1833" t="s">
        <v>40</v>
      </c>
      <c r="Q1833">
        <v>1</v>
      </c>
      <c r="R1833" s="2">
        <v>44880</v>
      </c>
      <c r="S1833">
        <v>1</v>
      </c>
      <c r="T1833">
        <v>1</v>
      </c>
      <c r="U1833">
        <v>4</v>
      </c>
      <c r="V1833" s="1">
        <v>45123</v>
      </c>
      <c r="W1833" t="s">
        <v>50</v>
      </c>
      <c r="X1833" t="s">
        <v>51</v>
      </c>
      <c r="Y1833" t="s">
        <v>43</v>
      </c>
      <c r="Z1833">
        <v>3</v>
      </c>
      <c r="AA1833">
        <v>945.93</v>
      </c>
      <c r="AB1833">
        <v>76</v>
      </c>
    </row>
    <row r="1834" spans="1:28" x14ac:dyDescent="0.2">
      <c r="A1834">
        <v>2356</v>
      </c>
      <c r="B1834" s="1">
        <v>44518</v>
      </c>
      <c r="C1834" t="s">
        <v>120</v>
      </c>
      <c r="D1834" t="s">
        <v>81</v>
      </c>
      <c r="E1834" t="s">
        <v>30</v>
      </c>
      <c r="F1834" t="s">
        <v>46</v>
      </c>
      <c r="G1834" t="s">
        <v>32</v>
      </c>
      <c r="H1834" t="s">
        <v>33</v>
      </c>
      <c r="I1834" t="s">
        <v>95</v>
      </c>
      <c r="J1834" t="s">
        <v>102</v>
      </c>
      <c r="K1834" s="2">
        <v>20284</v>
      </c>
      <c r="L1834" t="s">
        <v>36</v>
      </c>
      <c r="M1834" t="s">
        <v>48</v>
      </c>
      <c r="N1834" t="s">
        <v>72</v>
      </c>
      <c r="O1834" t="s">
        <v>61</v>
      </c>
      <c r="P1834" t="s">
        <v>40</v>
      </c>
      <c r="Q1834">
        <v>4</v>
      </c>
      <c r="R1834" s="2">
        <v>44992</v>
      </c>
      <c r="S1834">
        <v>4</v>
      </c>
      <c r="T1834">
        <v>1</v>
      </c>
      <c r="U1834">
        <v>1</v>
      </c>
      <c r="V1834" s="1">
        <v>45071</v>
      </c>
      <c r="W1834" t="s">
        <v>68</v>
      </c>
      <c r="X1834" t="s">
        <v>51</v>
      </c>
      <c r="Y1834" t="s">
        <v>73</v>
      </c>
      <c r="Z1834">
        <v>4</v>
      </c>
      <c r="AA1834">
        <v>668.66</v>
      </c>
      <c r="AB1834">
        <v>66</v>
      </c>
    </row>
    <row r="1835" spans="1:28" x14ac:dyDescent="0.2">
      <c r="A1835">
        <v>2357</v>
      </c>
      <c r="B1835" s="1">
        <v>44926</v>
      </c>
      <c r="C1835" t="s">
        <v>133</v>
      </c>
      <c r="D1835" t="s">
        <v>54</v>
      </c>
      <c r="E1835" t="s">
        <v>30</v>
      </c>
      <c r="F1835" t="s">
        <v>31</v>
      </c>
      <c r="G1835" t="s">
        <v>56</v>
      </c>
      <c r="H1835" t="s">
        <v>33</v>
      </c>
      <c r="I1835" t="s">
        <v>34</v>
      </c>
      <c r="J1835" t="s">
        <v>65</v>
      </c>
      <c r="K1835" s="2">
        <v>15964</v>
      </c>
      <c r="L1835" t="s">
        <v>36</v>
      </c>
      <c r="M1835" t="s">
        <v>37</v>
      </c>
      <c r="N1835" t="s">
        <v>72</v>
      </c>
      <c r="O1835" t="s">
        <v>67</v>
      </c>
      <c r="P1835" t="s">
        <v>40</v>
      </c>
      <c r="Q1835">
        <v>1</v>
      </c>
      <c r="R1835" s="2">
        <v>44877</v>
      </c>
      <c r="S1835">
        <v>1</v>
      </c>
      <c r="T1835">
        <v>2</v>
      </c>
      <c r="U1835">
        <v>3</v>
      </c>
      <c r="V1835" s="1">
        <v>45063</v>
      </c>
      <c r="W1835" t="s">
        <v>41</v>
      </c>
      <c r="X1835" t="s">
        <v>42</v>
      </c>
      <c r="Y1835" t="s">
        <v>43</v>
      </c>
      <c r="Z1835">
        <v>3</v>
      </c>
      <c r="AA1835">
        <v>483.49</v>
      </c>
      <c r="AB1835">
        <v>79</v>
      </c>
    </row>
    <row r="1836" spans="1:28" x14ac:dyDescent="0.2">
      <c r="A1836">
        <v>2358</v>
      </c>
      <c r="B1836" s="1">
        <v>43965</v>
      </c>
      <c r="C1836" t="s">
        <v>133</v>
      </c>
      <c r="D1836" t="s">
        <v>94</v>
      </c>
      <c r="E1836" t="s">
        <v>30</v>
      </c>
      <c r="F1836" t="s">
        <v>46</v>
      </c>
      <c r="G1836" t="s">
        <v>56</v>
      </c>
      <c r="H1836" t="s">
        <v>33</v>
      </c>
      <c r="I1836" t="s">
        <v>34</v>
      </c>
      <c r="J1836" t="s">
        <v>82</v>
      </c>
      <c r="K1836" s="2">
        <v>34048</v>
      </c>
      <c r="L1836" t="s">
        <v>36</v>
      </c>
      <c r="M1836" t="s">
        <v>48</v>
      </c>
      <c r="N1836" t="s">
        <v>72</v>
      </c>
      <c r="O1836" t="s">
        <v>67</v>
      </c>
      <c r="P1836" t="s">
        <v>40</v>
      </c>
      <c r="Q1836">
        <v>4</v>
      </c>
      <c r="R1836" s="2">
        <v>44811</v>
      </c>
      <c r="S1836">
        <v>5</v>
      </c>
      <c r="T1836">
        <v>3</v>
      </c>
      <c r="U1836">
        <v>3</v>
      </c>
      <c r="V1836" s="1">
        <v>45030</v>
      </c>
      <c r="W1836" t="s">
        <v>62</v>
      </c>
      <c r="X1836" t="s">
        <v>51</v>
      </c>
      <c r="Y1836" t="s">
        <v>52</v>
      </c>
      <c r="Z1836">
        <v>3</v>
      </c>
      <c r="AA1836">
        <v>164.22</v>
      </c>
      <c r="AB1836">
        <v>27</v>
      </c>
    </row>
    <row r="1837" spans="1:28" x14ac:dyDescent="0.2">
      <c r="A1837">
        <v>2359</v>
      </c>
      <c r="B1837" s="1">
        <v>44178</v>
      </c>
      <c r="C1837" t="s">
        <v>133</v>
      </c>
      <c r="D1837" t="s">
        <v>85</v>
      </c>
      <c r="E1837" t="s">
        <v>30</v>
      </c>
      <c r="F1837" t="s">
        <v>55</v>
      </c>
      <c r="G1837" t="s">
        <v>56</v>
      </c>
      <c r="H1837" t="s">
        <v>46</v>
      </c>
      <c r="I1837" t="s">
        <v>34</v>
      </c>
      <c r="J1837" t="s">
        <v>79</v>
      </c>
      <c r="K1837" s="2">
        <v>35247</v>
      </c>
      <c r="L1837" t="s">
        <v>36</v>
      </c>
      <c r="M1837" t="s">
        <v>37</v>
      </c>
      <c r="N1837" t="s">
        <v>60</v>
      </c>
      <c r="O1837" t="s">
        <v>67</v>
      </c>
      <c r="P1837" t="s">
        <v>40</v>
      </c>
      <c r="Q1837">
        <v>2</v>
      </c>
      <c r="R1837" s="2">
        <v>45115</v>
      </c>
      <c r="S1837">
        <v>4</v>
      </c>
      <c r="T1837">
        <v>4</v>
      </c>
      <c r="U1837">
        <v>3</v>
      </c>
      <c r="V1837" s="1">
        <v>45076</v>
      </c>
      <c r="W1837" t="s">
        <v>68</v>
      </c>
      <c r="X1837" t="s">
        <v>51</v>
      </c>
      <c r="Y1837" t="s">
        <v>43</v>
      </c>
      <c r="Z1837">
        <v>3</v>
      </c>
      <c r="AA1837">
        <v>850.73</v>
      </c>
      <c r="AB1837">
        <v>24</v>
      </c>
    </row>
    <row r="1838" spans="1:28" x14ac:dyDescent="0.2">
      <c r="A1838">
        <v>2360</v>
      </c>
      <c r="B1838" s="1">
        <v>44516</v>
      </c>
      <c r="C1838" t="s">
        <v>133</v>
      </c>
      <c r="D1838" t="s">
        <v>64</v>
      </c>
      <c r="E1838" t="s">
        <v>108</v>
      </c>
      <c r="F1838" t="s">
        <v>46</v>
      </c>
      <c r="G1838" t="s">
        <v>56</v>
      </c>
      <c r="H1838" t="s">
        <v>46</v>
      </c>
      <c r="I1838" t="s">
        <v>34</v>
      </c>
      <c r="J1838" t="s">
        <v>97</v>
      </c>
      <c r="K1838" s="2">
        <v>33152</v>
      </c>
      <c r="L1838" t="s">
        <v>36</v>
      </c>
      <c r="M1838" t="s">
        <v>37</v>
      </c>
      <c r="N1838" t="s">
        <v>84</v>
      </c>
      <c r="O1838" t="s">
        <v>39</v>
      </c>
      <c r="P1838" t="s">
        <v>40</v>
      </c>
      <c r="Q1838">
        <v>1</v>
      </c>
      <c r="R1838" s="2">
        <v>44964</v>
      </c>
      <c r="S1838">
        <v>4</v>
      </c>
      <c r="T1838">
        <v>4</v>
      </c>
      <c r="U1838">
        <v>3</v>
      </c>
      <c r="V1838" s="1">
        <v>44847</v>
      </c>
      <c r="W1838" t="s">
        <v>62</v>
      </c>
      <c r="X1838" t="s">
        <v>42</v>
      </c>
      <c r="Y1838" t="s">
        <v>73</v>
      </c>
      <c r="Z1838">
        <v>1</v>
      </c>
      <c r="AA1838">
        <v>400.62</v>
      </c>
      <c r="AB1838">
        <v>31</v>
      </c>
    </row>
    <row r="1839" spans="1:28" x14ac:dyDescent="0.2">
      <c r="A1839">
        <v>2361</v>
      </c>
      <c r="B1839" s="1">
        <v>44896</v>
      </c>
      <c r="C1839" t="s">
        <v>133</v>
      </c>
      <c r="D1839" t="s">
        <v>74</v>
      </c>
      <c r="E1839" t="s">
        <v>108</v>
      </c>
      <c r="F1839" t="s">
        <v>55</v>
      </c>
      <c r="G1839" t="s">
        <v>32</v>
      </c>
      <c r="H1839" t="s">
        <v>55</v>
      </c>
      <c r="I1839" t="s">
        <v>34</v>
      </c>
      <c r="J1839" t="s">
        <v>96</v>
      </c>
      <c r="K1839" s="2">
        <v>35404</v>
      </c>
      <c r="L1839" t="s">
        <v>36</v>
      </c>
      <c r="M1839" t="s">
        <v>37</v>
      </c>
      <c r="N1839" t="s">
        <v>84</v>
      </c>
      <c r="O1839" t="s">
        <v>77</v>
      </c>
      <c r="P1839" t="s">
        <v>40</v>
      </c>
      <c r="Q1839">
        <v>2</v>
      </c>
      <c r="R1839" s="2">
        <v>44969</v>
      </c>
      <c r="S1839">
        <v>4</v>
      </c>
      <c r="T1839">
        <v>4</v>
      </c>
      <c r="U1839">
        <v>2</v>
      </c>
      <c r="V1839" s="1">
        <v>44812</v>
      </c>
      <c r="W1839" t="s">
        <v>50</v>
      </c>
      <c r="X1839" t="s">
        <v>51</v>
      </c>
      <c r="Y1839" t="s">
        <v>43</v>
      </c>
      <c r="Z1839">
        <v>4</v>
      </c>
      <c r="AA1839">
        <v>148.29</v>
      </c>
      <c r="AB1839">
        <v>26</v>
      </c>
    </row>
    <row r="1840" spans="1:28" x14ac:dyDescent="0.2">
      <c r="A1840">
        <v>2362</v>
      </c>
      <c r="B1840" s="1">
        <v>44134</v>
      </c>
      <c r="C1840" t="s">
        <v>133</v>
      </c>
      <c r="D1840" t="s">
        <v>69</v>
      </c>
      <c r="E1840" t="s">
        <v>30</v>
      </c>
      <c r="F1840" t="s">
        <v>55</v>
      </c>
      <c r="G1840" t="s">
        <v>32</v>
      </c>
      <c r="H1840" t="s">
        <v>46</v>
      </c>
      <c r="I1840" t="s">
        <v>34</v>
      </c>
      <c r="J1840" t="s">
        <v>70</v>
      </c>
      <c r="K1840" s="2">
        <v>27155</v>
      </c>
      <c r="L1840" t="s">
        <v>36</v>
      </c>
      <c r="M1840" t="s">
        <v>37</v>
      </c>
      <c r="N1840" t="s">
        <v>84</v>
      </c>
      <c r="O1840" t="s">
        <v>67</v>
      </c>
      <c r="P1840" t="s">
        <v>40</v>
      </c>
      <c r="Q1840">
        <v>2</v>
      </c>
      <c r="R1840" s="2">
        <v>44947</v>
      </c>
      <c r="S1840">
        <v>5</v>
      </c>
      <c r="T1840">
        <v>4</v>
      </c>
      <c r="U1840">
        <v>5</v>
      </c>
      <c r="V1840" s="1">
        <v>44963</v>
      </c>
      <c r="W1840" t="s">
        <v>62</v>
      </c>
      <c r="X1840" t="s">
        <v>42</v>
      </c>
      <c r="Y1840" t="s">
        <v>52</v>
      </c>
      <c r="Z1840">
        <v>3</v>
      </c>
      <c r="AA1840">
        <v>543.65</v>
      </c>
      <c r="AB1840">
        <v>46</v>
      </c>
    </row>
    <row r="1841" spans="1:28" x14ac:dyDescent="0.2">
      <c r="A1841">
        <v>2363</v>
      </c>
      <c r="B1841" s="1">
        <v>44235</v>
      </c>
      <c r="C1841" t="s">
        <v>133</v>
      </c>
      <c r="D1841" t="s">
        <v>29</v>
      </c>
      <c r="E1841" t="s">
        <v>30</v>
      </c>
      <c r="F1841" t="s">
        <v>55</v>
      </c>
      <c r="G1841" t="s">
        <v>32</v>
      </c>
      <c r="H1841" t="s">
        <v>33</v>
      </c>
      <c r="I1841" t="s">
        <v>34</v>
      </c>
      <c r="J1841" t="s">
        <v>101</v>
      </c>
      <c r="K1841" s="2">
        <v>30364</v>
      </c>
      <c r="L1841" t="s">
        <v>36</v>
      </c>
      <c r="M1841" t="s">
        <v>37</v>
      </c>
      <c r="N1841" t="s">
        <v>49</v>
      </c>
      <c r="O1841" t="s">
        <v>39</v>
      </c>
      <c r="P1841" t="s">
        <v>40</v>
      </c>
      <c r="Q1841">
        <v>2</v>
      </c>
      <c r="R1841" s="2">
        <v>45123</v>
      </c>
      <c r="S1841">
        <v>2</v>
      </c>
      <c r="T1841">
        <v>5</v>
      </c>
      <c r="U1841">
        <v>1</v>
      </c>
      <c r="V1841" s="1">
        <v>44961</v>
      </c>
      <c r="W1841" t="s">
        <v>92</v>
      </c>
      <c r="X1841" t="s">
        <v>51</v>
      </c>
      <c r="Y1841" t="s">
        <v>52</v>
      </c>
      <c r="Z1841">
        <v>3</v>
      </c>
      <c r="AA1841">
        <v>282.26</v>
      </c>
      <c r="AB1841">
        <v>38</v>
      </c>
    </row>
    <row r="1842" spans="1:28" x14ac:dyDescent="0.2">
      <c r="A1842">
        <v>2364</v>
      </c>
      <c r="B1842" s="1">
        <v>43682</v>
      </c>
      <c r="C1842" t="s">
        <v>133</v>
      </c>
      <c r="D1842" t="s">
        <v>44</v>
      </c>
      <c r="E1842" t="s">
        <v>30</v>
      </c>
      <c r="F1842" t="s">
        <v>55</v>
      </c>
      <c r="G1842" t="s">
        <v>45</v>
      </c>
      <c r="H1842" t="s">
        <v>33</v>
      </c>
      <c r="I1842" t="s">
        <v>34</v>
      </c>
      <c r="J1842" t="s">
        <v>70</v>
      </c>
      <c r="K1842" s="2">
        <v>22152</v>
      </c>
      <c r="L1842" t="s">
        <v>36</v>
      </c>
      <c r="M1842" t="s">
        <v>48</v>
      </c>
      <c r="N1842" t="s">
        <v>72</v>
      </c>
      <c r="O1842" t="s">
        <v>39</v>
      </c>
      <c r="P1842" t="s">
        <v>40</v>
      </c>
      <c r="Q1842">
        <v>5</v>
      </c>
      <c r="R1842" s="2">
        <v>44959</v>
      </c>
      <c r="S1842">
        <v>4</v>
      </c>
      <c r="T1842">
        <v>2</v>
      </c>
      <c r="U1842">
        <v>4</v>
      </c>
      <c r="V1842" s="1">
        <v>44899</v>
      </c>
      <c r="W1842" t="s">
        <v>62</v>
      </c>
      <c r="X1842" t="s">
        <v>51</v>
      </c>
      <c r="Y1842" t="s">
        <v>63</v>
      </c>
      <c r="Z1842">
        <v>3</v>
      </c>
      <c r="AA1842">
        <v>123.81</v>
      </c>
      <c r="AB1842">
        <v>59</v>
      </c>
    </row>
    <row r="1843" spans="1:28" x14ac:dyDescent="0.2">
      <c r="A1843">
        <v>2365</v>
      </c>
      <c r="B1843" s="1">
        <v>43433</v>
      </c>
      <c r="C1843" t="s">
        <v>133</v>
      </c>
      <c r="D1843" t="s">
        <v>87</v>
      </c>
      <c r="E1843" t="s">
        <v>108</v>
      </c>
      <c r="F1843" t="s">
        <v>31</v>
      </c>
      <c r="G1843" t="s">
        <v>45</v>
      </c>
      <c r="H1843" t="s">
        <v>33</v>
      </c>
      <c r="I1843" t="s">
        <v>34</v>
      </c>
      <c r="J1843" t="s">
        <v>79</v>
      </c>
      <c r="K1843" s="2">
        <v>19596</v>
      </c>
      <c r="L1843" t="s">
        <v>36</v>
      </c>
      <c r="M1843" t="s">
        <v>37</v>
      </c>
      <c r="N1843" t="s">
        <v>72</v>
      </c>
      <c r="O1843" t="s">
        <v>67</v>
      </c>
      <c r="P1843" t="s">
        <v>40</v>
      </c>
      <c r="Q1843">
        <v>1</v>
      </c>
      <c r="R1843" s="2">
        <v>44811</v>
      </c>
      <c r="S1843">
        <v>1</v>
      </c>
      <c r="T1843">
        <v>1</v>
      </c>
      <c r="U1843">
        <v>1</v>
      </c>
      <c r="V1843" s="1">
        <v>44784</v>
      </c>
      <c r="W1843" t="s">
        <v>92</v>
      </c>
      <c r="X1843" t="s">
        <v>51</v>
      </c>
      <c r="Y1843" t="s">
        <v>73</v>
      </c>
      <c r="Z1843">
        <v>5</v>
      </c>
      <c r="AA1843">
        <v>355.8</v>
      </c>
      <c r="AB1843">
        <v>65</v>
      </c>
    </row>
    <row r="1844" spans="1:28" x14ac:dyDescent="0.2">
      <c r="A1844">
        <v>2366</v>
      </c>
      <c r="B1844" s="1">
        <v>43420</v>
      </c>
      <c r="C1844" t="s">
        <v>133</v>
      </c>
      <c r="D1844" t="s">
        <v>81</v>
      </c>
      <c r="E1844" t="s">
        <v>108</v>
      </c>
      <c r="F1844" t="s">
        <v>55</v>
      </c>
      <c r="G1844" t="s">
        <v>56</v>
      </c>
      <c r="H1844" t="s">
        <v>46</v>
      </c>
      <c r="I1844" t="s">
        <v>34</v>
      </c>
      <c r="J1844" t="s">
        <v>97</v>
      </c>
      <c r="K1844" s="2">
        <v>16275</v>
      </c>
      <c r="L1844" t="s">
        <v>36</v>
      </c>
      <c r="M1844" t="s">
        <v>37</v>
      </c>
      <c r="N1844" t="s">
        <v>84</v>
      </c>
      <c r="O1844" t="s">
        <v>77</v>
      </c>
      <c r="P1844" t="s">
        <v>40</v>
      </c>
      <c r="Q1844">
        <v>2</v>
      </c>
      <c r="R1844" s="2">
        <v>45046</v>
      </c>
      <c r="S1844">
        <v>4</v>
      </c>
      <c r="T1844">
        <v>2</v>
      </c>
      <c r="U1844">
        <v>5</v>
      </c>
      <c r="V1844" s="1">
        <v>44789</v>
      </c>
      <c r="W1844" t="s">
        <v>62</v>
      </c>
      <c r="X1844" t="s">
        <v>42</v>
      </c>
      <c r="Y1844" t="s">
        <v>52</v>
      </c>
      <c r="Z1844">
        <v>3</v>
      </c>
      <c r="AA1844">
        <v>184.59</v>
      </c>
      <c r="AB1844">
        <v>74</v>
      </c>
    </row>
    <row r="1845" spans="1:28" x14ac:dyDescent="0.2">
      <c r="A1845">
        <v>2367</v>
      </c>
      <c r="B1845" s="1">
        <v>44066</v>
      </c>
      <c r="C1845" t="s">
        <v>133</v>
      </c>
      <c r="D1845" t="s">
        <v>54</v>
      </c>
      <c r="E1845" t="s">
        <v>30</v>
      </c>
      <c r="F1845" t="s">
        <v>31</v>
      </c>
      <c r="G1845" t="s">
        <v>32</v>
      </c>
      <c r="H1845" t="s">
        <v>46</v>
      </c>
      <c r="I1845" t="s">
        <v>34</v>
      </c>
      <c r="J1845" t="s">
        <v>101</v>
      </c>
      <c r="K1845" s="2">
        <v>21760</v>
      </c>
      <c r="L1845" t="s">
        <v>36</v>
      </c>
      <c r="M1845" t="s">
        <v>37</v>
      </c>
      <c r="N1845" t="s">
        <v>49</v>
      </c>
      <c r="O1845" t="s">
        <v>39</v>
      </c>
      <c r="P1845" t="s">
        <v>40</v>
      </c>
      <c r="Q1845">
        <v>5</v>
      </c>
      <c r="R1845" s="2">
        <v>44860</v>
      </c>
      <c r="S1845">
        <v>3</v>
      </c>
      <c r="T1845">
        <v>2</v>
      </c>
      <c r="U1845">
        <v>5</v>
      </c>
      <c r="V1845" s="1">
        <v>45043</v>
      </c>
      <c r="W1845" t="s">
        <v>62</v>
      </c>
      <c r="X1845" t="s">
        <v>42</v>
      </c>
      <c r="Y1845" t="s">
        <v>63</v>
      </c>
      <c r="Z1845">
        <v>3</v>
      </c>
      <c r="AA1845">
        <v>249.77</v>
      </c>
      <c r="AB1845">
        <v>61</v>
      </c>
    </row>
    <row r="1846" spans="1:28" x14ac:dyDescent="0.2">
      <c r="A1846">
        <v>2368</v>
      </c>
      <c r="B1846" s="1">
        <v>44065</v>
      </c>
      <c r="C1846" t="s">
        <v>136</v>
      </c>
      <c r="D1846" t="s">
        <v>94</v>
      </c>
      <c r="E1846" t="s">
        <v>30</v>
      </c>
      <c r="F1846" t="s">
        <v>55</v>
      </c>
      <c r="G1846" t="s">
        <v>56</v>
      </c>
      <c r="H1846" t="s">
        <v>33</v>
      </c>
      <c r="I1846" t="s">
        <v>34</v>
      </c>
      <c r="J1846" t="s">
        <v>101</v>
      </c>
      <c r="K1846" s="2">
        <v>18353</v>
      </c>
      <c r="L1846" t="s">
        <v>36</v>
      </c>
      <c r="M1846" t="s">
        <v>37</v>
      </c>
      <c r="N1846" t="s">
        <v>38</v>
      </c>
      <c r="O1846" t="s">
        <v>61</v>
      </c>
      <c r="P1846" t="s">
        <v>40</v>
      </c>
      <c r="Q1846">
        <v>1</v>
      </c>
      <c r="R1846" s="2">
        <v>44871</v>
      </c>
      <c r="S1846">
        <v>5</v>
      </c>
      <c r="T1846">
        <v>2</v>
      </c>
      <c r="U1846">
        <v>1</v>
      </c>
      <c r="V1846" s="1">
        <v>45015</v>
      </c>
      <c r="W1846" t="s">
        <v>68</v>
      </c>
      <c r="X1846" t="s">
        <v>51</v>
      </c>
      <c r="Y1846" t="s">
        <v>63</v>
      </c>
      <c r="Z1846">
        <v>4</v>
      </c>
      <c r="AA1846">
        <v>285.54000000000002</v>
      </c>
      <c r="AB1846">
        <v>70</v>
      </c>
    </row>
    <row r="1847" spans="1:28" x14ac:dyDescent="0.2">
      <c r="A1847">
        <v>2369</v>
      </c>
      <c r="B1847" s="1">
        <v>44488</v>
      </c>
      <c r="C1847" t="s">
        <v>113</v>
      </c>
      <c r="D1847" t="s">
        <v>85</v>
      </c>
      <c r="E1847" t="s">
        <v>30</v>
      </c>
      <c r="F1847" t="s">
        <v>46</v>
      </c>
      <c r="G1847" t="s">
        <v>56</v>
      </c>
      <c r="H1847" t="s">
        <v>55</v>
      </c>
      <c r="I1847" t="s">
        <v>34</v>
      </c>
      <c r="J1847" t="s">
        <v>70</v>
      </c>
      <c r="K1847" s="2">
        <v>32036</v>
      </c>
      <c r="L1847" t="s">
        <v>36</v>
      </c>
      <c r="M1847" t="s">
        <v>48</v>
      </c>
      <c r="N1847" t="s">
        <v>60</v>
      </c>
      <c r="O1847" t="s">
        <v>77</v>
      </c>
      <c r="P1847" t="s">
        <v>40</v>
      </c>
      <c r="Q1847">
        <v>5</v>
      </c>
      <c r="R1847" s="2">
        <v>44975</v>
      </c>
      <c r="S1847">
        <v>5</v>
      </c>
      <c r="T1847">
        <v>2</v>
      </c>
      <c r="U1847">
        <v>4</v>
      </c>
      <c r="V1847" s="1">
        <v>45133</v>
      </c>
      <c r="W1847" t="s">
        <v>41</v>
      </c>
      <c r="X1847" t="s">
        <v>51</v>
      </c>
      <c r="Y1847" t="s">
        <v>43</v>
      </c>
      <c r="Z1847">
        <v>5</v>
      </c>
      <c r="AA1847">
        <v>711.15</v>
      </c>
      <c r="AB1847">
        <v>34</v>
      </c>
    </row>
    <row r="1848" spans="1:28" x14ac:dyDescent="0.2">
      <c r="A1848">
        <v>2370</v>
      </c>
      <c r="B1848" s="1">
        <v>43882</v>
      </c>
      <c r="C1848" t="s">
        <v>113</v>
      </c>
      <c r="D1848" t="s">
        <v>64</v>
      </c>
      <c r="E1848" t="s">
        <v>30</v>
      </c>
      <c r="F1848" t="s">
        <v>31</v>
      </c>
      <c r="G1848" t="s">
        <v>56</v>
      </c>
      <c r="H1848" t="s">
        <v>55</v>
      </c>
      <c r="I1848" t="s">
        <v>34</v>
      </c>
      <c r="J1848" t="s">
        <v>70</v>
      </c>
      <c r="K1848" s="2">
        <v>19024</v>
      </c>
      <c r="L1848" t="s">
        <v>36</v>
      </c>
      <c r="M1848" t="s">
        <v>48</v>
      </c>
      <c r="N1848" t="s">
        <v>60</v>
      </c>
      <c r="O1848" t="s">
        <v>39</v>
      </c>
      <c r="P1848" t="s">
        <v>40</v>
      </c>
      <c r="Q1848">
        <v>5</v>
      </c>
      <c r="R1848" s="2">
        <v>44837</v>
      </c>
      <c r="S1848">
        <v>1</v>
      </c>
      <c r="T1848">
        <v>2</v>
      </c>
      <c r="U1848">
        <v>4</v>
      </c>
      <c r="V1848" s="1">
        <v>45084</v>
      </c>
      <c r="W1848" t="s">
        <v>41</v>
      </c>
      <c r="X1848" t="s">
        <v>51</v>
      </c>
      <c r="Y1848" t="s">
        <v>52</v>
      </c>
      <c r="Z1848">
        <v>3</v>
      </c>
      <c r="AA1848">
        <v>644.97</v>
      </c>
      <c r="AB1848">
        <v>68</v>
      </c>
    </row>
    <row r="1849" spans="1:28" x14ac:dyDescent="0.2">
      <c r="A1849">
        <v>2371</v>
      </c>
      <c r="B1849" s="1">
        <v>44886</v>
      </c>
      <c r="C1849" t="s">
        <v>120</v>
      </c>
      <c r="D1849" t="s">
        <v>44</v>
      </c>
      <c r="E1849" t="s">
        <v>30</v>
      </c>
      <c r="F1849" t="s">
        <v>31</v>
      </c>
      <c r="G1849" t="s">
        <v>56</v>
      </c>
      <c r="H1849" t="s">
        <v>33</v>
      </c>
      <c r="I1849" t="s">
        <v>34</v>
      </c>
      <c r="J1849" t="s">
        <v>70</v>
      </c>
      <c r="K1849" s="2">
        <v>36676</v>
      </c>
      <c r="L1849" t="s">
        <v>36</v>
      </c>
      <c r="M1849" t="s">
        <v>48</v>
      </c>
      <c r="N1849" t="s">
        <v>38</v>
      </c>
      <c r="O1849" t="s">
        <v>67</v>
      </c>
      <c r="P1849" t="s">
        <v>40</v>
      </c>
      <c r="Q1849">
        <v>1</v>
      </c>
      <c r="R1849" s="2">
        <v>44936</v>
      </c>
      <c r="S1849">
        <v>2</v>
      </c>
      <c r="T1849">
        <v>1</v>
      </c>
      <c r="U1849">
        <v>5</v>
      </c>
      <c r="V1849" s="1">
        <v>45035</v>
      </c>
      <c r="W1849" t="s">
        <v>50</v>
      </c>
      <c r="X1849" t="s">
        <v>42</v>
      </c>
      <c r="Y1849" t="s">
        <v>73</v>
      </c>
      <c r="Z1849">
        <v>4</v>
      </c>
      <c r="AA1849">
        <v>133.56</v>
      </c>
      <c r="AB1849">
        <v>22</v>
      </c>
    </row>
    <row r="1850" spans="1:28" x14ac:dyDescent="0.2">
      <c r="A1850">
        <v>2372</v>
      </c>
      <c r="B1850" s="1">
        <v>43682</v>
      </c>
      <c r="C1850" t="s">
        <v>120</v>
      </c>
      <c r="D1850" t="s">
        <v>29</v>
      </c>
      <c r="E1850" t="s">
        <v>30</v>
      </c>
      <c r="F1850" t="s">
        <v>55</v>
      </c>
      <c r="G1850" t="s">
        <v>45</v>
      </c>
      <c r="H1850" t="s">
        <v>46</v>
      </c>
      <c r="I1850" t="s">
        <v>34</v>
      </c>
      <c r="J1850" t="s">
        <v>70</v>
      </c>
      <c r="K1850" s="2">
        <v>33673</v>
      </c>
      <c r="L1850" t="s">
        <v>36</v>
      </c>
      <c r="M1850" t="s">
        <v>37</v>
      </c>
      <c r="N1850" t="s">
        <v>49</v>
      </c>
      <c r="O1850" t="s">
        <v>61</v>
      </c>
      <c r="P1850" t="s">
        <v>40</v>
      </c>
      <c r="Q1850">
        <v>2</v>
      </c>
      <c r="R1850" s="2">
        <v>45140</v>
      </c>
      <c r="S1850">
        <v>3</v>
      </c>
      <c r="T1850">
        <v>4</v>
      </c>
      <c r="U1850">
        <v>5</v>
      </c>
      <c r="V1850" s="1">
        <v>44953</v>
      </c>
      <c r="W1850" t="s">
        <v>41</v>
      </c>
      <c r="X1850" t="s">
        <v>42</v>
      </c>
      <c r="Y1850" t="s">
        <v>63</v>
      </c>
      <c r="Z1850">
        <v>2</v>
      </c>
      <c r="AA1850">
        <v>784.93</v>
      </c>
      <c r="AB1850">
        <v>27</v>
      </c>
    </row>
    <row r="1851" spans="1:28" x14ac:dyDescent="0.2">
      <c r="A1851">
        <v>2373</v>
      </c>
      <c r="B1851" s="1">
        <v>44140</v>
      </c>
      <c r="C1851" t="s">
        <v>122</v>
      </c>
      <c r="D1851" t="s">
        <v>69</v>
      </c>
      <c r="E1851" t="s">
        <v>30</v>
      </c>
      <c r="F1851" t="s">
        <v>55</v>
      </c>
      <c r="G1851" t="s">
        <v>45</v>
      </c>
      <c r="H1851" t="s">
        <v>55</v>
      </c>
      <c r="I1851" t="s">
        <v>95</v>
      </c>
      <c r="J1851" t="s">
        <v>102</v>
      </c>
      <c r="K1851" s="2">
        <v>30246</v>
      </c>
      <c r="L1851" t="s">
        <v>36</v>
      </c>
      <c r="M1851" t="s">
        <v>37</v>
      </c>
      <c r="N1851" t="s">
        <v>60</v>
      </c>
      <c r="O1851" t="s">
        <v>77</v>
      </c>
      <c r="P1851" t="s">
        <v>40</v>
      </c>
      <c r="Q1851">
        <v>2</v>
      </c>
      <c r="R1851" s="2">
        <v>45128</v>
      </c>
      <c r="S1851">
        <v>3</v>
      </c>
      <c r="T1851">
        <v>5</v>
      </c>
      <c r="U1851">
        <v>5</v>
      </c>
      <c r="V1851" s="1">
        <v>44973</v>
      </c>
      <c r="W1851" t="s">
        <v>62</v>
      </c>
      <c r="X1851" t="s">
        <v>51</v>
      </c>
      <c r="Y1851" t="s">
        <v>63</v>
      </c>
      <c r="Z1851">
        <v>4</v>
      </c>
      <c r="AA1851">
        <v>801.63</v>
      </c>
      <c r="AB1851">
        <v>38</v>
      </c>
    </row>
    <row r="1852" spans="1:28" x14ac:dyDescent="0.2">
      <c r="A1852">
        <v>2374</v>
      </c>
      <c r="B1852" s="1">
        <v>44359</v>
      </c>
      <c r="C1852" t="s">
        <v>120</v>
      </c>
      <c r="D1852" t="s">
        <v>74</v>
      </c>
      <c r="E1852" t="s">
        <v>30</v>
      </c>
      <c r="F1852" t="s">
        <v>46</v>
      </c>
      <c r="G1852" t="s">
        <v>45</v>
      </c>
      <c r="H1852" t="s">
        <v>46</v>
      </c>
      <c r="I1852" t="s">
        <v>95</v>
      </c>
      <c r="J1852" t="s">
        <v>70</v>
      </c>
      <c r="K1852" s="2">
        <v>22867</v>
      </c>
      <c r="L1852" t="s">
        <v>36</v>
      </c>
      <c r="M1852" t="s">
        <v>37</v>
      </c>
      <c r="N1852" t="s">
        <v>84</v>
      </c>
      <c r="O1852" t="s">
        <v>77</v>
      </c>
      <c r="P1852" t="s">
        <v>40</v>
      </c>
      <c r="Q1852">
        <v>2</v>
      </c>
      <c r="R1852" s="2">
        <v>44942</v>
      </c>
      <c r="S1852">
        <v>1</v>
      </c>
      <c r="T1852">
        <v>2</v>
      </c>
      <c r="U1852">
        <v>1</v>
      </c>
      <c r="V1852" s="1">
        <v>45047</v>
      </c>
      <c r="W1852" t="s">
        <v>50</v>
      </c>
      <c r="X1852" t="s">
        <v>51</v>
      </c>
      <c r="Y1852" t="s">
        <v>52</v>
      </c>
      <c r="Z1852">
        <v>2</v>
      </c>
      <c r="AA1852">
        <v>650.48</v>
      </c>
      <c r="AB1852">
        <v>59</v>
      </c>
    </row>
    <row r="1853" spans="1:28" x14ac:dyDescent="0.2">
      <c r="A1853">
        <v>2375</v>
      </c>
      <c r="B1853" s="1">
        <v>43356</v>
      </c>
      <c r="C1853" t="s">
        <v>120</v>
      </c>
      <c r="D1853" t="s">
        <v>64</v>
      </c>
      <c r="E1853" t="s">
        <v>30</v>
      </c>
      <c r="F1853" t="s">
        <v>31</v>
      </c>
      <c r="G1853" t="s">
        <v>56</v>
      </c>
      <c r="H1853" t="s">
        <v>55</v>
      </c>
      <c r="I1853" t="s">
        <v>95</v>
      </c>
      <c r="J1853" t="s">
        <v>65</v>
      </c>
      <c r="K1853" s="2">
        <v>21491</v>
      </c>
      <c r="L1853" t="s">
        <v>36</v>
      </c>
      <c r="M1853" t="s">
        <v>48</v>
      </c>
      <c r="N1853" t="s">
        <v>72</v>
      </c>
      <c r="O1853" t="s">
        <v>61</v>
      </c>
      <c r="P1853" t="s">
        <v>40</v>
      </c>
      <c r="Q1853">
        <v>1</v>
      </c>
      <c r="R1853" s="2">
        <v>44787</v>
      </c>
      <c r="S1853">
        <v>2</v>
      </c>
      <c r="T1853">
        <v>4</v>
      </c>
      <c r="U1853">
        <v>2</v>
      </c>
      <c r="V1853" s="1">
        <v>44885</v>
      </c>
      <c r="W1853" t="s">
        <v>62</v>
      </c>
      <c r="X1853" t="s">
        <v>51</v>
      </c>
      <c r="Y1853" t="s">
        <v>43</v>
      </c>
      <c r="Z1853">
        <v>5</v>
      </c>
      <c r="AA1853">
        <v>770.33</v>
      </c>
      <c r="AB1853">
        <v>60</v>
      </c>
    </row>
    <row r="1854" spans="1:28" x14ac:dyDescent="0.2">
      <c r="A1854">
        <v>2376</v>
      </c>
      <c r="B1854" s="1">
        <v>45025</v>
      </c>
      <c r="C1854" t="s">
        <v>133</v>
      </c>
      <c r="D1854" t="s">
        <v>29</v>
      </c>
      <c r="E1854" t="s">
        <v>30</v>
      </c>
      <c r="F1854" t="s">
        <v>55</v>
      </c>
      <c r="G1854" t="s">
        <v>45</v>
      </c>
      <c r="H1854" t="s">
        <v>33</v>
      </c>
      <c r="I1854" t="s">
        <v>34</v>
      </c>
      <c r="J1854" t="s">
        <v>70</v>
      </c>
      <c r="K1854" s="2">
        <v>30599</v>
      </c>
      <c r="L1854" t="s">
        <v>36</v>
      </c>
      <c r="M1854" t="s">
        <v>37</v>
      </c>
      <c r="N1854" t="s">
        <v>84</v>
      </c>
      <c r="O1854" t="s">
        <v>77</v>
      </c>
      <c r="P1854" t="s">
        <v>40</v>
      </c>
      <c r="Q1854">
        <v>4</v>
      </c>
      <c r="R1854" s="2">
        <v>44902</v>
      </c>
      <c r="S1854">
        <v>5</v>
      </c>
      <c r="T1854">
        <v>2</v>
      </c>
      <c r="U1854">
        <v>4</v>
      </c>
      <c r="V1854" s="1">
        <v>45042</v>
      </c>
      <c r="W1854" t="s">
        <v>92</v>
      </c>
      <c r="X1854" t="s">
        <v>42</v>
      </c>
      <c r="Y1854" t="s">
        <v>63</v>
      </c>
      <c r="Z1854">
        <v>5</v>
      </c>
      <c r="AA1854">
        <v>755.69</v>
      </c>
      <c r="AB1854">
        <v>40</v>
      </c>
    </row>
    <row r="1855" spans="1:28" x14ac:dyDescent="0.2">
      <c r="A1855">
        <v>2377</v>
      </c>
      <c r="B1855" s="1">
        <v>44205</v>
      </c>
      <c r="C1855" t="s">
        <v>133</v>
      </c>
      <c r="D1855" t="s">
        <v>85</v>
      </c>
      <c r="E1855" t="s">
        <v>30</v>
      </c>
      <c r="F1855" t="s">
        <v>31</v>
      </c>
      <c r="G1855" t="s">
        <v>56</v>
      </c>
      <c r="H1855" t="s">
        <v>46</v>
      </c>
      <c r="I1855" t="s">
        <v>34</v>
      </c>
      <c r="J1855" t="s">
        <v>82</v>
      </c>
      <c r="K1855" s="2">
        <v>22081</v>
      </c>
      <c r="L1855" t="s">
        <v>36</v>
      </c>
      <c r="M1855" t="s">
        <v>48</v>
      </c>
      <c r="N1855" t="s">
        <v>38</v>
      </c>
      <c r="O1855" t="s">
        <v>61</v>
      </c>
      <c r="P1855" t="s">
        <v>40</v>
      </c>
      <c r="Q1855">
        <v>4</v>
      </c>
      <c r="R1855" s="2">
        <v>44926</v>
      </c>
      <c r="S1855">
        <v>1</v>
      </c>
      <c r="T1855">
        <v>2</v>
      </c>
      <c r="U1855">
        <v>1</v>
      </c>
      <c r="V1855" s="1">
        <v>44920</v>
      </c>
      <c r="W1855" t="s">
        <v>41</v>
      </c>
      <c r="X1855" t="s">
        <v>51</v>
      </c>
      <c r="Y1855" t="s">
        <v>43</v>
      </c>
      <c r="Z1855">
        <v>1</v>
      </c>
      <c r="AA1855">
        <v>921.26</v>
      </c>
      <c r="AB1855">
        <v>61</v>
      </c>
    </row>
    <row r="1856" spans="1:28" x14ac:dyDescent="0.2">
      <c r="A1856">
        <v>2378</v>
      </c>
      <c r="B1856" s="1">
        <v>43913</v>
      </c>
      <c r="C1856" t="s">
        <v>133</v>
      </c>
      <c r="D1856" t="s">
        <v>44</v>
      </c>
      <c r="E1856" t="s">
        <v>30</v>
      </c>
      <c r="F1856" t="s">
        <v>46</v>
      </c>
      <c r="G1856" t="s">
        <v>45</v>
      </c>
      <c r="H1856" t="s">
        <v>55</v>
      </c>
      <c r="I1856" t="s">
        <v>34</v>
      </c>
      <c r="J1856" t="s">
        <v>99</v>
      </c>
      <c r="K1856" s="2">
        <v>16399</v>
      </c>
      <c r="L1856" t="s">
        <v>36</v>
      </c>
      <c r="M1856" t="s">
        <v>37</v>
      </c>
      <c r="N1856" t="s">
        <v>60</v>
      </c>
      <c r="O1856" t="s">
        <v>67</v>
      </c>
      <c r="P1856" t="s">
        <v>40</v>
      </c>
      <c r="Q1856">
        <v>2</v>
      </c>
      <c r="R1856" s="2">
        <v>45111</v>
      </c>
      <c r="S1856">
        <v>2</v>
      </c>
      <c r="T1856">
        <v>5</v>
      </c>
      <c r="U1856">
        <v>3</v>
      </c>
      <c r="V1856" s="1">
        <v>45023</v>
      </c>
      <c r="W1856" t="s">
        <v>41</v>
      </c>
      <c r="X1856" t="s">
        <v>42</v>
      </c>
      <c r="Y1856" t="s">
        <v>73</v>
      </c>
      <c r="Z1856">
        <v>3</v>
      </c>
      <c r="AA1856">
        <v>751.79</v>
      </c>
      <c r="AB1856">
        <v>76</v>
      </c>
    </row>
    <row r="1857" spans="1:28" x14ac:dyDescent="0.2">
      <c r="A1857">
        <v>2379</v>
      </c>
      <c r="B1857" s="1">
        <v>43757</v>
      </c>
      <c r="C1857" t="s">
        <v>133</v>
      </c>
      <c r="D1857" t="s">
        <v>87</v>
      </c>
      <c r="E1857" t="s">
        <v>108</v>
      </c>
      <c r="F1857" t="s">
        <v>55</v>
      </c>
      <c r="G1857" t="s">
        <v>32</v>
      </c>
      <c r="H1857" t="s">
        <v>46</v>
      </c>
      <c r="I1857" t="s">
        <v>34</v>
      </c>
      <c r="J1857" t="s">
        <v>97</v>
      </c>
      <c r="K1857" s="2">
        <v>33594</v>
      </c>
      <c r="L1857" t="s">
        <v>36</v>
      </c>
      <c r="M1857" t="s">
        <v>37</v>
      </c>
      <c r="N1857" t="s">
        <v>84</v>
      </c>
      <c r="O1857" t="s">
        <v>77</v>
      </c>
      <c r="P1857" t="s">
        <v>40</v>
      </c>
      <c r="Q1857">
        <v>2</v>
      </c>
      <c r="R1857" s="2">
        <v>45108</v>
      </c>
      <c r="S1857">
        <v>2</v>
      </c>
      <c r="T1857">
        <v>5</v>
      </c>
      <c r="U1857">
        <v>1</v>
      </c>
      <c r="V1857" s="1">
        <v>44797</v>
      </c>
      <c r="W1857" t="s">
        <v>92</v>
      </c>
      <c r="X1857" t="s">
        <v>51</v>
      </c>
      <c r="Y1857" t="s">
        <v>63</v>
      </c>
      <c r="Z1857">
        <v>4</v>
      </c>
      <c r="AA1857">
        <v>146.18</v>
      </c>
      <c r="AB1857">
        <v>28</v>
      </c>
    </row>
    <row r="1858" spans="1:28" x14ac:dyDescent="0.2">
      <c r="A1858">
        <v>2380</v>
      </c>
      <c r="B1858" s="1">
        <v>45109</v>
      </c>
      <c r="C1858" t="s">
        <v>133</v>
      </c>
      <c r="D1858" t="s">
        <v>64</v>
      </c>
      <c r="E1858" t="s">
        <v>30</v>
      </c>
      <c r="F1858" t="s">
        <v>55</v>
      </c>
      <c r="G1858" t="s">
        <v>45</v>
      </c>
      <c r="H1858" t="s">
        <v>33</v>
      </c>
      <c r="I1858" t="s">
        <v>34</v>
      </c>
      <c r="J1858" t="s">
        <v>65</v>
      </c>
      <c r="K1858" s="2">
        <v>20808</v>
      </c>
      <c r="L1858" t="s">
        <v>36</v>
      </c>
      <c r="M1858" t="s">
        <v>37</v>
      </c>
      <c r="N1858" t="s">
        <v>60</v>
      </c>
      <c r="O1858" t="s">
        <v>67</v>
      </c>
      <c r="P1858" t="s">
        <v>40</v>
      </c>
      <c r="Q1858">
        <v>2</v>
      </c>
      <c r="R1858" s="2">
        <v>44859</v>
      </c>
      <c r="S1858">
        <v>2</v>
      </c>
      <c r="T1858">
        <v>1</v>
      </c>
      <c r="U1858">
        <v>3</v>
      </c>
      <c r="V1858" s="1">
        <v>44868</v>
      </c>
      <c r="W1858" t="s">
        <v>50</v>
      </c>
      <c r="X1858" t="s">
        <v>42</v>
      </c>
      <c r="Y1858" t="s">
        <v>63</v>
      </c>
      <c r="Z1858">
        <v>5</v>
      </c>
      <c r="AA1858">
        <v>910.96</v>
      </c>
      <c r="AB1858">
        <v>67</v>
      </c>
    </row>
    <row r="1859" spans="1:28" x14ac:dyDescent="0.2">
      <c r="A1859">
        <v>2381</v>
      </c>
      <c r="B1859" s="1">
        <v>43706</v>
      </c>
      <c r="C1859" t="s">
        <v>133</v>
      </c>
      <c r="D1859" t="s">
        <v>94</v>
      </c>
      <c r="E1859" t="s">
        <v>30</v>
      </c>
      <c r="F1859" t="s">
        <v>46</v>
      </c>
      <c r="G1859" t="s">
        <v>56</v>
      </c>
      <c r="H1859" t="s">
        <v>46</v>
      </c>
      <c r="I1859" t="s">
        <v>34</v>
      </c>
      <c r="J1859" t="s">
        <v>102</v>
      </c>
      <c r="K1859" s="2">
        <v>32241</v>
      </c>
      <c r="L1859" t="s">
        <v>36</v>
      </c>
      <c r="M1859" t="s">
        <v>37</v>
      </c>
      <c r="N1859" t="s">
        <v>60</v>
      </c>
      <c r="O1859" t="s">
        <v>77</v>
      </c>
      <c r="P1859" t="s">
        <v>40</v>
      </c>
      <c r="Q1859">
        <v>2</v>
      </c>
      <c r="R1859" s="2">
        <v>44972</v>
      </c>
      <c r="S1859">
        <v>2</v>
      </c>
      <c r="T1859">
        <v>3</v>
      </c>
      <c r="U1859">
        <v>3</v>
      </c>
      <c r="V1859" s="1">
        <v>44953</v>
      </c>
      <c r="W1859" t="s">
        <v>68</v>
      </c>
      <c r="X1859" t="s">
        <v>51</v>
      </c>
      <c r="Y1859" t="s">
        <v>73</v>
      </c>
      <c r="Z1859">
        <v>1</v>
      </c>
      <c r="AA1859">
        <v>404.78</v>
      </c>
      <c r="AB1859">
        <v>31</v>
      </c>
    </row>
    <row r="1860" spans="1:28" x14ac:dyDescent="0.2">
      <c r="A1860">
        <v>2382</v>
      </c>
      <c r="B1860" s="1">
        <v>45124</v>
      </c>
      <c r="C1860" t="s">
        <v>133</v>
      </c>
      <c r="D1860" t="s">
        <v>74</v>
      </c>
      <c r="E1860" t="s">
        <v>30</v>
      </c>
      <c r="F1860" t="s">
        <v>46</v>
      </c>
      <c r="G1860" t="s">
        <v>32</v>
      </c>
      <c r="H1860" t="s">
        <v>33</v>
      </c>
      <c r="I1860" t="s">
        <v>34</v>
      </c>
      <c r="J1860" t="s">
        <v>102</v>
      </c>
      <c r="K1860" s="2">
        <v>16050</v>
      </c>
      <c r="L1860" t="s">
        <v>36</v>
      </c>
      <c r="M1860" t="s">
        <v>48</v>
      </c>
      <c r="N1860" t="s">
        <v>84</v>
      </c>
      <c r="O1860" t="s">
        <v>61</v>
      </c>
      <c r="P1860" t="s">
        <v>40</v>
      </c>
      <c r="Q1860">
        <v>1</v>
      </c>
      <c r="R1860" s="2">
        <v>44884</v>
      </c>
      <c r="S1860">
        <v>4</v>
      </c>
      <c r="T1860">
        <v>3</v>
      </c>
      <c r="U1860">
        <v>4</v>
      </c>
      <c r="V1860" s="1">
        <v>45139</v>
      </c>
      <c r="W1860" t="s">
        <v>62</v>
      </c>
      <c r="X1860" t="s">
        <v>42</v>
      </c>
      <c r="Y1860" t="s">
        <v>63</v>
      </c>
      <c r="Z1860">
        <v>1</v>
      </c>
      <c r="AA1860">
        <v>751.78</v>
      </c>
      <c r="AB1860">
        <v>80</v>
      </c>
    </row>
    <row r="1861" spans="1:28" x14ac:dyDescent="0.2">
      <c r="A1861">
        <v>2383</v>
      </c>
      <c r="B1861" s="1">
        <v>43863</v>
      </c>
      <c r="C1861" t="s">
        <v>133</v>
      </c>
      <c r="D1861" t="s">
        <v>81</v>
      </c>
      <c r="E1861" t="s">
        <v>30</v>
      </c>
      <c r="F1861" t="s">
        <v>55</v>
      </c>
      <c r="G1861" t="s">
        <v>45</v>
      </c>
      <c r="H1861" t="s">
        <v>55</v>
      </c>
      <c r="I1861" t="s">
        <v>34</v>
      </c>
      <c r="J1861" t="s">
        <v>70</v>
      </c>
      <c r="K1861" s="2">
        <v>26762</v>
      </c>
      <c r="L1861" t="s">
        <v>36</v>
      </c>
      <c r="M1861" t="s">
        <v>48</v>
      </c>
      <c r="N1861" t="s">
        <v>84</v>
      </c>
      <c r="O1861" t="s">
        <v>39</v>
      </c>
      <c r="P1861" t="s">
        <v>40</v>
      </c>
      <c r="Q1861">
        <v>4</v>
      </c>
      <c r="R1861" s="2">
        <v>44886</v>
      </c>
      <c r="S1861">
        <v>5</v>
      </c>
      <c r="T1861">
        <v>3</v>
      </c>
      <c r="U1861">
        <v>5</v>
      </c>
      <c r="V1861" s="1">
        <v>44782</v>
      </c>
      <c r="W1861" t="s">
        <v>50</v>
      </c>
      <c r="X1861" t="s">
        <v>51</v>
      </c>
      <c r="Y1861" t="s">
        <v>52</v>
      </c>
      <c r="Z1861">
        <v>1</v>
      </c>
      <c r="AA1861">
        <v>374.73</v>
      </c>
      <c r="AB1861">
        <v>47</v>
      </c>
    </row>
    <row r="1862" spans="1:28" x14ac:dyDescent="0.2">
      <c r="A1862">
        <v>2384</v>
      </c>
      <c r="B1862" s="1">
        <v>44483</v>
      </c>
      <c r="C1862" t="s">
        <v>133</v>
      </c>
      <c r="D1862" t="s">
        <v>54</v>
      </c>
      <c r="E1862" t="s">
        <v>108</v>
      </c>
      <c r="F1862" t="s">
        <v>55</v>
      </c>
      <c r="G1862" t="s">
        <v>45</v>
      </c>
      <c r="H1862" t="s">
        <v>33</v>
      </c>
      <c r="I1862" t="s">
        <v>34</v>
      </c>
      <c r="J1862" t="s">
        <v>70</v>
      </c>
      <c r="K1862" s="2">
        <v>29109</v>
      </c>
      <c r="L1862" t="s">
        <v>36</v>
      </c>
      <c r="M1862" t="s">
        <v>37</v>
      </c>
      <c r="N1862" t="s">
        <v>49</v>
      </c>
      <c r="O1862" t="s">
        <v>67</v>
      </c>
      <c r="P1862" t="s">
        <v>40</v>
      </c>
      <c r="Q1862">
        <v>5</v>
      </c>
      <c r="R1862" s="2">
        <v>44807</v>
      </c>
      <c r="S1862">
        <v>2</v>
      </c>
      <c r="T1862">
        <v>2</v>
      </c>
      <c r="U1862">
        <v>2</v>
      </c>
      <c r="V1862" s="1">
        <v>44837</v>
      </c>
      <c r="W1862" t="s">
        <v>92</v>
      </c>
      <c r="X1862" t="s">
        <v>42</v>
      </c>
      <c r="Y1862" t="s">
        <v>43</v>
      </c>
      <c r="Z1862">
        <v>3</v>
      </c>
      <c r="AA1862">
        <v>166.1</v>
      </c>
      <c r="AB1862">
        <v>42</v>
      </c>
    </row>
    <row r="1863" spans="1:28" x14ac:dyDescent="0.2">
      <c r="A1863">
        <v>2385</v>
      </c>
      <c r="B1863" s="1">
        <v>43931</v>
      </c>
      <c r="C1863" t="s">
        <v>133</v>
      </c>
      <c r="D1863" t="s">
        <v>69</v>
      </c>
      <c r="E1863" t="s">
        <v>30</v>
      </c>
      <c r="F1863" t="s">
        <v>31</v>
      </c>
      <c r="G1863" t="s">
        <v>45</v>
      </c>
      <c r="H1863" t="s">
        <v>46</v>
      </c>
      <c r="I1863" t="s">
        <v>34</v>
      </c>
      <c r="J1863" t="s">
        <v>105</v>
      </c>
      <c r="K1863" s="2">
        <v>19682</v>
      </c>
      <c r="L1863" t="s">
        <v>36</v>
      </c>
      <c r="M1863" t="s">
        <v>37</v>
      </c>
      <c r="N1863" t="s">
        <v>84</v>
      </c>
      <c r="O1863" t="s">
        <v>61</v>
      </c>
      <c r="P1863" t="s">
        <v>40</v>
      </c>
      <c r="Q1863">
        <v>2</v>
      </c>
      <c r="R1863" s="2">
        <v>44941</v>
      </c>
      <c r="S1863">
        <v>2</v>
      </c>
      <c r="T1863">
        <v>1</v>
      </c>
      <c r="U1863">
        <v>3</v>
      </c>
      <c r="V1863" s="1">
        <v>45016</v>
      </c>
      <c r="W1863" t="s">
        <v>68</v>
      </c>
      <c r="X1863" t="s">
        <v>42</v>
      </c>
      <c r="Y1863" t="s">
        <v>52</v>
      </c>
      <c r="Z1863">
        <v>1</v>
      </c>
      <c r="AA1863">
        <v>574.91</v>
      </c>
      <c r="AB1863">
        <v>67</v>
      </c>
    </row>
    <row r="1864" spans="1:28" x14ac:dyDescent="0.2">
      <c r="A1864">
        <v>2386</v>
      </c>
      <c r="B1864" s="1">
        <v>43448</v>
      </c>
      <c r="C1864" t="s">
        <v>133</v>
      </c>
      <c r="D1864" t="s">
        <v>29</v>
      </c>
      <c r="E1864" t="s">
        <v>30</v>
      </c>
      <c r="F1864" t="s">
        <v>46</v>
      </c>
      <c r="G1864" t="s">
        <v>56</v>
      </c>
      <c r="H1864" t="s">
        <v>46</v>
      </c>
      <c r="I1864" t="s">
        <v>34</v>
      </c>
      <c r="J1864" t="s">
        <v>35</v>
      </c>
      <c r="K1864" s="2">
        <v>27753</v>
      </c>
      <c r="L1864" t="s">
        <v>36</v>
      </c>
      <c r="M1864" t="s">
        <v>37</v>
      </c>
      <c r="N1864" t="s">
        <v>72</v>
      </c>
      <c r="O1864" t="s">
        <v>39</v>
      </c>
      <c r="P1864" t="s">
        <v>40</v>
      </c>
      <c r="Q1864">
        <v>1</v>
      </c>
      <c r="R1864" s="2">
        <v>44911</v>
      </c>
      <c r="S1864">
        <v>1</v>
      </c>
      <c r="T1864">
        <v>4</v>
      </c>
      <c r="U1864">
        <v>3</v>
      </c>
      <c r="V1864" s="1">
        <v>44832</v>
      </c>
      <c r="W1864" t="s">
        <v>50</v>
      </c>
      <c r="X1864" t="s">
        <v>51</v>
      </c>
      <c r="Y1864" t="s">
        <v>43</v>
      </c>
      <c r="Z1864">
        <v>3</v>
      </c>
      <c r="AA1864">
        <v>390.96</v>
      </c>
      <c r="AB1864">
        <v>43</v>
      </c>
    </row>
    <row r="1865" spans="1:28" x14ac:dyDescent="0.2">
      <c r="A1865">
        <v>2387</v>
      </c>
      <c r="B1865" s="1">
        <v>44739</v>
      </c>
      <c r="C1865" t="s">
        <v>136</v>
      </c>
      <c r="D1865" t="s">
        <v>85</v>
      </c>
      <c r="E1865" t="s">
        <v>30</v>
      </c>
      <c r="F1865" t="s">
        <v>31</v>
      </c>
      <c r="G1865" t="s">
        <v>32</v>
      </c>
      <c r="H1865" t="s">
        <v>33</v>
      </c>
      <c r="I1865" t="s">
        <v>34</v>
      </c>
      <c r="J1865" t="s">
        <v>135</v>
      </c>
      <c r="K1865" s="2">
        <v>34482</v>
      </c>
      <c r="L1865" t="s">
        <v>36</v>
      </c>
      <c r="M1865" t="s">
        <v>48</v>
      </c>
      <c r="N1865" t="s">
        <v>49</v>
      </c>
      <c r="O1865" t="s">
        <v>39</v>
      </c>
      <c r="P1865" t="s">
        <v>40</v>
      </c>
      <c r="Q1865">
        <v>1</v>
      </c>
      <c r="R1865" s="2">
        <v>44932</v>
      </c>
      <c r="S1865">
        <v>1</v>
      </c>
      <c r="T1865">
        <v>2</v>
      </c>
      <c r="U1865">
        <v>5</v>
      </c>
      <c r="V1865" s="1">
        <v>44990</v>
      </c>
      <c r="W1865" t="s">
        <v>92</v>
      </c>
      <c r="X1865" t="s">
        <v>42</v>
      </c>
      <c r="Y1865" t="s">
        <v>43</v>
      </c>
      <c r="Z1865">
        <v>2</v>
      </c>
      <c r="AA1865">
        <v>459.27</v>
      </c>
      <c r="AB1865">
        <v>28</v>
      </c>
    </row>
    <row r="1866" spans="1:28" x14ac:dyDescent="0.2">
      <c r="A1866">
        <v>2388</v>
      </c>
      <c r="B1866" s="1">
        <v>44081</v>
      </c>
      <c r="C1866" t="s">
        <v>113</v>
      </c>
      <c r="D1866" t="s">
        <v>44</v>
      </c>
      <c r="E1866" t="s">
        <v>30</v>
      </c>
      <c r="F1866" t="s">
        <v>31</v>
      </c>
      <c r="G1866" t="s">
        <v>32</v>
      </c>
      <c r="H1866" t="s">
        <v>33</v>
      </c>
      <c r="I1866" t="s">
        <v>34</v>
      </c>
      <c r="J1866" t="s">
        <v>97</v>
      </c>
      <c r="K1866" s="2">
        <v>19494</v>
      </c>
      <c r="L1866" t="s">
        <v>36</v>
      </c>
      <c r="M1866" t="s">
        <v>48</v>
      </c>
      <c r="N1866" t="s">
        <v>60</v>
      </c>
      <c r="O1866" t="s">
        <v>61</v>
      </c>
      <c r="P1866" t="s">
        <v>40</v>
      </c>
      <c r="Q1866">
        <v>2</v>
      </c>
      <c r="R1866" s="2">
        <v>45083</v>
      </c>
      <c r="S1866">
        <v>5</v>
      </c>
      <c r="T1866">
        <v>2</v>
      </c>
      <c r="U1866">
        <v>4</v>
      </c>
      <c r="V1866" s="1">
        <v>45107</v>
      </c>
      <c r="W1866" t="s">
        <v>62</v>
      </c>
      <c r="X1866" t="s">
        <v>42</v>
      </c>
      <c r="Y1866" t="s">
        <v>63</v>
      </c>
      <c r="Z1866">
        <v>4</v>
      </c>
      <c r="AA1866">
        <v>949.32</v>
      </c>
      <c r="AB1866">
        <v>67</v>
      </c>
    </row>
    <row r="1867" spans="1:28" x14ac:dyDescent="0.2">
      <c r="A1867">
        <v>2389</v>
      </c>
      <c r="B1867" s="1">
        <v>43772</v>
      </c>
      <c r="C1867" t="s">
        <v>120</v>
      </c>
      <c r="D1867" t="s">
        <v>44</v>
      </c>
      <c r="E1867" t="s">
        <v>30</v>
      </c>
      <c r="F1867" t="s">
        <v>31</v>
      </c>
      <c r="G1867" t="s">
        <v>32</v>
      </c>
      <c r="H1867" t="s">
        <v>46</v>
      </c>
      <c r="I1867" t="s">
        <v>34</v>
      </c>
      <c r="J1867" t="s">
        <v>75</v>
      </c>
      <c r="K1867" s="2">
        <v>27902</v>
      </c>
      <c r="L1867" t="s">
        <v>36</v>
      </c>
      <c r="M1867" t="s">
        <v>48</v>
      </c>
      <c r="N1867" t="s">
        <v>38</v>
      </c>
      <c r="O1867" t="s">
        <v>39</v>
      </c>
      <c r="P1867" t="s">
        <v>40</v>
      </c>
      <c r="Q1867">
        <v>2</v>
      </c>
      <c r="R1867" s="2">
        <v>45083</v>
      </c>
      <c r="S1867">
        <v>1</v>
      </c>
      <c r="T1867">
        <v>4</v>
      </c>
      <c r="U1867">
        <v>2</v>
      </c>
      <c r="V1867" s="1">
        <v>45135</v>
      </c>
      <c r="W1867" t="s">
        <v>68</v>
      </c>
      <c r="X1867" t="s">
        <v>42</v>
      </c>
      <c r="Y1867" t="s">
        <v>63</v>
      </c>
      <c r="Z1867">
        <v>1</v>
      </c>
      <c r="AA1867">
        <v>718.39</v>
      </c>
      <c r="AB1867">
        <v>43</v>
      </c>
    </row>
    <row r="1868" spans="1:28" x14ac:dyDescent="0.2">
      <c r="A1868">
        <v>2390</v>
      </c>
      <c r="B1868" s="1">
        <v>43966</v>
      </c>
      <c r="C1868" t="s">
        <v>120</v>
      </c>
      <c r="D1868" t="s">
        <v>87</v>
      </c>
      <c r="E1868" t="s">
        <v>30</v>
      </c>
      <c r="F1868" t="s">
        <v>46</v>
      </c>
      <c r="G1868" t="s">
        <v>32</v>
      </c>
      <c r="H1868" t="s">
        <v>46</v>
      </c>
      <c r="I1868" t="s">
        <v>34</v>
      </c>
      <c r="J1868" t="s">
        <v>79</v>
      </c>
      <c r="K1868" s="2">
        <v>15750</v>
      </c>
      <c r="L1868" t="s">
        <v>36</v>
      </c>
      <c r="M1868" t="s">
        <v>37</v>
      </c>
      <c r="N1868" t="s">
        <v>84</v>
      </c>
      <c r="O1868" t="s">
        <v>77</v>
      </c>
      <c r="P1868" t="s">
        <v>40</v>
      </c>
      <c r="Q1868">
        <v>1</v>
      </c>
      <c r="R1868" s="2">
        <v>44852</v>
      </c>
      <c r="S1868">
        <v>1</v>
      </c>
      <c r="T1868">
        <v>5</v>
      </c>
      <c r="U1868">
        <v>4</v>
      </c>
      <c r="V1868" s="1">
        <v>45126</v>
      </c>
      <c r="W1868" t="s">
        <v>50</v>
      </c>
      <c r="X1868" t="s">
        <v>51</v>
      </c>
      <c r="Y1868" t="s">
        <v>63</v>
      </c>
      <c r="Z1868">
        <v>5</v>
      </c>
      <c r="AA1868">
        <v>923.06</v>
      </c>
      <c r="AB1868">
        <v>77</v>
      </c>
    </row>
    <row r="1869" spans="1:28" x14ac:dyDescent="0.2">
      <c r="A1869">
        <v>2391</v>
      </c>
      <c r="B1869" s="1">
        <v>45044</v>
      </c>
      <c r="C1869" t="s">
        <v>122</v>
      </c>
      <c r="D1869" t="s">
        <v>64</v>
      </c>
      <c r="E1869" t="s">
        <v>30</v>
      </c>
      <c r="F1869" t="s">
        <v>46</v>
      </c>
      <c r="G1869" t="s">
        <v>56</v>
      </c>
      <c r="H1869" t="s">
        <v>55</v>
      </c>
      <c r="I1869" t="s">
        <v>95</v>
      </c>
      <c r="J1869" t="s">
        <v>89</v>
      </c>
      <c r="K1869" s="2">
        <v>23418</v>
      </c>
      <c r="L1869" t="s">
        <v>36</v>
      </c>
      <c r="M1869" t="s">
        <v>37</v>
      </c>
      <c r="N1869" t="s">
        <v>84</v>
      </c>
      <c r="O1869" t="s">
        <v>39</v>
      </c>
      <c r="P1869" t="s">
        <v>40</v>
      </c>
      <c r="Q1869">
        <v>1</v>
      </c>
      <c r="R1869" s="2">
        <v>45099</v>
      </c>
      <c r="S1869">
        <v>3</v>
      </c>
      <c r="T1869">
        <v>3</v>
      </c>
      <c r="U1869">
        <v>3</v>
      </c>
      <c r="V1869" s="1">
        <v>44905</v>
      </c>
      <c r="W1869" t="s">
        <v>68</v>
      </c>
      <c r="X1869" t="s">
        <v>51</v>
      </c>
      <c r="Y1869" t="s">
        <v>43</v>
      </c>
      <c r="Z1869">
        <v>3</v>
      </c>
      <c r="AA1869">
        <v>363.35</v>
      </c>
      <c r="AB1869">
        <v>59</v>
      </c>
    </row>
    <row r="1870" spans="1:28" x14ac:dyDescent="0.2">
      <c r="A1870">
        <v>2392</v>
      </c>
      <c r="B1870" s="1">
        <v>43682</v>
      </c>
      <c r="C1870" t="s">
        <v>120</v>
      </c>
      <c r="D1870" t="s">
        <v>69</v>
      </c>
      <c r="E1870" t="s">
        <v>30</v>
      </c>
      <c r="F1870" t="s">
        <v>55</v>
      </c>
      <c r="G1870" t="s">
        <v>45</v>
      </c>
      <c r="H1870" t="s">
        <v>55</v>
      </c>
      <c r="I1870" t="s">
        <v>95</v>
      </c>
      <c r="J1870" t="s">
        <v>104</v>
      </c>
      <c r="K1870" s="2">
        <v>16342</v>
      </c>
      <c r="L1870" t="s">
        <v>36</v>
      </c>
      <c r="M1870" t="s">
        <v>48</v>
      </c>
      <c r="N1870" t="s">
        <v>72</v>
      </c>
      <c r="O1870" t="s">
        <v>61</v>
      </c>
      <c r="P1870" t="s">
        <v>40</v>
      </c>
      <c r="Q1870">
        <v>1</v>
      </c>
      <c r="R1870" s="2">
        <v>45096</v>
      </c>
      <c r="S1870">
        <v>4</v>
      </c>
      <c r="T1870">
        <v>3</v>
      </c>
      <c r="U1870">
        <v>2</v>
      </c>
      <c r="V1870" s="1">
        <v>44912</v>
      </c>
      <c r="W1870" t="s">
        <v>50</v>
      </c>
      <c r="X1870" t="s">
        <v>51</v>
      </c>
      <c r="Y1870" t="s">
        <v>43</v>
      </c>
      <c r="Z1870">
        <v>5</v>
      </c>
      <c r="AA1870">
        <v>652.9</v>
      </c>
      <c r="AB1870">
        <v>75</v>
      </c>
    </row>
    <row r="1871" spans="1:28" x14ac:dyDescent="0.2">
      <c r="A1871">
        <v>2393</v>
      </c>
      <c r="B1871" s="1">
        <v>43439</v>
      </c>
      <c r="C1871" t="s">
        <v>133</v>
      </c>
      <c r="D1871" t="s">
        <v>81</v>
      </c>
      <c r="E1871" t="s">
        <v>30</v>
      </c>
      <c r="F1871" t="s">
        <v>55</v>
      </c>
      <c r="G1871" t="s">
        <v>32</v>
      </c>
      <c r="H1871" t="s">
        <v>46</v>
      </c>
      <c r="I1871" t="s">
        <v>34</v>
      </c>
      <c r="J1871" t="s">
        <v>79</v>
      </c>
      <c r="K1871" s="2">
        <v>34216</v>
      </c>
      <c r="L1871" t="s">
        <v>36</v>
      </c>
      <c r="M1871" t="s">
        <v>37</v>
      </c>
      <c r="N1871" t="s">
        <v>60</v>
      </c>
      <c r="O1871" t="s">
        <v>39</v>
      </c>
      <c r="P1871" t="s">
        <v>40</v>
      </c>
      <c r="Q1871">
        <v>5</v>
      </c>
      <c r="R1871" s="2">
        <v>45058</v>
      </c>
      <c r="S1871">
        <v>3</v>
      </c>
      <c r="T1871">
        <v>2</v>
      </c>
      <c r="U1871">
        <v>2</v>
      </c>
      <c r="V1871" s="1">
        <v>44984</v>
      </c>
      <c r="W1871" t="s">
        <v>62</v>
      </c>
      <c r="X1871" t="s">
        <v>51</v>
      </c>
      <c r="Y1871" t="s">
        <v>63</v>
      </c>
      <c r="Z1871">
        <v>5</v>
      </c>
      <c r="AA1871">
        <v>803.82</v>
      </c>
      <c r="AB1871">
        <v>25</v>
      </c>
    </row>
    <row r="1872" spans="1:28" x14ac:dyDescent="0.2">
      <c r="A1872">
        <v>2394</v>
      </c>
      <c r="B1872" s="1">
        <v>44676</v>
      </c>
      <c r="C1872" t="s">
        <v>133</v>
      </c>
      <c r="D1872" t="s">
        <v>54</v>
      </c>
      <c r="E1872" t="s">
        <v>30</v>
      </c>
      <c r="F1872" t="s">
        <v>55</v>
      </c>
      <c r="G1872" t="s">
        <v>32</v>
      </c>
      <c r="H1872" t="s">
        <v>55</v>
      </c>
      <c r="I1872" t="s">
        <v>34</v>
      </c>
      <c r="J1872" t="s">
        <v>70</v>
      </c>
      <c r="K1872" s="2">
        <v>29481</v>
      </c>
      <c r="L1872" t="s">
        <v>36</v>
      </c>
      <c r="M1872" t="s">
        <v>48</v>
      </c>
      <c r="N1872" t="s">
        <v>38</v>
      </c>
      <c r="O1872" t="s">
        <v>61</v>
      </c>
      <c r="P1872" t="s">
        <v>40</v>
      </c>
      <c r="Q1872">
        <v>2</v>
      </c>
      <c r="R1872" s="2">
        <v>44883</v>
      </c>
      <c r="S1872">
        <v>4</v>
      </c>
      <c r="T1872">
        <v>1</v>
      </c>
      <c r="U1872">
        <v>1</v>
      </c>
      <c r="V1872" s="1">
        <v>44826</v>
      </c>
      <c r="W1872" t="s">
        <v>50</v>
      </c>
      <c r="X1872" t="s">
        <v>42</v>
      </c>
      <c r="Y1872" t="s">
        <v>63</v>
      </c>
      <c r="Z1872">
        <v>1</v>
      </c>
      <c r="AA1872">
        <v>661.88</v>
      </c>
      <c r="AB1872">
        <v>42</v>
      </c>
    </row>
    <row r="1873" spans="1:28" x14ac:dyDescent="0.2">
      <c r="A1873">
        <v>2395</v>
      </c>
      <c r="B1873" s="1">
        <v>43809</v>
      </c>
      <c r="C1873" t="s">
        <v>133</v>
      </c>
      <c r="D1873" t="s">
        <v>94</v>
      </c>
      <c r="E1873" t="s">
        <v>30</v>
      </c>
      <c r="F1873" t="s">
        <v>46</v>
      </c>
      <c r="G1873" t="s">
        <v>32</v>
      </c>
      <c r="H1873" t="s">
        <v>46</v>
      </c>
      <c r="I1873" t="s">
        <v>34</v>
      </c>
      <c r="J1873" t="s">
        <v>75</v>
      </c>
      <c r="K1873" s="2">
        <v>30491</v>
      </c>
      <c r="L1873" t="s">
        <v>36</v>
      </c>
      <c r="M1873" t="s">
        <v>48</v>
      </c>
      <c r="N1873" t="s">
        <v>72</v>
      </c>
      <c r="O1873" t="s">
        <v>77</v>
      </c>
      <c r="P1873" t="s">
        <v>40</v>
      </c>
      <c r="Q1873">
        <v>1</v>
      </c>
      <c r="R1873" s="2">
        <v>44980</v>
      </c>
      <c r="S1873">
        <v>1</v>
      </c>
      <c r="T1873">
        <v>1</v>
      </c>
      <c r="U1873">
        <v>4</v>
      </c>
      <c r="V1873" s="1">
        <v>45014</v>
      </c>
      <c r="W1873" t="s">
        <v>50</v>
      </c>
      <c r="X1873" t="s">
        <v>51</v>
      </c>
      <c r="Y1873" t="s">
        <v>63</v>
      </c>
      <c r="Z1873">
        <v>5</v>
      </c>
      <c r="AA1873">
        <v>337.08</v>
      </c>
      <c r="AB1873">
        <v>36</v>
      </c>
    </row>
    <row r="1874" spans="1:28" x14ac:dyDescent="0.2">
      <c r="A1874">
        <v>2396</v>
      </c>
      <c r="B1874" s="1">
        <v>44742</v>
      </c>
      <c r="C1874" t="s">
        <v>133</v>
      </c>
      <c r="D1874" t="s">
        <v>85</v>
      </c>
      <c r="E1874" t="s">
        <v>108</v>
      </c>
      <c r="F1874" t="s">
        <v>31</v>
      </c>
      <c r="G1874" t="s">
        <v>32</v>
      </c>
      <c r="H1874" t="s">
        <v>46</v>
      </c>
      <c r="I1874" t="s">
        <v>34</v>
      </c>
      <c r="J1874" t="s">
        <v>75</v>
      </c>
      <c r="K1874" s="2">
        <v>22115</v>
      </c>
      <c r="L1874" t="s">
        <v>36</v>
      </c>
      <c r="M1874" t="s">
        <v>37</v>
      </c>
      <c r="N1874" t="s">
        <v>60</v>
      </c>
      <c r="O1874" t="s">
        <v>61</v>
      </c>
      <c r="P1874" t="s">
        <v>40</v>
      </c>
      <c r="Q1874">
        <v>1</v>
      </c>
      <c r="R1874" s="2">
        <v>44909</v>
      </c>
      <c r="S1874">
        <v>3</v>
      </c>
      <c r="T1874">
        <v>4</v>
      </c>
      <c r="U1874">
        <v>2</v>
      </c>
      <c r="V1874" s="1">
        <v>44887</v>
      </c>
      <c r="W1874" t="s">
        <v>62</v>
      </c>
      <c r="X1874" t="s">
        <v>51</v>
      </c>
      <c r="Y1874" t="s">
        <v>63</v>
      </c>
      <c r="Z1874">
        <v>5</v>
      </c>
      <c r="AA1874">
        <v>887.46</v>
      </c>
      <c r="AB1874">
        <v>62</v>
      </c>
    </row>
    <row r="1875" spans="1:28" x14ac:dyDescent="0.2">
      <c r="A1875">
        <v>2397</v>
      </c>
      <c r="B1875" s="1">
        <v>43362</v>
      </c>
      <c r="C1875" t="s">
        <v>133</v>
      </c>
      <c r="D1875" t="s">
        <v>64</v>
      </c>
      <c r="E1875" t="s">
        <v>30</v>
      </c>
      <c r="F1875" t="s">
        <v>46</v>
      </c>
      <c r="G1875" t="s">
        <v>56</v>
      </c>
      <c r="H1875" t="s">
        <v>55</v>
      </c>
      <c r="I1875" t="s">
        <v>34</v>
      </c>
      <c r="J1875" t="s">
        <v>70</v>
      </c>
      <c r="K1875" s="2">
        <v>33107</v>
      </c>
      <c r="L1875" t="s">
        <v>36</v>
      </c>
      <c r="M1875" t="s">
        <v>37</v>
      </c>
      <c r="N1875" t="s">
        <v>60</v>
      </c>
      <c r="O1875" t="s">
        <v>39</v>
      </c>
      <c r="P1875" t="s">
        <v>40</v>
      </c>
      <c r="Q1875">
        <v>2</v>
      </c>
      <c r="R1875" s="2">
        <v>44812</v>
      </c>
      <c r="S1875">
        <v>2</v>
      </c>
      <c r="T1875">
        <v>5</v>
      </c>
      <c r="U1875">
        <v>2</v>
      </c>
      <c r="V1875" s="1">
        <v>44875</v>
      </c>
      <c r="W1875" t="s">
        <v>62</v>
      </c>
      <c r="X1875" t="s">
        <v>51</v>
      </c>
      <c r="Y1875" t="s">
        <v>63</v>
      </c>
      <c r="Z1875">
        <v>5</v>
      </c>
      <c r="AA1875">
        <v>514.94000000000005</v>
      </c>
      <c r="AB1875">
        <v>28</v>
      </c>
    </row>
    <row r="1876" spans="1:28" x14ac:dyDescent="0.2">
      <c r="A1876">
        <v>2398</v>
      </c>
      <c r="B1876" s="1">
        <v>43654</v>
      </c>
      <c r="C1876" t="s">
        <v>133</v>
      </c>
      <c r="D1876" t="s">
        <v>74</v>
      </c>
      <c r="E1876" t="s">
        <v>30</v>
      </c>
      <c r="F1876" t="s">
        <v>31</v>
      </c>
      <c r="G1876" t="s">
        <v>32</v>
      </c>
      <c r="H1876" t="s">
        <v>33</v>
      </c>
      <c r="I1876" t="s">
        <v>34</v>
      </c>
      <c r="J1876" t="s">
        <v>65</v>
      </c>
      <c r="K1876" s="2">
        <v>21712</v>
      </c>
      <c r="L1876" t="s">
        <v>36</v>
      </c>
      <c r="M1876" t="s">
        <v>37</v>
      </c>
      <c r="N1876" t="s">
        <v>38</v>
      </c>
      <c r="O1876" t="s">
        <v>39</v>
      </c>
      <c r="P1876" t="s">
        <v>40</v>
      </c>
      <c r="Q1876">
        <v>5</v>
      </c>
      <c r="R1876" s="2">
        <v>44933</v>
      </c>
      <c r="S1876">
        <v>4</v>
      </c>
      <c r="T1876">
        <v>3</v>
      </c>
      <c r="U1876">
        <v>3</v>
      </c>
      <c r="V1876" s="1">
        <v>44908</v>
      </c>
      <c r="W1876" t="s">
        <v>68</v>
      </c>
      <c r="X1876" t="s">
        <v>51</v>
      </c>
      <c r="Y1876" t="s">
        <v>52</v>
      </c>
      <c r="Z1876">
        <v>3</v>
      </c>
      <c r="AA1876">
        <v>304.35000000000002</v>
      </c>
      <c r="AB1876">
        <v>60</v>
      </c>
    </row>
    <row r="1877" spans="1:28" x14ac:dyDescent="0.2">
      <c r="A1877">
        <v>2399</v>
      </c>
      <c r="B1877" s="1">
        <v>45071</v>
      </c>
      <c r="C1877" t="s">
        <v>133</v>
      </c>
      <c r="D1877" t="s">
        <v>94</v>
      </c>
      <c r="E1877" t="s">
        <v>30</v>
      </c>
      <c r="F1877" t="s">
        <v>55</v>
      </c>
      <c r="G1877" t="s">
        <v>56</v>
      </c>
      <c r="H1877" t="s">
        <v>46</v>
      </c>
      <c r="I1877" t="s">
        <v>34</v>
      </c>
      <c r="J1877" t="s">
        <v>101</v>
      </c>
      <c r="K1877" s="2">
        <v>21349</v>
      </c>
      <c r="L1877" t="s">
        <v>36</v>
      </c>
      <c r="M1877" t="s">
        <v>48</v>
      </c>
      <c r="N1877" t="s">
        <v>38</v>
      </c>
      <c r="O1877" t="s">
        <v>67</v>
      </c>
      <c r="P1877" t="s">
        <v>40</v>
      </c>
      <c r="Q1877">
        <v>4</v>
      </c>
      <c r="R1877" s="2">
        <v>44894</v>
      </c>
      <c r="S1877">
        <v>1</v>
      </c>
      <c r="T1877">
        <v>4</v>
      </c>
      <c r="U1877">
        <v>2</v>
      </c>
      <c r="V1877" s="1">
        <v>45000</v>
      </c>
      <c r="W1877" t="s">
        <v>50</v>
      </c>
      <c r="X1877" t="s">
        <v>51</v>
      </c>
      <c r="Y1877" t="s">
        <v>73</v>
      </c>
      <c r="Z1877">
        <v>1</v>
      </c>
      <c r="AA1877">
        <v>329.83</v>
      </c>
      <c r="AB1877">
        <v>65</v>
      </c>
    </row>
    <row r="1878" spans="1:28" x14ac:dyDescent="0.2">
      <c r="A1878">
        <v>2400</v>
      </c>
      <c r="B1878" s="1">
        <v>43407</v>
      </c>
      <c r="C1878" t="s">
        <v>133</v>
      </c>
      <c r="D1878" t="s">
        <v>74</v>
      </c>
      <c r="E1878" t="s">
        <v>30</v>
      </c>
      <c r="F1878" t="s">
        <v>31</v>
      </c>
      <c r="G1878" t="s">
        <v>45</v>
      </c>
      <c r="H1878" t="s">
        <v>46</v>
      </c>
      <c r="I1878" t="s">
        <v>34</v>
      </c>
      <c r="J1878" t="s">
        <v>58</v>
      </c>
      <c r="K1878" s="2">
        <v>22444</v>
      </c>
      <c r="L1878" t="s">
        <v>36</v>
      </c>
      <c r="M1878" t="s">
        <v>48</v>
      </c>
      <c r="N1878" t="s">
        <v>72</v>
      </c>
      <c r="O1878" t="s">
        <v>67</v>
      </c>
      <c r="P1878" t="s">
        <v>40</v>
      </c>
      <c r="Q1878">
        <v>2</v>
      </c>
      <c r="R1878" s="2">
        <v>45013</v>
      </c>
      <c r="S1878">
        <v>4</v>
      </c>
      <c r="T1878">
        <v>4</v>
      </c>
      <c r="U1878">
        <v>3</v>
      </c>
      <c r="V1878" s="1">
        <v>45130</v>
      </c>
      <c r="W1878" t="s">
        <v>92</v>
      </c>
      <c r="X1878" t="s">
        <v>51</v>
      </c>
      <c r="Y1878" t="s">
        <v>63</v>
      </c>
      <c r="Z1878">
        <v>4</v>
      </c>
      <c r="AA1878">
        <v>872.57</v>
      </c>
      <c r="AB1878">
        <v>57</v>
      </c>
    </row>
    <row r="1879" spans="1:28" x14ac:dyDescent="0.2">
      <c r="A1879">
        <v>2401</v>
      </c>
      <c r="B1879" s="1">
        <v>44874</v>
      </c>
      <c r="C1879" t="s">
        <v>133</v>
      </c>
      <c r="D1879" t="s">
        <v>81</v>
      </c>
      <c r="E1879" t="s">
        <v>108</v>
      </c>
      <c r="F1879" t="s">
        <v>55</v>
      </c>
      <c r="G1879" t="s">
        <v>32</v>
      </c>
      <c r="H1879" t="s">
        <v>46</v>
      </c>
      <c r="I1879" t="s">
        <v>34</v>
      </c>
      <c r="J1879" t="s">
        <v>70</v>
      </c>
      <c r="K1879" s="2">
        <v>16703</v>
      </c>
      <c r="L1879" t="s">
        <v>36</v>
      </c>
      <c r="M1879" t="s">
        <v>37</v>
      </c>
      <c r="N1879" t="s">
        <v>84</v>
      </c>
      <c r="O1879" t="s">
        <v>77</v>
      </c>
      <c r="P1879" t="s">
        <v>40</v>
      </c>
      <c r="Q1879">
        <v>5</v>
      </c>
      <c r="R1879" s="2">
        <v>44918</v>
      </c>
      <c r="S1879">
        <v>1</v>
      </c>
      <c r="T1879">
        <v>1</v>
      </c>
      <c r="U1879">
        <v>3</v>
      </c>
      <c r="V1879" s="1">
        <v>44866</v>
      </c>
      <c r="W1879" t="s">
        <v>50</v>
      </c>
      <c r="X1879" t="s">
        <v>42</v>
      </c>
      <c r="Y1879" t="s">
        <v>43</v>
      </c>
      <c r="Z1879">
        <v>4</v>
      </c>
      <c r="AA1879">
        <v>935.2</v>
      </c>
      <c r="AB1879">
        <v>77</v>
      </c>
    </row>
    <row r="1880" spans="1:28" x14ac:dyDescent="0.2">
      <c r="A1880">
        <v>2402</v>
      </c>
      <c r="B1880" s="1">
        <v>44665</v>
      </c>
      <c r="C1880" t="s">
        <v>133</v>
      </c>
      <c r="D1880" t="s">
        <v>54</v>
      </c>
      <c r="E1880" t="s">
        <v>108</v>
      </c>
      <c r="F1880" t="s">
        <v>55</v>
      </c>
      <c r="G1880" t="s">
        <v>32</v>
      </c>
      <c r="H1880" t="s">
        <v>55</v>
      </c>
      <c r="I1880" t="s">
        <v>34</v>
      </c>
      <c r="J1880" t="s">
        <v>100</v>
      </c>
      <c r="K1880" s="2">
        <v>31309</v>
      </c>
      <c r="L1880" t="s">
        <v>36</v>
      </c>
      <c r="M1880" t="s">
        <v>37</v>
      </c>
      <c r="N1880" t="s">
        <v>72</v>
      </c>
      <c r="O1880" t="s">
        <v>39</v>
      </c>
      <c r="P1880" t="s">
        <v>40</v>
      </c>
      <c r="Q1880">
        <v>2</v>
      </c>
      <c r="R1880" s="2">
        <v>44863</v>
      </c>
      <c r="S1880">
        <v>3</v>
      </c>
      <c r="T1880">
        <v>2</v>
      </c>
      <c r="U1880">
        <v>2</v>
      </c>
      <c r="V1880" s="1">
        <v>44975</v>
      </c>
      <c r="W1880" t="s">
        <v>92</v>
      </c>
      <c r="X1880" t="s">
        <v>51</v>
      </c>
      <c r="Y1880" t="s">
        <v>43</v>
      </c>
      <c r="Z1880">
        <v>1</v>
      </c>
      <c r="AA1880">
        <v>478.73</v>
      </c>
      <c r="AB1880">
        <v>37</v>
      </c>
    </row>
    <row r="1881" spans="1:28" x14ac:dyDescent="0.2">
      <c r="A1881">
        <v>2403</v>
      </c>
      <c r="B1881" s="1">
        <v>44049</v>
      </c>
      <c r="C1881" t="s">
        <v>133</v>
      </c>
      <c r="D1881" t="s">
        <v>69</v>
      </c>
      <c r="E1881" t="s">
        <v>30</v>
      </c>
      <c r="F1881" t="s">
        <v>55</v>
      </c>
      <c r="G1881" t="s">
        <v>32</v>
      </c>
      <c r="H1881" t="s">
        <v>33</v>
      </c>
      <c r="I1881" t="s">
        <v>34</v>
      </c>
      <c r="J1881" t="s">
        <v>35</v>
      </c>
      <c r="K1881" s="2">
        <v>21266</v>
      </c>
      <c r="L1881" t="s">
        <v>36</v>
      </c>
      <c r="M1881" t="s">
        <v>37</v>
      </c>
      <c r="N1881" t="s">
        <v>49</v>
      </c>
      <c r="O1881" t="s">
        <v>67</v>
      </c>
      <c r="P1881" t="s">
        <v>40</v>
      </c>
      <c r="Q1881">
        <v>4</v>
      </c>
      <c r="R1881" s="2">
        <v>44872</v>
      </c>
      <c r="S1881">
        <v>3</v>
      </c>
      <c r="T1881">
        <v>3</v>
      </c>
      <c r="U1881">
        <v>3</v>
      </c>
      <c r="V1881" s="1">
        <v>44798</v>
      </c>
      <c r="W1881" t="s">
        <v>68</v>
      </c>
      <c r="X1881" t="s">
        <v>51</v>
      </c>
      <c r="Y1881" t="s">
        <v>43</v>
      </c>
      <c r="Z1881">
        <v>5</v>
      </c>
      <c r="AA1881">
        <v>766.04</v>
      </c>
      <c r="AB1881">
        <v>62</v>
      </c>
    </row>
    <row r="1882" spans="1:28" x14ac:dyDescent="0.2">
      <c r="A1882">
        <v>2404</v>
      </c>
      <c r="B1882" s="1">
        <v>43642</v>
      </c>
      <c r="C1882" t="s">
        <v>133</v>
      </c>
      <c r="D1882" t="s">
        <v>29</v>
      </c>
      <c r="E1882" t="s">
        <v>30</v>
      </c>
      <c r="F1882" t="s">
        <v>31</v>
      </c>
      <c r="G1882" t="s">
        <v>32</v>
      </c>
      <c r="H1882" t="s">
        <v>33</v>
      </c>
      <c r="I1882" t="s">
        <v>34</v>
      </c>
      <c r="J1882" t="s">
        <v>65</v>
      </c>
      <c r="K1882" s="2">
        <v>18037</v>
      </c>
      <c r="L1882" t="s">
        <v>36</v>
      </c>
      <c r="M1882" t="s">
        <v>37</v>
      </c>
      <c r="N1882" t="s">
        <v>38</v>
      </c>
      <c r="O1882" t="s">
        <v>77</v>
      </c>
      <c r="P1882" t="s">
        <v>40</v>
      </c>
      <c r="Q1882">
        <v>2</v>
      </c>
      <c r="R1882" s="2">
        <v>45047</v>
      </c>
      <c r="S1882">
        <v>3</v>
      </c>
      <c r="T1882">
        <v>3</v>
      </c>
      <c r="U1882">
        <v>1</v>
      </c>
      <c r="V1882" s="1">
        <v>45037</v>
      </c>
      <c r="W1882" t="s">
        <v>62</v>
      </c>
      <c r="X1882" t="s">
        <v>51</v>
      </c>
      <c r="Y1882" t="s">
        <v>43</v>
      </c>
      <c r="Z1882">
        <v>3</v>
      </c>
      <c r="AA1882">
        <v>561.63</v>
      </c>
      <c r="AB1882">
        <v>70</v>
      </c>
    </row>
    <row r="1883" spans="1:28" x14ac:dyDescent="0.2">
      <c r="A1883">
        <v>2405</v>
      </c>
      <c r="B1883" s="1">
        <v>44087</v>
      </c>
      <c r="C1883" t="s">
        <v>136</v>
      </c>
      <c r="D1883" t="s">
        <v>85</v>
      </c>
      <c r="E1883" t="s">
        <v>108</v>
      </c>
      <c r="F1883" t="s">
        <v>55</v>
      </c>
      <c r="G1883" t="s">
        <v>56</v>
      </c>
      <c r="H1883" t="s">
        <v>46</v>
      </c>
      <c r="I1883" t="s">
        <v>34</v>
      </c>
      <c r="J1883" t="s">
        <v>70</v>
      </c>
      <c r="K1883" s="2">
        <v>18359</v>
      </c>
      <c r="L1883" t="s">
        <v>36</v>
      </c>
      <c r="M1883" t="s">
        <v>48</v>
      </c>
      <c r="N1883" t="s">
        <v>38</v>
      </c>
      <c r="O1883" t="s">
        <v>77</v>
      </c>
      <c r="P1883" t="s">
        <v>40</v>
      </c>
      <c r="Q1883">
        <v>4</v>
      </c>
      <c r="R1883" s="2">
        <v>45132</v>
      </c>
      <c r="S1883">
        <v>4</v>
      </c>
      <c r="T1883">
        <v>1</v>
      </c>
      <c r="U1883">
        <v>2</v>
      </c>
      <c r="V1883" s="1">
        <v>45004</v>
      </c>
      <c r="W1883" t="s">
        <v>68</v>
      </c>
      <c r="X1883" t="s">
        <v>51</v>
      </c>
      <c r="Y1883" t="s">
        <v>63</v>
      </c>
      <c r="Z1883">
        <v>1</v>
      </c>
      <c r="AA1883">
        <v>722.5</v>
      </c>
      <c r="AB1883">
        <v>70</v>
      </c>
    </row>
    <row r="1884" spans="1:28" x14ac:dyDescent="0.2">
      <c r="A1884">
        <v>2406</v>
      </c>
      <c r="B1884" s="1">
        <v>43417</v>
      </c>
      <c r="C1884" t="s">
        <v>113</v>
      </c>
      <c r="D1884" t="s">
        <v>44</v>
      </c>
      <c r="E1884" t="s">
        <v>30</v>
      </c>
      <c r="F1884" t="s">
        <v>46</v>
      </c>
      <c r="G1884" t="s">
        <v>56</v>
      </c>
      <c r="H1884" t="s">
        <v>46</v>
      </c>
      <c r="I1884" t="s">
        <v>34</v>
      </c>
      <c r="J1884" t="s">
        <v>79</v>
      </c>
      <c r="K1884" s="2">
        <v>26017</v>
      </c>
      <c r="L1884" t="s">
        <v>36</v>
      </c>
      <c r="M1884" t="s">
        <v>48</v>
      </c>
      <c r="N1884" t="s">
        <v>72</v>
      </c>
      <c r="O1884" t="s">
        <v>39</v>
      </c>
      <c r="P1884" t="s">
        <v>40</v>
      </c>
      <c r="Q1884">
        <v>1</v>
      </c>
      <c r="R1884" s="2">
        <v>44981</v>
      </c>
      <c r="S1884">
        <v>1</v>
      </c>
      <c r="T1884">
        <v>4</v>
      </c>
      <c r="U1884">
        <v>4</v>
      </c>
      <c r="V1884" s="1">
        <v>45065</v>
      </c>
      <c r="W1884" t="s">
        <v>92</v>
      </c>
      <c r="X1884" t="s">
        <v>42</v>
      </c>
      <c r="Y1884" t="s">
        <v>43</v>
      </c>
      <c r="Z1884">
        <v>1</v>
      </c>
      <c r="AA1884">
        <v>100.04</v>
      </c>
      <c r="AB1884">
        <v>47</v>
      </c>
    </row>
    <row r="1885" spans="1:28" x14ac:dyDescent="0.2">
      <c r="A1885">
        <v>2407</v>
      </c>
      <c r="B1885" s="1">
        <v>43744</v>
      </c>
      <c r="C1885" t="s">
        <v>120</v>
      </c>
      <c r="D1885" t="s">
        <v>44</v>
      </c>
      <c r="E1885" t="s">
        <v>30</v>
      </c>
      <c r="F1885" t="s">
        <v>55</v>
      </c>
      <c r="G1885" t="s">
        <v>32</v>
      </c>
      <c r="H1885" t="s">
        <v>33</v>
      </c>
      <c r="I1885" t="s">
        <v>34</v>
      </c>
      <c r="J1885" t="s">
        <v>35</v>
      </c>
      <c r="K1885" s="2">
        <v>19466</v>
      </c>
      <c r="L1885" t="s">
        <v>36</v>
      </c>
      <c r="M1885" t="s">
        <v>48</v>
      </c>
      <c r="N1885" t="s">
        <v>60</v>
      </c>
      <c r="O1885" t="s">
        <v>39</v>
      </c>
      <c r="P1885" t="s">
        <v>40</v>
      </c>
      <c r="Q1885">
        <v>4</v>
      </c>
      <c r="R1885" s="2">
        <v>44827</v>
      </c>
      <c r="S1885">
        <v>3</v>
      </c>
      <c r="T1885">
        <v>5</v>
      </c>
      <c r="U1885">
        <v>5</v>
      </c>
      <c r="V1885" s="1">
        <v>44880</v>
      </c>
      <c r="W1885" t="s">
        <v>62</v>
      </c>
      <c r="X1885" t="s">
        <v>42</v>
      </c>
      <c r="Y1885" t="s">
        <v>63</v>
      </c>
      <c r="Z1885">
        <v>2</v>
      </c>
      <c r="AA1885">
        <v>545.35</v>
      </c>
      <c r="AB1885">
        <v>66</v>
      </c>
    </row>
    <row r="1886" spans="1:28" x14ac:dyDescent="0.2">
      <c r="A1886">
        <v>2408</v>
      </c>
      <c r="B1886" s="1">
        <v>44454</v>
      </c>
      <c r="C1886" t="s">
        <v>120</v>
      </c>
      <c r="D1886" t="s">
        <v>87</v>
      </c>
      <c r="E1886" t="s">
        <v>30</v>
      </c>
      <c r="F1886" t="s">
        <v>55</v>
      </c>
      <c r="G1886" t="s">
        <v>56</v>
      </c>
      <c r="H1886" t="s">
        <v>46</v>
      </c>
      <c r="I1886" t="s">
        <v>95</v>
      </c>
      <c r="J1886" t="s">
        <v>70</v>
      </c>
      <c r="K1886" s="2">
        <v>22656</v>
      </c>
      <c r="L1886" t="s">
        <v>36</v>
      </c>
      <c r="M1886" t="s">
        <v>37</v>
      </c>
      <c r="N1886" t="s">
        <v>72</v>
      </c>
      <c r="O1886" t="s">
        <v>77</v>
      </c>
      <c r="P1886" t="s">
        <v>40</v>
      </c>
      <c r="Q1886">
        <v>5</v>
      </c>
      <c r="R1886" s="2">
        <v>44799</v>
      </c>
      <c r="S1886">
        <v>2</v>
      </c>
      <c r="T1886">
        <v>5</v>
      </c>
      <c r="U1886">
        <v>5</v>
      </c>
      <c r="V1886" s="1">
        <v>44808</v>
      </c>
      <c r="W1886" t="s">
        <v>62</v>
      </c>
      <c r="X1886" t="s">
        <v>42</v>
      </c>
      <c r="Y1886" t="s">
        <v>43</v>
      </c>
      <c r="Z1886">
        <v>1</v>
      </c>
      <c r="AA1886">
        <v>968.87</v>
      </c>
      <c r="AB1886">
        <v>59</v>
      </c>
    </row>
    <row r="1887" spans="1:28" x14ac:dyDescent="0.2">
      <c r="A1887">
        <v>2409</v>
      </c>
      <c r="B1887" s="1">
        <v>43867</v>
      </c>
      <c r="C1887" t="s">
        <v>122</v>
      </c>
      <c r="D1887" t="s">
        <v>64</v>
      </c>
      <c r="E1887" t="s">
        <v>30</v>
      </c>
      <c r="F1887" t="s">
        <v>55</v>
      </c>
      <c r="G1887" t="s">
        <v>56</v>
      </c>
      <c r="H1887" t="s">
        <v>55</v>
      </c>
      <c r="I1887" t="s">
        <v>95</v>
      </c>
      <c r="J1887" t="s">
        <v>79</v>
      </c>
      <c r="K1887" s="2">
        <v>35368</v>
      </c>
      <c r="L1887" t="s">
        <v>36</v>
      </c>
      <c r="M1887" t="s">
        <v>37</v>
      </c>
      <c r="N1887" t="s">
        <v>38</v>
      </c>
      <c r="O1887" t="s">
        <v>61</v>
      </c>
      <c r="P1887" t="s">
        <v>40</v>
      </c>
      <c r="Q1887">
        <v>4</v>
      </c>
      <c r="R1887" s="2">
        <v>44937</v>
      </c>
      <c r="S1887">
        <v>3</v>
      </c>
      <c r="T1887">
        <v>3</v>
      </c>
      <c r="U1887">
        <v>3</v>
      </c>
      <c r="V1887" s="1">
        <v>45023</v>
      </c>
      <c r="W1887" t="s">
        <v>50</v>
      </c>
      <c r="X1887" t="s">
        <v>51</v>
      </c>
      <c r="Y1887" t="s">
        <v>73</v>
      </c>
      <c r="Z1887">
        <v>1</v>
      </c>
      <c r="AA1887">
        <v>949.78</v>
      </c>
      <c r="AB1887">
        <v>24</v>
      </c>
    </row>
    <row r="1888" spans="1:28" x14ac:dyDescent="0.2">
      <c r="A1888">
        <v>2410</v>
      </c>
      <c r="B1888" s="1">
        <v>44855</v>
      </c>
      <c r="C1888" t="s">
        <v>120</v>
      </c>
      <c r="D1888" t="s">
        <v>94</v>
      </c>
      <c r="E1888" t="s">
        <v>30</v>
      </c>
      <c r="F1888" t="s">
        <v>55</v>
      </c>
      <c r="G1888" t="s">
        <v>56</v>
      </c>
      <c r="H1888" t="s">
        <v>46</v>
      </c>
      <c r="I1888" t="s">
        <v>95</v>
      </c>
      <c r="J1888" t="s">
        <v>79</v>
      </c>
      <c r="K1888" s="2">
        <v>21143</v>
      </c>
      <c r="L1888" t="s">
        <v>36</v>
      </c>
      <c r="M1888" t="s">
        <v>48</v>
      </c>
      <c r="N1888" t="s">
        <v>38</v>
      </c>
      <c r="O1888" t="s">
        <v>77</v>
      </c>
      <c r="P1888" t="s">
        <v>40</v>
      </c>
      <c r="Q1888">
        <v>2</v>
      </c>
      <c r="R1888" s="2">
        <v>45049</v>
      </c>
      <c r="S1888">
        <v>4</v>
      </c>
      <c r="T1888">
        <v>4</v>
      </c>
      <c r="U1888">
        <v>1</v>
      </c>
      <c r="V1888" s="1">
        <v>44828</v>
      </c>
      <c r="W1888" t="s">
        <v>68</v>
      </c>
      <c r="X1888" t="s">
        <v>51</v>
      </c>
      <c r="Y1888" t="s">
        <v>43</v>
      </c>
      <c r="Z1888">
        <v>3</v>
      </c>
      <c r="AA1888">
        <v>341.65</v>
      </c>
      <c r="AB1888">
        <v>65</v>
      </c>
    </row>
    <row r="1889" spans="1:28" x14ac:dyDescent="0.2">
      <c r="A1889">
        <v>2411</v>
      </c>
      <c r="B1889" s="1">
        <v>44845</v>
      </c>
      <c r="C1889" t="s">
        <v>133</v>
      </c>
      <c r="D1889" t="s">
        <v>81</v>
      </c>
      <c r="E1889" t="s">
        <v>30</v>
      </c>
      <c r="F1889" t="s">
        <v>46</v>
      </c>
      <c r="G1889" t="s">
        <v>56</v>
      </c>
      <c r="H1889" t="s">
        <v>33</v>
      </c>
      <c r="I1889" t="s">
        <v>34</v>
      </c>
      <c r="J1889" t="s">
        <v>65</v>
      </c>
      <c r="K1889" s="2">
        <v>34531</v>
      </c>
      <c r="L1889" t="s">
        <v>36</v>
      </c>
      <c r="M1889" t="s">
        <v>37</v>
      </c>
      <c r="N1889" t="s">
        <v>72</v>
      </c>
      <c r="O1889" t="s">
        <v>39</v>
      </c>
      <c r="P1889" t="s">
        <v>40</v>
      </c>
      <c r="Q1889">
        <v>2</v>
      </c>
      <c r="R1889" s="2">
        <v>44949</v>
      </c>
      <c r="S1889">
        <v>2</v>
      </c>
      <c r="T1889">
        <v>3</v>
      </c>
      <c r="U1889">
        <v>3</v>
      </c>
      <c r="V1889" s="1">
        <v>44984</v>
      </c>
      <c r="W1889" t="s">
        <v>62</v>
      </c>
      <c r="X1889" t="s">
        <v>51</v>
      </c>
      <c r="Y1889" t="s">
        <v>43</v>
      </c>
      <c r="Z1889">
        <v>4</v>
      </c>
      <c r="AA1889">
        <v>798.7</v>
      </c>
      <c r="AB1889">
        <v>28</v>
      </c>
    </row>
    <row r="1890" spans="1:28" x14ac:dyDescent="0.2">
      <c r="A1890">
        <v>2412</v>
      </c>
      <c r="B1890" s="1">
        <v>44591</v>
      </c>
      <c r="C1890" t="s">
        <v>133</v>
      </c>
      <c r="D1890" t="s">
        <v>54</v>
      </c>
      <c r="E1890" t="s">
        <v>30</v>
      </c>
      <c r="F1890" t="s">
        <v>55</v>
      </c>
      <c r="G1890" t="s">
        <v>56</v>
      </c>
      <c r="H1890" t="s">
        <v>46</v>
      </c>
      <c r="I1890" t="s">
        <v>34</v>
      </c>
      <c r="J1890" t="s">
        <v>79</v>
      </c>
      <c r="K1890" s="2">
        <v>34620</v>
      </c>
      <c r="L1890" t="s">
        <v>36</v>
      </c>
      <c r="M1890" t="s">
        <v>48</v>
      </c>
      <c r="N1890" t="s">
        <v>38</v>
      </c>
      <c r="O1890" t="s">
        <v>39</v>
      </c>
      <c r="P1890" t="s">
        <v>40</v>
      </c>
      <c r="Q1890">
        <v>2</v>
      </c>
      <c r="R1890" s="2">
        <v>45026</v>
      </c>
      <c r="S1890">
        <v>5</v>
      </c>
      <c r="T1890">
        <v>4</v>
      </c>
      <c r="U1890">
        <v>5</v>
      </c>
      <c r="V1890" s="1">
        <v>44947</v>
      </c>
      <c r="W1890" t="s">
        <v>62</v>
      </c>
      <c r="X1890" t="s">
        <v>42</v>
      </c>
      <c r="Y1890" t="s">
        <v>73</v>
      </c>
      <c r="Z1890">
        <v>5</v>
      </c>
      <c r="AA1890">
        <v>859</v>
      </c>
      <c r="AB1890">
        <v>28</v>
      </c>
    </row>
    <row r="1891" spans="1:28" x14ac:dyDescent="0.2">
      <c r="A1891">
        <v>2413</v>
      </c>
      <c r="B1891" s="1">
        <v>44769</v>
      </c>
      <c r="C1891" t="s">
        <v>133</v>
      </c>
      <c r="D1891" t="s">
        <v>94</v>
      </c>
      <c r="E1891" t="s">
        <v>30</v>
      </c>
      <c r="F1891" t="s">
        <v>55</v>
      </c>
      <c r="G1891" t="s">
        <v>56</v>
      </c>
      <c r="H1891" t="s">
        <v>33</v>
      </c>
      <c r="I1891" t="s">
        <v>34</v>
      </c>
      <c r="J1891" t="s">
        <v>65</v>
      </c>
      <c r="K1891" s="2">
        <v>15441</v>
      </c>
      <c r="L1891" t="s">
        <v>36</v>
      </c>
      <c r="M1891" t="s">
        <v>37</v>
      </c>
      <c r="N1891" t="s">
        <v>38</v>
      </c>
      <c r="O1891" t="s">
        <v>61</v>
      </c>
      <c r="P1891" t="s">
        <v>40</v>
      </c>
      <c r="Q1891">
        <v>4</v>
      </c>
      <c r="R1891" s="2">
        <v>44873</v>
      </c>
      <c r="S1891">
        <v>4</v>
      </c>
      <c r="T1891">
        <v>2</v>
      </c>
      <c r="U1891">
        <v>2</v>
      </c>
      <c r="V1891" s="1">
        <v>44805</v>
      </c>
      <c r="W1891" t="s">
        <v>92</v>
      </c>
      <c r="X1891" t="s">
        <v>51</v>
      </c>
      <c r="Y1891" t="s">
        <v>43</v>
      </c>
      <c r="Z1891">
        <v>1</v>
      </c>
      <c r="AA1891">
        <v>193.51</v>
      </c>
      <c r="AB1891">
        <v>80</v>
      </c>
    </row>
    <row r="1892" spans="1:28" x14ac:dyDescent="0.2">
      <c r="A1892">
        <v>2414</v>
      </c>
      <c r="B1892" s="1">
        <v>44707</v>
      </c>
      <c r="C1892" t="s">
        <v>133</v>
      </c>
      <c r="D1892" t="s">
        <v>85</v>
      </c>
      <c r="E1892" t="s">
        <v>30</v>
      </c>
      <c r="F1892" t="s">
        <v>46</v>
      </c>
      <c r="G1892" t="s">
        <v>56</v>
      </c>
      <c r="H1892" t="s">
        <v>46</v>
      </c>
      <c r="I1892" t="s">
        <v>34</v>
      </c>
      <c r="J1892" t="s">
        <v>65</v>
      </c>
      <c r="K1892" s="2">
        <v>19191</v>
      </c>
      <c r="L1892" t="s">
        <v>36</v>
      </c>
      <c r="M1892" t="s">
        <v>37</v>
      </c>
      <c r="N1892" t="s">
        <v>84</v>
      </c>
      <c r="O1892" t="s">
        <v>61</v>
      </c>
      <c r="P1892" t="s">
        <v>40</v>
      </c>
      <c r="Q1892">
        <v>2</v>
      </c>
      <c r="R1892" s="2">
        <v>44809</v>
      </c>
      <c r="S1892">
        <v>1</v>
      </c>
      <c r="T1892">
        <v>1</v>
      </c>
      <c r="U1892">
        <v>5</v>
      </c>
      <c r="V1892" s="1">
        <v>44805</v>
      </c>
      <c r="W1892" t="s">
        <v>68</v>
      </c>
      <c r="X1892" t="s">
        <v>51</v>
      </c>
      <c r="Y1892" t="s">
        <v>43</v>
      </c>
      <c r="Z1892">
        <v>5</v>
      </c>
      <c r="AA1892">
        <v>506.08</v>
      </c>
      <c r="AB1892">
        <v>70</v>
      </c>
    </row>
    <row r="1893" spans="1:28" x14ac:dyDescent="0.2">
      <c r="A1893">
        <v>2415</v>
      </c>
      <c r="B1893" s="1">
        <v>44235</v>
      </c>
      <c r="C1893" t="s">
        <v>133</v>
      </c>
      <c r="D1893" t="s">
        <v>64</v>
      </c>
      <c r="E1893" t="s">
        <v>30</v>
      </c>
      <c r="F1893" t="s">
        <v>55</v>
      </c>
      <c r="G1893" t="s">
        <v>56</v>
      </c>
      <c r="H1893" t="s">
        <v>55</v>
      </c>
      <c r="I1893" t="s">
        <v>34</v>
      </c>
      <c r="J1893" t="s">
        <v>70</v>
      </c>
      <c r="K1893" s="2">
        <v>19247</v>
      </c>
      <c r="L1893" t="s">
        <v>36</v>
      </c>
      <c r="M1893" t="s">
        <v>37</v>
      </c>
      <c r="N1893" t="s">
        <v>38</v>
      </c>
      <c r="O1893" t="s">
        <v>67</v>
      </c>
      <c r="P1893" t="s">
        <v>40</v>
      </c>
      <c r="Q1893">
        <v>4</v>
      </c>
      <c r="R1893" s="2">
        <v>44965</v>
      </c>
      <c r="S1893">
        <v>1</v>
      </c>
      <c r="T1893">
        <v>2</v>
      </c>
      <c r="U1893">
        <v>5</v>
      </c>
      <c r="V1893" s="1">
        <v>44791</v>
      </c>
      <c r="W1893" t="s">
        <v>50</v>
      </c>
      <c r="X1893" t="s">
        <v>42</v>
      </c>
      <c r="Y1893" t="s">
        <v>43</v>
      </c>
      <c r="Z1893">
        <v>4</v>
      </c>
      <c r="AA1893">
        <v>938.18</v>
      </c>
      <c r="AB1893">
        <v>69</v>
      </c>
    </row>
    <row r="1894" spans="1:28" x14ac:dyDescent="0.2">
      <c r="A1894">
        <v>2416</v>
      </c>
      <c r="B1894" s="1">
        <v>44718</v>
      </c>
      <c r="C1894" t="s">
        <v>133</v>
      </c>
      <c r="D1894" t="s">
        <v>74</v>
      </c>
      <c r="E1894" t="s">
        <v>30</v>
      </c>
      <c r="F1894" t="s">
        <v>31</v>
      </c>
      <c r="G1894" t="s">
        <v>32</v>
      </c>
      <c r="H1894" t="s">
        <v>55</v>
      </c>
      <c r="I1894" t="s">
        <v>34</v>
      </c>
      <c r="J1894" t="s">
        <v>65</v>
      </c>
      <c r="K1894" s="2">
        <v>34493</v>
      </c>
      <c r="L1894" t="s">
        <v>36</v>
      </c>
      <c r="M1894" t="s">
        <v>48</v>
      </c>
      <c r="N1894" t="s">
        <v>84</v>
      </c>
      <c r="O1894" t="s">
        <v>61</v>
      </c>
      <c r="P1894" t="s">
        <v>40</v>
      </c>
      <c r="Q1894">
        <v>2</v>
      </c>
      <c r="R1894" s="2">
        <v>44866</v>
      </c>
      <c r="S1894">
        <v>4</v>
      </c>
      <c r="T1894">
        <v>5</v>
      </c>
      <c r="U1894">
        <v>1</v>
      </c>
      <c r="V1894" s="1">
        <v>45052</v>
      </c>
      <c r="W1894" t="s">
        <v>92</v>
      </c>
      <c r="X1894" t="s">
        <v>42</v>
      </c>
      <c r="Y1894" t="s">
        <v>43</v>
      </c>
      <c r="Z1894">
        <v>2</v>
      </c>
      <c r="AA1894">
        <v>344.8</v>
      </c>
      <c r="AB1894">
        <v>28</v>
      </c>
    </row>
    <row r="1895" spans="1:28" x14ac:dyDescent="0.2">
      <c r="A1895">
        <v>2417</v>
      </c>
      <c r="B1895" s="1">
        <v>44254</v>
      </c>
      <c r="C1895" t="s">
        <v>133</v>
      </c>
      <c r="D1895" t="s">
        <v>69</v>
      </c>
      <c r="E1895" t="s">
        <v>30</v>
      </c>
      <c r="F1895" t="s">
        <v>31</v>
      </c>
      <c r="G1895" t="s">
        <v>32</v>
      </c>
      <c r="H1895" t="s">
        <v>55</v>
      </c>
      <c r="I1895" t="s">
        <v>34</v>
      </c>
      <c r="J1895" t="s">
        <v>79</v>
      </c>
      <c r="K1895" s="2">
        <v>31726</v>
      </c>
      <c r="L1895" t="s">
        <v>36</v>
      </c>
      <c r="M1895" t="s">
        <v>48</v>
      </c>
      <c r="N1895" t="s">
        <v>38</v>
      </c>
      <c r="O1895" t="s">
        <v>61</v>
      </c>
      <c r="P1895" t="s">
        <v>40</v>
      </c>
      <c r="Q1895">
        <v>4</v>
      </c>
      <c r="R1895" s="2">
        <v>44821</v>
      </c>
      <c r="S1895">
        <v>2</v>
      </c>
      <c r="T1895">
        <v>3</v>
      </c>
      <c r="U1895">
        <v>4</v>
      </c>
      <c r="V1895" s="1">
        <v>44865</v>
      </c>
      <c r="W1895" t="s">
        <v>92</v>
      </c>
      <c r="X1895" t="s">
        <v>51</v>
      </c>
      <c r="Y1895" t="s">
        <v>73</v>
      </c>
      <c r="Z1895">
        <v>4</v>
      </c>
      <c r="AA1895">
        <v>587.29</v>
      </c>
      <c r="AB1895">
        <v>35</v>
      </c>
    </row>
    <row r="1896" spans="1:28" x14ac:dyDescent="0.2">
      <c r="A1896">
        <v>2418</v>
      </c>
      <c r="B1896" s="1">
        <v>44587</v>
      </c>
      <c r="C1896" t="s">
        <v>133</v>
      </c>
      <c r="D1896" t="s">
        <v>29</v>
      </c>
      <c r="E1896" t="s">
        <v>108</v>
      </c>
      <c r="F1896" t="s">
        <v>31</v>
      </c>
      <c r="G1896" t="s">
        <v>56</v>
      </c>
      <c r="H1896" t="s">
        <v>33</v>
      </c>
      <c r="I1896" t="s">
        <v>34</v>
      </c>
      <c r="J1896" t="s">
        <v>96</v>
      </c>
      <c r="K1896" s="2">
        <v>15512</v>
      </c>
      <c r="L1896" t="s">
        <v>36</v>
      </c>
      <c r="M1896" t="s">
        <v>48</v>
      </c>
      <c r="N1896" t="s">
        <v>72</v>
      </c>
      <c r="O1896" t="s">
        <v>67</v>
      </c>
      <c r="P1896" t="s">
        <v>40</v>
      </c>
      <c r="Q1896">
        <v>1</v>
      </c>
      <c r="R1896" s="2">
        <v>44993</v>
      </c>
      <c r="S1896">
        <v>3</v>
      </c>
      <c r="T1896">
        <v>2</v>
      </c>
      <c r="U1896">
        <v>5</v>
      </c>
      <c r="V1896" s="1">
        <v>44953</v>
      </c>
      <c r="W1896" t="s">
        <v>68</v>
      </c>
      <c r="X1896" t="s">
        <v>51</v>
      </c>
      <c r="Y1896" t="s">
        <v>43</v>
      </c>
      <c r="Z1896">
        <v>5</v>
      </c>
      <c r="AA1896">
        <v>966.19</v>
      </c>
      <c r="AB1896">
        <v>80</v>
      </c>
    </row>
    <row r="1897" spans="1:28" x14ac:dyDescent="0.2">
      <c r="A1897">
        <v>2419</v>
      </c>
      <c r="B1897" s="1">
        <v>43922</v>
      </c>
      <c r="C1897" t="s">
        <v>133</v>
      </c>
      <c r="D1897" t="s">
        <v>44</v>
      </c>
      <c r="E1897" t="s">
        <v>30</v>
      </c>
      <c r="F1897" t="s">
        <v>46</v>
      </c>
      <c r="G1897" t="s">
        <v>45</v>
      </c>
      <c r="H1897" t="s">
        <v>33</v>
      </c>
      <c r="I1897" t="s">
        <v>34</v>
      </c>
      <c r="J1897" t="s">
        <v>101</v>
      </c>
      <c r="K1897" s="2">
        <v>36754</v>
      </c>
      <c r="L1897" t="s">
        <v>36</v>
      </c>
      <c r="M1897" t="s">
        <v>37</v>
      </c>
      <c r="N1897" t="s">
        <v>38</v>
      </c>
      <c r="O1897" t="s">
        <v>67</v>
      </c>
      <c r="P1897" t="s">
        <v>40</v>
      </c>
      <c r="Q1897">
        <v>2</v>
      </c>
      <c r="R1897" s="2">
        <v>44917</v>
      </c>
      <c r="S1897">
        <v>2</v>
      </c>
      <c r="T1897">
        <v>2</v>
      </c>
      <c r="U1897">
        <v>1</v>
      </c>
      <c r="V1897" s="1">
        <v>45112</v>
      </c>
      <c r="W1897" t="s">
        <v>62</v>
      </c>
      <c r="X1897" t="s">
        <v>51</v>
      </c>
      <c r="Y1897" t="s">
        <v>63</v>
      </c>
      <c r="Z1897">
        <v>4</v>
      </c>
      <c r="AA1897">
        <v>433.85</v>
      </c>
      <c r="AB1897">
        <v>20</v>
      </c>
    </row>
    <row r="1898" spans="1:28" x14ac:dyDescent="0.2">
      <c r="A1898">
        <v>2420</v>
      </c>
      <c r="B1898" s="1">
        <v>43985</v>
      </c>
      <c r="C1898" t="s">
        <v>133</v>
      </c>
      <c r="D1898" t="s">
        <v>87</v>
      </c>
      <c r="E1898" t="s">
        <v>30</v>
      </c>
      <c r="F1898" t="s">
        <v>31</v>
      </c>
      <c r="G1898" t="s">
        <v>56</v>
      </c>
      <c r="H1898" t="s">
        <v>55</v>
      </c>
      <c r="I1898" t="s">
        <v>34</v>
      </c>
      <c r="J1898" t="s">
        <v>96</v>
      </c>
      <c r="K1898" s="2">
        <v>17989</v>
      </c>
      <c r="L1898" t="s">
        <v>36</v>
      </c>
      <c r="M1898" t="s">
        <v>37</v>
      </c>
      <c r="N1898" t="s">
        <v>38</v>
      </c>
      <c r="O1898" t="s">
        <v>61</v>
      </c>
      <c r="P1898" t="s">
        <v>40</v>
      </c>
      <c r="Q1898">
        <v>5</v>
      </c>
      <c r="R1898" s="2">
        <v>45053</v>
      </c>
      <c r="S1898">
        <v>4</v>
      </c>
      <c r="T1898">
        <v>3</v>
      </c>
      <c r="U1898">
        <v>1</v>
      </c>
      <c r="V1898" s="1">
        <v>44955</v>
      </c>
      <c r="W1898" t="s">
        <v>62</v>
      </c>
      <c r="X1898" t="s">
        <v>42</v>
      </c>
      <c r="Y1898" t="s">
        <v>73</v>
      </c>
      <c r="Z1898">
        <v>3</v>
      </c>
      <c r="AA1898">
        <v>684.64</v>
      </c>
      <c r="AB1898">
        <v>71</v>
      </c>
    </row>
    <row r="1899" spans="1:28" x14ac:dyDescent="0.2">
      <c r="A1899">
        <v>2421</v>
      </c>
      <c r="B1899" s="1">
        <v>44520</v>
      </c>
      <c r="C1899" t="s">
        <v>133</v>
      </c>
      <c r="D1899" t="s">
        <v>81</v>
      </c>
      <c r="E1899" t="s">
        <v>30</v>
      </c>
      <c r="F1899" t="s">
        <v>55</v>
      </c>
      <c r="G1899" t="s">
        <v>32</v>
      </c>
      <c r="H1899" t="s">
        <v>46</v>
      </c>
      <c r="I1899" t="s">
        <v>34</v>
      </c>
      <c r="J1899" t="s">
        <v>79</v>
      </c>
      <c r="K1899" s="2">
        <v>31658</v>
      </c>
      <c r="L1899" t="s">
        <v>36</v>
      </c>
      <c r="M1899" t="s">
        <v>37</v>
      </c>
      <c r="N1899" t="s">
        <v>84</v>
      </c>
      <c r="O1899" t="s">
        <v>67</v>
      </c>
      <c r="P1899" t="s">
        <v>40</v>
      </c>
      <c r="Q1899">
        <v>2</v>
      </c>
      <c r="R1899" s="2">
        <v>45019</v>
      </c>
      <c r="S1899">
        <v>1</v>
      </c>
      <c r="T1899">
        <v>3</v>
      </c>
      <c r="U1899">
        <v>5</v>
      </c>
      <c r="V1899" s="1">
        <v>45115</v>
      </c>
      <c r="W1899" t="s">
        <v>50</v>
      </c>
      <c r="X1899" t="s">
        <v>42</v>
      </c>
      <c r="Y1899" t="s">
        <v>63</v>
      </c>
      <c r="Z1899">
        <v>3</v>
      </c>
      <c r="AA1899">
        <v>442.48</v>
      </c>
      <c r="AB1899">
        <v>35</v>
      </c>
    </row>
    <row r="1900" spans="1:28" x14ac:dyDescent="0.2">
      <c r="A1900">
        <v>2422</v>
      </c>
      <c r="B1900" s="1">
        <v>44551</v>
      </c>
      <c r="C1900" t="s">
        <v>133</v>
      </c>
      <c r="D1900" t="s">
        <v>54</v>
      </c>
      <c r="E1900" t="s">
        <v>108</v>
      </c>
      <c r="F1900" t="s">
        <v>46</v>
      </c>
      <c r="G1900" t="s">
        <v>45</v>
      </c>
      <c r="H1900" t="s">
        <v>33</v>
      </c>
      <c r="I1900" t="s">
        <v>34</v>
      </c>
      <c r="J1900" t="s">
        <v>65</v>
      </c>
      <c r="K1900" s="2">
        <v>17973</v>
      </c>
      <c r="L1900" t="s">
        <v>36</v>
      </c>
      <c r="M1900" t="s">
        <v>48</v>
      </c>
      <c r="N1900" t="s">
        <v>49</v>
      </c>
      <c r="O1900" t="s">
        <v>39</v>
      </c>
      <c r="P1900" t="s">
        <v>40</v>
      </c>
      <c r="Q1900">
        <v>2</v>
      </c>
      <c r="R1900" s="2">
        <v>44852</v>
      </c>
      <c r="S1900">
        <v>5</v>
      </c>
      <c r="T1900">
        <v>4</v>
      </c>
      <c r="U1900">
        <v>5</v>
      </c>
      <c r="V1900" s="1">
        <v>44802</v>
      </c>
      <c r="W1900" t="s">
        <v>41</v>
      </c>
      <c r="X1900" t="s">
        <v>51</v>
      </c>
      <c r="Y1900" t="s">
        <v>43</v>
      </c>
      <c r="Z1900">
        <v>1</v>
      </c>
      <c r="AA1900">
        <v>400.73</v>
      </c>
      <c r="AB1900">
        <v>72</v>
      </c>
    </row>
    <row r="1901" spans="1:28" x14ac:dyDescent="0.2">
      <c r="A1901">
        <v>2423</v>
      </c>
      <c r="B1901" s="1">
        <v>43383</v>
      </c>
      <c r="C1901" t="s">
        <v>136</v>
      </c>
      <c r="D1901" t="s">
        <v>94</v>
      </c>
      <c r="E1901" t="s">
        <v>30</v>
      </c>
      <c r="F1901" t="s">
        <v>31</v>
      </c>
      <c r="G1901" t="s">
        <v>45</v>
      </c>
      <c r="H1901" t="s">
        <v>55</v>
      </c>
      <c r="I1901" t="s">
        <v>34</v>
      </c>
      <c r="J1901" t="s">
        <v>65</v>
      </c>
      <c r="K1901" s="2">
        <v>28439</v>
      </c>
      <c r="L1901" t="s">
        <v>36</v>
      </c>
      <c r="M1901" t="s">
        <v>48</v>
      </c>
      <c r="N1901" t="s">
        <v>84</v>
      </c>
      <c r="O1901" t="s">
        <v>77</v>
      </c>
      <c r="P1901" t="s">
        <v>40</v>
      </c>
      <c r="Q1901">
        <v>1</v>
      </c>
      <c r="R1901" s="2">
        <v>45022</v>
      </c>
      <c r="S1901">
        <v>3</v>
      </c>
      <c r="T1901">
        <v>3</v>
      </c>
      <c r="U1901">
        <v>5</v>
      </c>
      <c r="V1901" s="1">
        <v>45092</v>
      </c>
      <c r="W1901" t="s">
        <v>68</v>
      </c>
      <c r="X1901" t="s">
        <v>42</v>
      </c>
      <c r="Y1901" t="s">
        <v>43</v>
      </c>
      <c r="Z1901">
        <v>5</v>
      </c>
      <c r="AA1901">
        <v>523.75</v>
      </c>
      <c r="AB1901">
        <v>41</v>
      </c>
    </row>
    <row r="1902" spans="1:28" x14ac:dyDescent="0.2">
      <c r="A1902">
        <v>2424</v>
      </c>
      <c r="B1902" s="1">
        <v>43522</v>
      </c>
      <c r="C1902" t="s">
        <v>113</v>
      </c>
      <c r="D1902" t="s">
        <v>85</v>
      </c>
      <c r="E1902" t="s">
        <v>30</v>
      </c>
      <c r="F1902" t="s">
        <v>55</v>
      </c>
      <c r="G1902" t="s">
        <v>32</v>
      </c>
      <c r="H1902" t="s">
        <v>55</v>
      </c>
      <c r="I1902" t="s">
        <v>115</v>
      </c>
      <c r="J1902" t="s">
        <v>79</v>
      </c>
      <c r="K1902" s="2">
        <v>27259</v>
      </c>
      <c r="L1902" t="s">
        <v>36</v>
      </c>
      <c r="M1902" t="s">
        <v>48</v>
      </c>
      <c r="N1902" t="s">
        <v>49</v>
      </c>
      <c r="O1902" t="s">
        <v>77</v>
      </c>
      <c r="P1902" t="s">
        <v>40</v>
      </c>
      <c r="Q1902">
        <v>2</v>
      </c>
      <c r="R1902" s="2">
        <v>44982</v>
      </c>
      <c r="S1902">
        <v>2</v>
      </c>
      <c r="T1902">
        <v>1</v>
      </c>
      <c r="U1902">
        <v>4</v>
      </c>
      <c r="V1902" s="1">
        <v>44852</v>
      </c>
      <c r="W1902" t="s">
        <v>50</v>
      </c>
      <c r="X1902" t="s">
        <v>42</v>
      </c>
      <c r="Y1902" t="s">
        <v>43</v>
      </c>
      <c r="Z1902">
        <v>1</v>
      </c>
      <c r="AA1902">
        <v>292.85000000000002</v>
      </c>
      <c r="AB1902">
        <v>45</v>
      </c>
    </row>
    <row r="1903" spans="1:28" x14ac:dyDescent="0.2">
      <c r="A1903">
        <v>2425</v>
      </c>
      <c r="B1903" s="1">
        <v>44731</v>
      </c>
      <c r="C1903" t="s">
        <v>148</v>
      </c>
      <c r="D1903" t="s">
        <v>87</v>
      </c>
      <c r="E1903" t="s">
        <v>30</v>
      </c>
      <c r="F1903" t="s">
        <v>31</v>
      </c>
      <c r="G1903" t="s">
        <v>32</v>
      </c>
      <c r="H1903" t="s">
        <v>55</v>
      </c>
      <c r="I1903" t="s">
        <v>34</v>
      </c>
      <c r="J1903" t="s">
        <v>101</v>
      </c>
      <c r="K1903" s="2">
        <v>30117</v>
      </c>
      <c r="L1903" t="s">
        <v>36</v>
      </c>
      <c r="M1903" t="s">
        <v>48</v>
      </c>
      <c r="N1903" t="s">
        <v>84</v>
      </c>
      <c r="O1903" t="s">
        <v>77</v>
      </c>
      <c r="P1903" t="s">
        <v>40</v>
      </c>
      <c r="Q1903">
        <v>2</v>
      </c>
      <c r="R1903" s="2">
        <v>45013</v>
      </c>
      <c r="S1903">
        <v>2</v>
      </c>
      <c r="T1903">
        <v>2</v>
      </c>
      <c r="U1903">
        <v>2</v>
      </c>
      <c r="V1903" s="1">
        <v>45039</v>
      </c>
      <c r="W1903" t="s">
        <v>68</v>
      </c>
      <c r="X1903" t="s">
        <v>51</v>
      </c>
      <c r="Y1903" t="s">
        <v>43</v>
      </c>
      <c r="Z1903">
        <v>3</v>
      </c>
      <c r="AA1903">
        <v>136.76</v>
      </c>
      <c r="AB1903">
        <v>40</v>
      </c>
    </row>
    <row r="1904" spans="1:28" x14ac:dyDescent="0.2">
      <c r="A1904">
        <v>2426</v>
      </c>
      <c r="B1904" s="1">
        <v>44032</v>
      </c>
      <c r="C1904" t="s">
        <v>120</v>
      </c>
      <c r="D1904" t="s">
        <v>44</v>
      </c>
      <c r="E1904" t="s">
        <v>30</v>
      </c>
      <c r="F1904" t="s">
        <v>55</v>
      </c>
      <c r="G1904" t="s">
        <v>32</v>
      </c>
      <c r="H1904" t="s">
        <v>46</v>
      </c>
      <c r="I1904" t="s">
        <v>34</v>
      </c>
      <c r="J1904" t="s">
        <v>65</v>
      </c>
      <c r="K1904" s="2">
        <v>21612</v>
      </c>
      <c r="L1904" t="s">
        <v>36</v>
      </c>
      <c r="M1904" t="s">
        <v>37</v>
      </c>
      <c r="N1904" t="s">
        <v>38</v>
      </c>
      <c r="O1904" t="s">
        <v>39</v>
      </c>
      <c r="P1904" t="s">
        <v>40</v>
      </c>
      <c r="Q1904">
        <v>2</v>
      </c>
      <c r="R1904" s="2">
        <v>44855</v>
      </c>
      <c r="S1904">
        <v>5</v>
      </c>
      <c r="T1904">
        <v>5</v>
      </c>
      <c r="U1904">
        <v>3</v>
      </c>
      <c r="V1904" s="1">
        <v>44886</v>
      </c>
      <c r="W1904" t="s">
        <v>41</v>
      </c>
      <c r="X1904" t="s">
        <v>51</v>
      </c>
      <c r="Y1904" t="s">
        <v>52</v>
      </c>
      <c r="Z1904">
        <v>4</v>
      </c>
      <c r="AA1904">
        <v>107.48</v>
      </c>
      <c r="AB1904">
        <v>61</v>
      </c>
    </row>
    <row r="1905" spans="1:28" x14ac:dyDescent="0.2">
      <c r="A1905">
        <v>2427</v>
      </c>
      <c r="B1905" s="1">
        <v>43847</v>
      </c>
      <c r="C1905" t="s">
        <v>120</v>
      </c>
      <c r="D1905" t="s">
        <v>29</v>
      </c>
      <c r="E1905" t="s">
        <v>30</v>
      </c>
      <c r="F1905" t="s">
        <v>46</v>
      </c>
      <c r="G1905" t="s">
        <v>32</v>
      </c>
      <c r="H1905" t="s">
        <v>55</v>
      </c>
      <c r="I1905" t="s">
        <v>95</v>
      </c>
      <c r="J1905" t="s">
        <v>70</v>
      </c>
      <c r="K1905" s="2">
        <v>20781</v>
      </c>
      <c r="L1905" t="s">
        <v>36</v>
      </c>
      <c r="M1905" t="s">
        <v>37</v>
      </c>
      <c r="N1905" t="s">
        <v>84</v>
      </c>
      <c r="O1905" t="s">
        <v>77</v>
      </c>
      <c r="P1905" t="s">
        <v>40</v>
      </c>
      <c r="Q1905">
        <v>5</v>
      </c>
      <c r="R1905" s="2">
        <v>45030</v>
      </c>
      <c r="S1905">
        <v>2</v>
      </c>
      <c r="T1905">
        <v>2</v>
      </c>
      <c r="U1905">
        <v>1</v>
      </c>
      <c r="V1905" s="1">
        <v>44953</v>
      </c>
      <c r="W1905" t="s">
        <v>92</v>
      </c>
      <c r="X1905" t="s">
        <v>42</v>
      </c>
      <c r="Y1905" t="s">
        <v>73</v>
      </c>
      <c r="Z1905">
        <v>2</v>
      </c>
      <c r="AA1905">
        <v>528.76</v>
      </c>
      <c r="AB1905">
        <v>64</v>
      </c>
    </row>
    <row r="1906" spans="1:28" x14ac:dyDescent="0.2">
      <c r="A1906">
        <v>2428</v>
      </c>
      <c r="B1906" s="1">
        <v>44351</v>
      </c>
      <c r="C1906" t="s">
        <v>122</v>
      </c>
      <c r="D1906" t="s">
        <v>69</v>
      </c>
      <c r="E1906" t="s">
        <v>30</v>
      </c>
      <c r="F1906" t="s">
        <v>46</v>
      </c>
      <c r="G1906" t="s">
        <v>56</v>
      </c>
      <c r="H1906" t="s">
        <v>33</v>
      </c>
      <c r="I1906" t="s">
        <v>95</v>
      </c>
      <c r="J1906" t="s">
        <v>105</v>
      </c>
      <c r="K1906" s="2">
        <v>23033</v>
      </c>
      <c r="L1906" t="s">
        <v>36</v>
      </c>
      <c r="M1906" t="s">
        <v>37</v>
      </c>
      <c r="N1906" t="s">
        <v>38</v>
      </c>
      <c r="O1906" t="s">
        <v>77</v>
      </c>
      <c r="P1906" t="s">
        <v>40</v>
      </c>
      <c r="Q1906">
        <v>4</v>
      </c>
      <c r="R1906" s="2">
        <v>44895</v>
      </c>
      <c r="S1906">
        <v>2</v>
      </c>
      <c r="T1906">
        <v>5</v>
      </c>
      <c r="U1906">
        <v>5</v>
      </c>
      <c r="V1906" s="1">
        <v>45120</v>
      </c>
      <c r="W1906" t="s">
        <v>50</v>
      </c>
      <c r="X1906" t="s">
        <v>51</v>
      </c>
      <c r="Y1906" t="s">
        <v>73</v>
      </c>
      <c r="Z1906">
        <v>4</v>
      </c>
      <c r="AA1906">
        <v>549.79999999999995</v>
      </c>
      <c r="AB1906">
        <v>58</v>
      </c>
    </row>
    <row r="1907" spans="1:28" x14ac:dyDescent="0.2">
      <c r="A1907">
        <v>2429</v>
      </c>
      <c r="B1907" s="1">
        <v>43574</v>
      </c>
      <c r="C1907" t="s">
        <v>133</v>
      </c>
      <c r="D1907" t="s">
        <v>69</v>
      </c>
      <c r="E1907" t="s">
        <v>30</v>
      </c>
      <c r="F1907" t="s">
        <v>46</v>
      </c>
      <c r="G1907" t="s">
        <v>32</v>
      </c>
      <c r="H1907" t="s">
        <v>33</v>
      </c>
      <c r="I1907" t="s">
        <v>34</v>
      </c>
      <c r="J1907" t="s">
        <v>70</v>
      </c>
      <c r="K1907" s="2">
        <v>36281</v>
      </c>
      <c r="L1907" t="s">
        <v>36</v>
      </c>
      <c r="M1907" t="s">
        <v>48</v>
      </c>
      <c r="N1907" t="s">
        <v>72</v>
      </c>
      <c r="O1907" t="s">
        <v>39</v>
      </c>
      <c r="P1907" t="s">
        <v>40</v>
      </c>
      <c r="Q1907">
        <v>4</v>
      </c>
      <c r="R1907" s="2">
        <v>44871</v>
      </c>
      <c r="S1907">
        <v>3</v>
      </c>
      <c r="T1907">
        <v>4</v>
      </c>
      <c r="U1907">
        <v>2</v>
      </c>
      <c r="V1907" s="1">
        <v>44904</v>
      </c>
      <c r="W1907" t="s">
        <v>92</v>
      </c>
      <c r="X1907" t="s">
        <v>51</v>
      </c>
      <c r="Y1907" t="s">
        <v>63</v>
      </c>
      <c r="Z1907">
        <v>5</v>
      </c>
      <c r="AA1907">
        <v>308.10000000000002</v>
      </c>
      <c r="AB1907">
        <v>20</v>
      </c>
    </row>
    <row r="1908" spans="1:28" x14ac:dyDescent="0.2">
      <c r="A1908">
        <v>2430</v>
      </c>
      <c r="B1908" s="1">
        <v>43421</v>
      </c>
      <c r="C1908" t="s">
        <v>133</v>
      </c>
      <c r="D1908" t="s">
        <v>29</v>
      </c>
      <c r="E1908" t="s">
        <v>30</v>
      </c>
      <c r="F1908" t="s">
        <v>55</v>
      </c>
      <c r="G1908" t="s">
        <v>56</v>
      </c>
      <c r="H1908" t="s">
        <v>46</v>
      </c>
      <c r="I1908" t="s">
        <v>34</v>
      </c>
      <c r="J1908" t="s">
        <v>65</v>
      </c>
      <c r="K1908" s="2">
        <v>17648</v>
      </c>
      <c r="L1908" t="s">
        <v>36</v>
      </c>
      <c r="M1908" t="s">
        <v>48</v>
      </c>
      <c r="N1908" t="s">
        <v>38</v>
      </c>
      <c r="O1908" t="s">
        <v>61</v>
      </c>
      <c r="P1908" t="s">
        <v>40</v>
      </c>
      <c r="Q1908">
        <v>2</v>
      </c>
      <c r="R1908" s="2">
        <v>44826</v>
      </c>
      <c r="S1908">
        <v>2</v>
      </c>
      <c r="T1908">
        <v>1</v>
      </c>
      <c r="U1908">
        <v>1</v>
      </c>
      <c r="V1908" s="1">
        <v>45072</v>
      </c>
      <c r="W1908" t="s">
        <v>68</v>
      </c>
      <c r="X1908" t="s">
        <v>51</v>
      </c>
      <c r="Y1908" t="s">
        <v>73</v>
      </c>
      <c r="Z1908">
        <v>2</v>
      </c>
      <c r="AA1908">
        <v>622.08000000000004</v>
      </c>
      <c r="AB1908">
        <v>70</v>
      </c>
    </row>
    <row r="1909" spans="1:28" x14ac:dyDescent="0.2">
      <c r="A1909">
        <v>2431</v>
      </c>
      <c r="B1909" s="1">
        <v>44791</v>
      </c>
      <c r="C1909" t="s">
        <v>133</v>
      </c>
      <c r="D1909" t="s">
        <v>85</v>
      </c>
      <c r="E1909" t="s">
        <v>30</v>
      </c>
      <c r="F1909" t="s">
        <v>31</v>
      </c>
      <c r="G1909" t="s">
        <v>45</v>
      </c>
      <c r="H1909" t="s">
        <v>55</v>
      </c>
      <c r="I1909" t="s">
        <v>34</v>
      </c>
      <c r="J1909" t="s">
        <v>65</v>
      </c>
      <c r="K1909" s="2">
        <v>15412</v>
      </c>
      <c r="L1909" t="s">
        <v>36</v>
      </c>
      <c r="M1909" t="s">
        <v>37</v>
      </c>
      <c r="N1909" t="s">
        <v>84</v>
      </c>
      <c r="O1909" t="s">
        <v>39</v>
      </c>
      <c r="P1909" t="s">
        <v>40</v>
      </c>
      <c r="Q1909">
        <v>4</v>
      </c>
      <c r="R1909" s="2">
        <v>44865</v>
      </c>
      <c r="S1909">
        <v>4</v>
      </c>
      <c r="T1909">
        <v>2</v>
      </c>
      <c r="U1909">
        <v>5</v>
      </c>
      <c r="V1909" s="1">
        <v>45002</v>
      </c>
      <c r="W1909" t="s">
        <v>50</v>
      </c>
      <c r="X1909" t="s">
        <v>51</v>
      </c>
      <c r="Y1909" t="s">
        <v>52</v>
      </c>
      <c r="Z1909">
        <v>3</v>
      </c>
      <c r="AA1909">
        <v>730.23</v>
      </c>
      <c r="AB1909">
        <v>80</v>
      </c>
    </row>
    <row r="1910" spans="1:28" x14ac:dyDescent="0.2">
      <c r="A1910">
        <v>2432</v>
      </c>
      <c r="B1910" s="1">
        <v>44967</v>
      </c>
      <c r="C1910" t="s">
        <v>133</v>
      </c>
      <c r="D1910" t="s">
        <v>44</v>
      </c>
      <c r="E1910" t="s">
        <v>108</v>
      </c>
      <c r="F1910" t="s">
        <v>31</v>
      </c>
      <c r="G1910" t="s">
        <v>32</v>
      </c>
      <c r="H1910" t="s">
        <v>55</v>
      </c>
      <c r="I1910" t="s">
        <v>34</v>
      </c>
      <c r="J1910" t="s">
        <v>105</v>
      </c>
      <c r="K1910" s="2">
        <v>23119</v>
      </c>
      <c r="L1910" t="s">
        <v>36</v>
      </c>
      <c r="M1910" t="s">
        <v>37</v>
      </c>
      <c r="N1910" t="s">
        <v>84</v>
      </c>
      <c r="O1910" t="s">
        <v>67</v>
      </c>
      <c r="P1910" t="s">
        <v>40</v>
      </c>
      <c r="Q1910">
        <v>2</v>
      </c>
      <c r="R1910" s="2">
        <v>45137</v>
      </c>
      <c r="S1910">
        <v>1</v>
      </c>
      <c r="T1910">
        <v>1</v>
      </c>
      <c r="U1910">
        <v>2</v>
      </c>
      <c r="V1910" s="1">
        <v>44790</v>
      </c>
      <c r="W1910" t="s">
        <v>50</v>
      </c>
      <c r="X1910" t="s">
        <v>51</v>
      </c>
      <c r="Y1910" t="s">
        <v>43</v>
      </c>
      <c r="Z1910">
        <v>1</v>
      </c>
      <c r="AA1910">
        <v>353.71</v>
      </c>
      <c r="AB1910">
        <v>60</v>
      </c>
    </row>
    <row r="1911" spans="1:28" x14ac:dyDescent="0.2">
      <c r="A1911">
        <v>2433</v>
      </c>
      <c r="B1911" s="1">
        <v>43943</v>
      </c>
      <c r="C1911" t="s">
        <v>133</v>
      </c>
      <c r="D1911" t="s">
        <v>87</v>
      </c>
      <c r="E1911" t="s">
        <v>30</v>
      </c>
      <c r="F1911" t="s">
        <v>31</v>
      </c>
      <c r="G1911" t="s">
        <v>32</v>
      </c>
      <c r="H1911" t="s">
        <v>33</v>
      </c>
      <c r="I1911" t="s">
        <v>34</v>
      </c>
      <c r="J1911" t="s">
        <v>79</v>
      </c>
      <c r="K1911" s="2">
        <v>28002</v>
      </c>
      <c r="L1911" t="s">
        <v>36</v>
      </c>
      <c r="M1911" t="s">
        <v>48</v>
      </c>
      <c r="N1911" t="s">
        <v>38</v>
      </c>
      <c r="O1911" t="s">
        <v>39</v>
      </c>
      <c r="P1911" t="s">
        <v>40</v>
      </c>
      <c r="Q1911">
        <v>1</v>
      </c>
      <c r="R1911" s="2">
        <v>44778</v>
      </c>
      <c r="S1911">
        <v>1</v>
      </c>
      <c r="T1911">
        <v>5</v>
      </c>
      <c r="U1911">
        <v>3</v>
      </c>
      <c r="V1911" s="1">
        <v>45036</v>
      </c>
      <c r="W1911" t="s">
        <v>68</v>
      </c>
      <c r="X1911" t="s">
        <v>42</v>
      </c>
      <c r="Y1911" t="s">
        <v>63</v>
      </c>
      <c r="Z1911">
        <v>4</v>
      </c>
      <c r="AA1911">
        <v>580.82000000000005</v>
      </c>
      <c r="AB1911">
        <v>44</v>
      </c>
    </row>
    <row r="1912" spans="1:28" x14ac:dyDescent="0.2">
      <c r="A1912">
        <v>2434</v>
      </c>
      <c r="B1912" s="1">
        <v>44940</v>
      </c>
      <c r="C1912" t="s">
        <v>133</v>
      </c>
      <c r="D1912" t="s">
        <v>64</v>
      </c>
      <c r="E1912" t="s">
        <v>30</v>
      </c>
      <c r="F1912" t="s">
        <v>46</v>
      </c>
      <c r="G1912" t="s">
        <v>45</v>
      </c>
      <c r="H1912" t="s">
        <v>55</v>
      </c>
      <c r="I1912" t="s">
        <v>34</v>
      </c>
      <c r="J1912" t="s">
        <v>65</v>
      </c>
      <c r="K1912" s="2">
        <v>33503</v>
      </c>
      <c r="L1912" t="s">
        <v>36</v>
      </c>
      <c r="M1912" t="s">
        <v>48</v>
      </c>
      <c r="N1912" t="s">
        <v>84</v>
      </c>
      <c r="O1912" t="s">
        <v>61</v>
      </c>
      <c r="P1912" t="s">
        <v>40</v>
      </c>
      <c r="Q1912">
        <v>5</v>
      </c>
      <c r="R1912" s="2">
        <v>44787</v>
      </c>
      <c r="S1912">
        <v>5</v>
      </c>
      <c r="T1912">
        <v>2</v>
      </c>
      <c r="U1912">
        <v>5</v>
      </c>
      <c r="V1912" s="1">
        <v>44810</v>
      </c>
      <c r="W1912" t="s">
        <v>41</v>
      </c>
      <c r="X1912" t="s">
        <v>51</v>
      </c>
      <c r="Y1912" t="s">
        <v>43</v>
      </c>
      <c r="Z1912">
        <v>4</v>
      </c>
      <c r="AA1912">
        <v>810.59</v>
      </c>
      <c r="AB1912">
        <v>32</v>
      </c>
    </row>
    <row r="1913" spans="1:28" x14ac:dyDescent="0.2">
      <c r="A1913">
        <v>2435</v>
      </c>
      <c r="B1913" s="1">
        <v>44998</v>
      </c>
      <c r="C1913" t="s">
        <v>133</v>
      </c>
      <c r="D1913" t="s">
        <v>94</v>
      </c>
      <c r="E1913" t="s">
        <v>108</v>
      </c>
      <c r="F1913" t="s">
        <v>55</v>
      </c>
      <c r="G1913" t="s">
        <v>32</v>
      </c>
      <c r="H1913" t="s">
        <v>46</v>
      </c>
      <c r="I1913" t="s">
        <v>34</v>
      </c>
      <c r="J1913" t="s">
        <v>79</v>
      </c>
      <c r="K1913" s="2">
        <v>30107</v>
      </c>
      <c r="L1913" t="s">
        <v>36</v>
      </c>
      <c r="M1913" t="s">
        <v>48</v>
      </c>
      <c r="N1913" t="s">
        <v>60</v>
      </c>
      <c r="O1913" t="s">
        <v>39</v>
      </c>
      <c r="P1913" t="s">
        <v>40</v>
      </c>
      <c r="Q1913">
        <v>2</v>
      </c>
      <c r="R1913" s="2">
        <v>44955</v>
      </c>
      <c r="S1913">
        <v>1</v>
      </c>
      <c r="T1913">
        <v>3</v>
      </c>
      <c r="U1913">
        <v>2</v>
      </c>
      <c r="V1913" s="1">
        <v>45011</v>
      </c>
      <c r="W1913" t="s">
        <v>92</v>
      </c>
      <c r="X1913" t="s">
        <v>42</v>
      </c>
      <c r="Y1913" t="s">
        <v>52</v>
      </c>
      <c r="Z1913">
        <v>5</v>
      </c>
      <c r="AA1913">
        <v>150.58000000000001</v>
      </c>
      <c r="AB1913">
        <v>41</v>
      </c>
    </row>
    <row r="1914" spans="1:28" x14ac:dyDescent="0.2">
      <c r="A1914">
        <v>2436</v>
      </c>
      <c r="B1914" s="1">
        <v>44925</v>
      </c>
      <c r="C1914" t="s">
        <v>133</v>
      </c>
      <c r="D1914" t="s">
        <v>74</v>
      </c>
      <c r="E1914" t="s">
        <v>108</v>
      </c>
      <c r="F1914" t="s">
        <v>55</v>
      </c>
      <c r="G1914" t="s">
        <v>56</v>
      </c>
      <c r="H1914" t="s">
        <v>46</v>
      </c>
      <c r="I1914" t="s">
        <v>34</v>
      </c>
      <c r="J1914" t="s">
        <v>70</v>
      </c>
      <c r="K1914" s="2">
        <v>21298</v>
      </c>
      <c r="L1914" t="s">
        <v>36</v>
      </c>
      <c r="M1914" t="s">
        <v>48</v>
      </c>
      <c r="N1914" t="s">
        <v>84</v>
      </c>
      <c r="O1914" t="s">
        <v>39</v>
      </c>
      <c r="P1914" t="s">
        <v>40</v>
      </c>
      <c r="Q1914">
        <v>4</v>
      </c>
      <c r="R1914" s="2">
        <v>44869</v>
      </c>
      <c r="S1914">
        <v>1</v>
      </c>
      <c r="T1914">
        <v>3</v>
      </c>
      <c r="U1914">
        <v>3</v>
      </c>
      <c r="V1914" s="1">
        <v>45055</v>
      </c>
      <c r="W1914" t="s">
        <v>62</v>
      </c>
      <c r="X1914" t="s">
        <v>51</v>
      </c>
      <c r="Y1914" t="s">
        <v>43</v>
      </c>
      <c r="Z1914">
        <v>5</v>
      </c>
      <c r="AA1914">
        <v>985.02</v>
      </c>
      <c r="AB1914">
        <v>64</v>
      </c>
    </row>
    <row r="1915" spans="1:28" x14ac:dyDescent="0.2">
      <c r="A1915">
        <v>2437</v>
      </c>
      <c r="B1915" s="1">
        <v>43986</v>
      </c>
      <c r="C1915" t="s">
        <v>133</v>
      </c>
      <c r="D1915" t="s">
        <v>81</v>
      </c>
      <c r="E1915" t="s">
        <v>108</v>
      </c>
      <c r="F1915" t="s">
        <v>55</v>
      </c>
      <c r="G1915" t="s">
        <v>45</v>
      </c>
      <c r="H1915" t="s">
        <v>55</v>
      </c>
      <c r="I1915" t="s">
        <v>34</v>
      </c>
      <c r="J1915" t="s">
        <v>100</v>
      </c>
      <c r="K1915" s="2">
        <v>28275</v>
      </c>
      <c r="L1915" t="s">
        <v>36</v>
      </c>
      <c r="M1915" t="s">
        <v>37</v>
      </c>
      <c r="N1915" t="s">
        <v>60</v>
      </c>
      <c r="O1915" t="s">
        <v>61</v>
      </c>
      <c r="P1915" t="s">
        <v>40</v>
      </c>
      <c r="Q1915">
        <v>2</v>
      </c>
      <c r="R1915" s="2">
        <v>44851</v>
      </c>
      <c r="S1915">
        <v>3</v>
      </c>
      <c r="T1915">
        <v>5</v>
      </c>
      <c r="U1915">
        <v>2</v>
      </c>
      <c r="V1915" s="1">
        <v>45048</v>
      </c>
      <c r="W1915" t="s">
        <v>50</v>
      </c>
      <c r="X1915" t="s">
        <v>51</v>
      </c>
      <c r="Y1915" t="s">
        <v>63</v>
      </c>
      <c r="Z1915">
        <v>2</v>
      </c>
      <c r="AA1915">
        <v>669.99</v>
      </c>
      <c r="AB1915">
        <v>43</v>
      </c>
    </row>
    <row r="1916" spans="1:28" x14ac:dyDescent="0.2">
      <c r="A1916">
        <v>2438</v>
      </c>
      <c r="B1916" s="1">
        <v>44633</v>
      </c>
      <c r="C1916" t="s">
        <v>133</v>
      </c>
      <c r="D1916" t="s">
        <v>54</v>
      </c>
      <c r="E1916" t="s">
        <v>30</v>
      </c>
      <c r="F1916" t="s">
        <v>31</v>
      </c>
      <c r="G1916" t="s">
        <v>45</v>
      </c>
      <c r="H1916" t="s">
        <v>55</v>
      </c>
      <c r="I1916" t="s">
        <v>34</v>
      </c>
      <c r="J1916" t="s">
        <v>103</v>
      </c>
      <c r="K1916" s="2">
        <v>23642</v>
      </c>
      <c r="L1916" t="s">
        <v>36</v>
      </c>
      <c r="M1916" t="s">
        <v>37</v>
      </c>
      <c r="N1916" t="s">
        <v>72</v>
      </c>
      <c r="O1916" t="s">
        <v>77</v>
      </c>
      <c r="P1916" t="s">
        <v>40</v>
      </c>
      <c r="Q1916">
        <v>5</v>
      </c>
      <c r="R1916" s="2">
        <v>44874</v>
      </c>
      <c r="S1916">
        <v>4</v>
      </c>
      <c r="T1916">
        <v>1</v>
      </c>
      <c r="U1916">
        <v>4</v>
      </c>
      <c r="V1916" s="1">
        <v>44879</v>
      </c>
      <c r="W1916" t="s">
        <v>50</v>
      </c>
      <c r="X1916" t="s">
        <v>51</v>
      </c>
      <c r="Y1916" t="s">
        <v>43</v>
      </c>
      <c r="Z1916">
        <v>1</v>
      </c>
      <c r="AA1916">
        <v>101.26</v>
      </c>
      <c r="AB1916">
        <v>58</v>
      </c>
    </row>
    <row r="1917" spans="1:28" x14ac:dyDescent="0.2">
      <c r="A1917">
        <v>2439</v>
      </c>
      <c r="B1917" s="1">
        <v>44429</v>
      </c>
      <c r="C1917" t="s">
        <v>133</v>
      </c>
      <c r="D1917" t="s">
        <v>69</v>
      </c>
      <c r="E1917" t="s">
        <v>30</v>
      </c>
      <c r="F1917" t="s">
        <v>31</v>
      </c>
      <c r="G1917" t="s">
        <v>56</v>
      </c>
      <c r="H1917" t="s">
        <v>46</v>
      </c>
      <c r="I1917" t="s">
        <v>34</v>
      </c>
      <c r="J1917" t="s">
        <v>79</v>
      </c>
      <c r="K1917" s="2">
        <v>16202</v>
      </c>
      <c r="L1917" t="s">
        <v>36</v>
      </c>
      <c r="M1917" t="s">
        <v>37</v>
      </c>
      <c r="N1917" t="s">
        <v>38</v>
      </c>
      <c r="O1917" t="s">
        <v>61</v>
      </c>
      <c r="P1917" t="s">
        <v>40</v>
      </c>
      <c r="Q1917">
        <v>5</v>
      </c>
      <c r="R1917" s="2">
        <v>44788</v>
      </c>
      <c r="S1917">
        <v>4</v>
      </c>
      <c r="T1917">
        <v>3</v>
      </c>
      <c r="U1917">
        <v>5</v>
      </c>
      <c r="V1917" s="1">
        <v>44863</v>
      </c>
      <c r="W1917" t="s">
        <v>62</v>
      </c>
      <c r="X1917" t="s">
        <v>51</v>
      </c>
      <c r="Y1917" t="s">
        <v>43</v>
      </c>
      <c r="Z1917">
        <v>4</v>
      </c>
      <c r="AA1917">
        <v>816.24</v>
      </c>
      <c r="AB1917">
        <v>77</v>
      </c>
    </row>
    <row r="1918" spans="1:28" x14ac:dyDescent="0.2">
      <c r="A1918">
        <v>2440</v>
      </c>
      <c r="B1918" s="1">
        <v>44331</v>
      </c>
      <c r="C1918" t="s">
        <v>133</v>
      </c>
      <c r="D1918" t="s">
        <v>29</v>
      </c>
      <c r="E1918" t="s">
        <v>30</v>
      </c>
      <c r="F1918" t="s">
        <v>31</v>
      </c>
      <c r="G1918" t="s">
        <v>56</v>
      </c>
      <c r="H1918" t="s">
        <v>33</v>
      </c>
      <c r="I1918" t="s">
        <v>34</v>
      </c>
      <c r="J1918" t="s">
        <v>65</v>
      </c>
      <c r="K1918" s="2">
        <v>22850</v>
      </c>
      <c r="L1918" t="s">
        <v>36</v>
      </c>
      <c r="M1918" t="s">
        <v>48</v>
      </c>
      <c r="N1918" t="s">
        <v>60</v>
      </c>
      <c r="O1918" t="s">
        <v>77</v>
      </c>
      <c r="P1918" t="s">
        <v>40</v>
      </c>
      <c r="Q1918">
        <v>1</v>
      </c>
      <c r="R1918" s="2">
        <v>44993</v>
      </c>
      <c r="S1918">
        <v>2</v>
      </c>
      <c r="T1918">
        <v>5</v>
      </c>
      <c r="U1918">
        <v>2</v>
      </c>
      <c r="V1918" s="1">
        <v>44889</v>
      </c>
      <c r="W1918" t="s">
        <v>92</v>
      </c>
      <c r="X1918" t="s">
        <v>42</v>
      </c>
      <c r="Y1918" t="s">
        <v>43</v>
      </c>
      <c r="Z1918">
        <v>4</v>
      </c>
      <c r="AA1918">
        <v>809.02</v>
      </c>
      <c r="AB1918">
        <v>59</v>
      </c>
    </row>
    <row r="1919" spans="1:28" x14ac:dyDescent="0.2">
      <c r="A1919">
        <v>2441</v>
      </c>
      <c r="B1919" s="1">
        <v>44391</v>
      </c>
      <c r="C1919" t="s">
        <v>136</v>
      </c>
      <c r="D1919" t="s">
        <v>85</v>
      </c>
      <c r="E1919" t="s">
        <v>30</v>
      </c>
      <c r="F1919" t="s">
        <v>31</v>
      </c>
      <c r="G1919" t="s">
        <v>56</v>
      </c>
      <c r="H1919" t="s">
        <v>46</v>
      </c>
      <c r="I1919" t="s">
        <v>34</v>
      </c>
      <c r="J1919" t="s">
        <v>58</v>
      </c>
      <c r="K1919" s="2">
        <v>27017</v>
      </c>
      <c r="L1919" t="s">
        <v>36</v>
      </c>
      <c r="M1919" t="s">
        <v>48</v>
      </c>
      <c r="N1919" t="s">
        <v>49</v>
      </c>
      <c r="O1919" t="s">
        <v>67</v>
      </c>
      <c r="P1919" t="s">
        <v>40</v>
      </c>
      <c r="Q1919">
        <v>2</v>
      </c>
      <c r="R1919" s="2">
        <v>44851</v>
      </c>
      <c r="S1919">
        <v>2</v>
      </c>
      <c r="T1919">
        <v>4</v>
      </c>
      <c r="U1919">
        <v>2</v>
      </c>
      <c r="V1919" s="1">
        <v>44851</v>
      </c>
      <c r="W1919" t="s">
        <v>62</v>
      </c>
      <c r="X1919" t="s">
        <v>51</v>
      </c>
      <c r="Y1919" t="s">
        <v>73</v>
      </c>
      <c r="Z1919">
        <v>5</v>
      </c>
      <c r="AA1919">
        <v>559.08000000000004</v>
      </c>
      <c r="AB1919">
        <v>48</v>
      </c>
    </row>
    <row r="1920" spans="1:28" x14ac:dyDescent="0.2">
      <c r="A1920">
        <v>2442</v>
      </c>
      <c r="B1920" s="1">
        <v>44957</v>
      </c>
      <c r="C1920" t="s">
        <v>148</v>
      </c>
      <c r="D1920" t="s">
        <v>85</v>
      </c>
      <c r="E1920" t="s">
        <v>30</v>
      </c>
      <c r="F1920" t="s">
        <v>31</v>
      </c>
      <c r="G1920" t="s">
        <v>32</v>
      </c>
      <c r="H1920" t="s">
        <v>55</v>
      </c>
      <c r="I1920" t="s">
        <v>34</v>
      </c>
      <c r="J1920" t="s">
        <v>82</v>
      </c>
      <c r="K1920" s="2">
        <v>26770</v>
      </c>
      <c r="L1920" t="s">
        <v>36</v>
      </c>
      <c r="M1920" t="s">
        <v>37</v>
      </c>
      <c r="N1920" t="s">
        <v>72</v>
      </c>
      <c r="O1920" t="s">
        <v>77</v>
      </c>
      <c r="P1920" t="s">
        <v>40</v>
      </c>
      <c r="Q1920">
        <v>1</v>
      </c>
      <c r="R1920" s="2">
        <v>44952</v>
      </c>
      <c r="S1920">
        <v>2</v>
      </c>
      <c r="T1920">
        <v>1</v>
      </c>
      <c r="U1920">
        <v>5</v>
      </c>
      <c r="V1920" s="1">
        <v>44944</v>
      </c>
      <c r="W1920" t="s">
        <v>92</v>
      </c>
      <c r="X1920" t="s">
        <v>42</v>
      </c>
      <c r="Y1920" t="s">
        <v>43</v>
      </c>
      <c r="Z1920">
        <v>2</v>
      </c>
      <c r="AA1920">
        <v>688.8</v>
      </c>
      <c r="AB1920">
        <v>50</v>
      </c>
    </row>
    <row r="1921" spans="1:28" x14ac:dyDescent="0.2">
      <c r="A1921">
        <v>2443</v>
      </c>
      <c r="B1921" s="1">
        <v>44039</v>
      </c>
      <c r="C1921" t="s">
        <v>120</v>
      </c>
      <c r="D1921" t="s">
        <v>44</v>
      </c>
      <c r="E1921" t="s">
        <v>30</v>
      </c>
      <c r="F1921" t="s">
        <v>46</v>
      </c>
      <c r="G1921" t="s">
        <v>56</v>
      </c>
      <c r="H1921" t="s">
        <v>55</v>
      </c>
      <c r="I1921" t="s">
        <v>34</v>
      </c>
      <c r="J1921" t="s">
        <v>101</v>
      </c>
      <c r="K1921" s="2">
        <v>27847</v>
      </c>
      <c r="L1921" t="s">
        <v>36</v>
      </c>
      <c r="M1921" t="s">
        <v>37</v>
      </c>
      <c r="N1921" t="s">
        <v>38</v>
      </c>
      <c r="O1921" t="s">
        <v>39</v>
      </c>
      <c r="P1921" t="s">
        <v>40</v>
      </c>
      <c r="Q1921">
        <v>1</v>
      </c>
      <c r="R1921" s="2">
        <v>44790</v>
      </c>
      <c r="S1921">
        <v>4</v>
      </c>
      <c r="T1921">
        <v>3</v>
      </c>
      <c r="U1921">
        <v>5</v>
      </c>
      <c r="V1921" s="1">
        <v>44925</v>
      </c>
      <c r="W1921" t="s">
        <v>62</v>
      </c>
      <c r="X1921" t="s">
        <v>51</v>
      </c>
      <c r="Y1921" t="s">
        <v>63</v>
      </c>
      <c r="Z1921">
        <v>5</v>
      </c>
      <c r="AA1921">
        <v>300.20999999999998</v>
      </c>
      <c r="AB1921">
        <v>44</v>
      </c>
    </row>
    <row r="1922" spans="1:28" x14ac:dyDescent="0.2">
      <c r="A1922">
        <v>2444</v>
      </c>
      <c r="B1922" s="1">
        <v>45032</v>
      </c>
      <c r="C1922" t="s">
        <v>120</v>
      </c>
      <c r="D1922" t="s">
        <v>87</v>
      </c>
      <c r="E1922" t="s">
        <v>30</v>
      </c>
      <c r="F1922" t="s">
        <v>46</v>
      </c>
      <c r="G1922" t="s">
        <v>32</v>
      </c>
      <c r="H1922" t="s">
        <v>46</v>
      </c>
      <c r="I1922" t="s">
        <v>95</v>
      </c>
      <c r="J1922" t="s">
        <v>101</v>
      </c>
      <c r="K1922" s="2">
        <v>21070</v>
      </c>
      <c r="L1922" t="s">
        <v>36</v>
      </c>
      <c r="M1922" t="s">
        <v>37</v>
      </c>
      <c r="N1922" t="s">
        <v>72</v>
      </c>
      <c r="O1922" t="s">
        <v>61</v>
      </c>
      <c r="P1922" t="s">
        <v>40</v>
      </c>
      <c r="Q1922">
        <v>4</v>
      </c>
      <c r="R1922" s="2">
        <v>45143</v>
      </c>
      <c r="S1922">
        <v>1</v>
      </c>
      <c r="T1922">
        <v>1</v>
      </c>
      <c r="U1922">
        <v>5</v>
      </c>
      <c r="V1922" s="1">
        <v>44868</v>
      </c>
      <c r="W1922" t="s">
        <v>62</v>
      </c>
      <c r="X1922" t="s">
        <v>51</v>
      </c>
      <c r="Y1922" t="s">
        <v>63</v>
      </c>
      <c r="Z1922">
        <v>1</v>
      </c>
      <c r="AA1922">
        <v>851.57</v>
      </c>
      <c r="AB1922">
        <v>66</v>
      </c>
    </row>
    <row r="1923" spans="1:28" x14ac:dyDescent="0.2">
      <c r="A1923">
        <v>2445</v>
      </c>
      <c r="B1923" s="1">
        <v>43829</v>
      </c>
      <c r="C1923" t="s">
        <v>133</v>
      </c>
      <c r="D1923" t="s">
        <v>87</v>
      </c>
      <c r="E1923" t="s">
        <v>30</v>
      </c>
      <c r="F1923" t="s">
        <v>31</v>
      </c>
      <c r="G1923" t="s">
        <v>56</v>
      </c>
      <c r="H1923" t="s">
        <v>33</v>
      </c>
      <c r="I1923" t="s">
        <v>34</v>
      </c>
      <c r="J1923" t="s">
        <v>65</v>
      </c>
      <c r="K1923" s="2">
        <v>25568</v>
      </c>
      <c r="L1923" t="s">
        <v>36</v>
      </c>
      <c r="M1923" t="s">
        <v>37</v>
      </c>
      <c r="N1923" t="s">
        <v>84</v>
      </c>
      <c r="O1923" t="s">
        <v>39</v>
      </c>
      <c r="P1923" t="s">
        <v>40</v>
      </c>
      <c r="Q1923">
        <v>2</v>
      </c>
      <c r="R1923" s="2">
        <v>44885</v>
      </c>
      <c r="S1923">
        <v>3</v>
      </c>
      <c r="T1923">
        <v>4</v>
      </c>
      <c r="U1923">
        <v>5</v>
      </c>
      <c r="V1923" s="1">
        <v>45057</v>
      </c>
      <c r="W1923" t="s">
        <v>41</v>
      </c>
      <c r="X1923" t="s">
        <v>51</v>
      </c>
      <c r="Y1923" t="s">
        <v>43</v>
      </c>
      <c r="Z1923">
        <v>1</v>
      </c>
      <c r="AA1923">
        <v>833.89</v>
      </c>
      <c r="AB1923">
        <v>50</v>
      </c>
    </row>
    <row r="1924" spans="1:28" x14ac:dyDescent="0.2">
      <c r="A1924">
        <v>2446</v>
      </c>
      <c r="B1924" s="1">
        <v>44536</v>
      </c>
      <c r="C1924" t="s">
        <v>133</v>
      </c>
      <c r="D1924" t="s">
        <v>81</v>
      </c>
      <c r="E1924" t="s">
        <v>30</v>
      </c>
      <c r="F1924" t="s">
        <v>31</v>
      </c>
      <c r="G1924" t="s">
        <v>32</v>
      </c>
      <c r="H1924" t="s">
        <v>55</v>
      </c>
      <c r="I1924" t="s">
        <v>34</v>
      </c>
      <c r="J1924" t="s">
        <v>82</v>
      </c>
      <c r="K1924" s="2">
        <v>17826</v>
      </c>
      <c r="L1924" t="s">
        <v>36</v>
      </c>
      <c r="M1924" t="s">
        <v>48</v>
      </c>
      <c r="N1924" t="s">
        <v>72</v>
      </c>
      <c r="O1924" t="s">
        <v>77</v>
      </c>
      <c r="P1924" t="s">
        <v>40</v>
      </c>
      <c r="Q1924">
        <v>5</v>
      </c>
      <c r="R1924" s="2">
        <v>45086</v>
      </c>
      <c r="S1924">
        <v>1</v>
      </c>
      <c r="T1924">
        <v>2</v>
      </c>
      <c r="U1924">
        <v>5</v>
      </c>
      <c r="V1924" s="1">
        <v>45096</v>
      </c>
      <c r="W1924" t="s">
        <v>92</v>
      </c>
      <c r="X1924" t="s">
        <v>51</v>
      </c>
      <c r="Y1924" t="s">
        <v>73</v>
      </c>
      <c r="Z1924">
        <v>1</v>
      </c>
      <c r="AA1924">
        <v>129.32</v>
      </c>
      <c r="AB1924">
        <v>73</v>
      </c>
    </row>
    <row r="1925" spans="1:28" x14ac:dyDescent="0.2">
      <c r="A1925">
        <v>2447</v>
      </c>
      <c r="B1925" s="1">
        <v>43863</v>
      </c>
      <c r="C1925" t="s">
        <v>133</v>
      </c>
      <c r="D1925" t="s">
        <v>54</v>
      </c>
      <c r="E1925" t="s">
        <v>30</v>
      </c>
      <c r="F1925" t="s">
        <v>55</v>
      </c>
      <c r="G1925" t="s">
        <v>45</v>
      </c>
      <c r="H1925" t="s">
        <v>55</v>
      </c>
      <c r="I1925" t="s">
        <v>34</v>
      </c>
      <c r="J1925" t="s">
        <v>79</v>
      </c>
      <c r="K1925" s="2">
        <v>33707</v>
      </c>
      <c r="L1925" t="s">
        <v>36</v>
      </c>
      <c r="M1925" t="s">
        <v>37</v>
      </c>
      <c r="N1925" t="s">
        <v>38</v>
      </c>
      <c r="O1925" t="s">
        <v>39</v>
      </c>
      <c r="P1925" t="s">
        <v>40</v>
      </c>
      <c r="Q1925">
        <v>4</v>
      </c>
      <c r="R1925" s="2">
        <v>44958</v>
      </c>
      <c r="S1925">
        <v>5</v>
      </c>
      <c r="T1925">
        <v>3</v>
      </c>
      <c r="U1925">
        <v>4</v>
      </c>
      <c r="V1925" s="1">
        <v>44794</v>
      </c>
      <c r="W1925" t="s">
        <v>68</v>
      </c>
      <c r="X1925" t="s">
        <v>42</v>
      </c>
      <c r="Y1925" t="s">
        <v>63</v>
      </c>
      <c r="Z1925">
        <v>1</v>
      </c>
      <c r="AA1925">
        <v>505.6</v>
      </c>
      <c r="AB1925">
        <v>28</v>
      </c>
    </row>
    <row r="1926" spans="1:28" x14ac:dyDescent="0.2">
      <c r="A1926">
        <v>2448</v>
      </c>
      <c r="B1926" s="1">
        <v>44127</v>
      </c>
      <c r="C1926" t="s">
        <v>133</v>
      </c>
      <c r="D1926" t="s">
        <v>94</v>
      </c>
      <c r="E1926" t="s">
        <v>108</v>
      </c>
      <c r="F1926" t="s">
        <v>55</v>
      </c>
      <c r="G1926" t="s">
        <v>32</v>
      </c>
      <c r="H1926" t="s">
        <v>46</v>
      </c>
      <c r="I1926" t="s">
        <v>34</v>
      </c>
      <c r="J1926" t="s">
        <v>75</v>
      </c>
      <c r="K1926" s="2">
        <v>32525</v>
      </c>
      <c r="L1926" t="s">
        <v>36</v>
      </c>
      <c r="M1926" t="s">
        <v>37</v>
      </c>
      <c r="N1926" t="s">
        <v>84</v>
      </c>
      <c r="O1926" t="s">
        <v>61</v>
      </c>
      <c r="P1926" t="s">
        <v>40</v>
      </c>
      <c r="Q1926">
        <v>4</v>
      </c>
      <c r="R1926" s="2">
        <v>45030</v>
      </c>
      <c r="S1926">
        <v>2</v>
      </c>
      <c r="T1926">
        <v>2</v>
      </c>
      <c r="U1926">
        <v>5</v>
      </c>
      <c r="V1926" s="1">
        <v>44833</v>
      </c>
      <c r="W1926" t="s">
        <v>50</v>
      </c>
      <c r="X1926" t="s">
        <v>42</v>
      </c>
      <c r="Y1926" t="s">
        <v>73</v>
      </c>
      <c r="Z1926">
        <v>5</v>
      </c>
      <c r="AA1926">
        <v>633.54</v>
      </c>
      <c r="AB1926">
        <v>31</v>
      </c>
    </row>
    <row r="1927" spans="1:28" x14ac:dyDescent="0.2">
      <c r="A1927">
        <v>2449</v>
      </c>
      <c r="B1927" s="1">
        <v>43950</v>
      </c>
      <c r="C1927" t="s">
        <v>133</v>
      </c>
      <c r="D1927" t="s">
        <v>85</v>
      </c>
      <c r="E1927" t="s">
        <v>108</v>
      </c>
      <c r="F1927" t="s">
        <v>46</v>
      </c>
      <c r="G1927" t="s">
        <v>56</v>
      </c>
      <c r="H1927" t="s">
        <v>33</v>
      </c>
      <c r="I1927" t="s">
        <v>34</v>
      </c>
      <c r="J1927" t="s">
        <v>47</v>
      </c>
      <c r="K1927" s="2">
        <v>31453</v>
      </c>
      <c r="L1927" t="s">
        <v>36</v>
      </c>
      <c r="M1927" t="s">
        <v>37</v>
      </c>
      <c r="N1927" t="s">
        <v>49</v>
      </c>
      <c r="O1927" t="s">
        <v>61</v>
      </c>
      <c r="P1927" t="s">
        <v>40</v>
      </c>
      <c r="Q1927">
        <v>4</v>
      </c>
      <c r="R1927" s="2">
        <v>44954</v>
      </c>
      <c r="S1927">
        <v>4</v>
      </c>
      <c r="T1927">
        <v>5</v>
      </c>
      <c r="U1927">
        <v>3</v>
      </c>
      <c r="V1927" s="1">
        <v>44944</v>
      </c>
      <c r="W1927" t="s">
        <v>62</v>
      </c>
      <c r="X1927" t="s">
        <v>51</v>
      </c>
      <c r="Y1927" t="s">
        <v>73</v>
      </c>
      <c r="Z1927">
        <v>4</v>
      </c>
      <c r="AA1927">
        <v>485.29</v>
      </c>
      <c r="AB1927">
        <v>34</v>
      </c>
    </row>
    <row r="1928" spans="1:28" x14ac:dyDescent="0.2">
      <c r="A1928">
        <v>2450</v>
      </c>
      <c r="B1928" s="1">
        <v>44791</v>
      </c>
      <c r="C1928" t="s">
        <v>133</v>
      </c>
      <c r="D1928" t="s">
        <v>64</v>
      </c>
      <c r="E1928" t="s">
        <v>30</v>
      </c>
      <c r="F1928" t="s">
        <v>55</v>
      </c>
      <c r="G1928" t="s">
        <v>45</v>
      </c>
      <c r="H1928" t="s">
        <v>46</v>
      </c>
      <c r="I1928" t="s">
        <v>34</v>
      </c>
      <c r="J1928" t="s">
        <v>47</v>
      </c>
      <c r="K1928" s="2">
        <v>35353</v>
      </c>
      <c r="L1928" t="s">
        <v>36</v>
      </c>
      <c r="M1928" t="s">
        <v>48</v>
      </c>
      <c r="N1928" t="s">
        <v>84</v>
      </c>
      <c r="O1928" t="s">
        <v>61</v>
      </c>
      <c r="P1928" t="s">
        <v>40</v>
      </c>
      <c r="Q1928">
        <v>1</v>
      </c>
      <c r="R1928" s="2">
        <v>44947</v>
      </c>
      <c r="S1928">
        <v>5</v>
      </c>
      <c r="T1928">
        <v>3</v>
      </c>
      <c r="U1928">
        <v>2</v>
      </c>
      <c r="V1928" s="1">
        <v>44944</v>
      </c>
      <c r="W1928" t="s">
        <v>62</v>
      </c>
      <c r="X1928" t="s">
        <v>42</v>
      </c>
      <c r="Y1928" t="s">
        <v>63</v>
      </c>
      <c r="Z1928">
        <v>5</v>
      </c>
      <c r="AA1928">
        <v>302.62</v>
      </c>
      <c r="AB1928">
        <v>26</v>
      </c>
    </row>
    <row r="1929" spans="1:28" x14ac:dyDescent="0.2">
      <c r="A1929">
        <v>2451</v>
      </c>
      <c r="B1929" s="1">
        <v>44082</v>
      </c>
      <c r="C1929" t="s">
        <v>133</v>
      </c>
      <c r="D1929" t="s">
        <v>74</v>
      </c>
      <c r="E1929" t="s">
        <v>30</v>
      </c>
      <c r="F1929" t="s">
        <v>31</v>
      </c>
      <c r="G1929" t="s">
        <v>45</v>
      </c>
      <c r="H1929" t="s">
        <v>33</v>
      </c>
      <c r="I1929" t="s">
        <v>34</v>
      </c>
      <c r="J1929" t="s">
        <v>89</v>
      </c>
      <c r="K1929" s="2">
        <v>16024</v>
      </c>
      <c r="L1929" t="s">
        <v>36</v>
      </c>
      <c r="M1929" t="s">
        <v>48</v>
      </c>
      <c r="N1929" t="s">
        <v>72</v>
      </c>
      <c r="O1929" t="s">
        <v>67</v>
      </c>
      <c r="P1929" t="s">
        <v>40</v>
      </c>
      <c r="Q1929">
        <v>5</v>
      </c>
      <c r="R1929" s="2">
        <v>45002</v>
      </c>
      <c r="S1929">
        <v>5</v>
      </c>
      <c r="T1929">
        <v>3</v>
      </c>
      <c r="U1929">
        <v>1</v>
      </c>
      <c r="V1929" s="1">
        <v>45138</v>
      </c>
      <c r="W1929" t="s">
        <v>92</v>
      </c>
      <c r="X1929" t="s">
        <v>51</v>
      </c>
      <c r="Y1929" t="s">
        <v>52</v>
      </c>
      <c r="Z1929">
        <v>1</v>
      </c>
      <c r="AA1929">
        <v>510.72</v>
      </c>
      <c r="AB1929">
        <v>77</v>
      </c>
    </row>
    <row r="1930" spans="1:28" x14ac:dyDescent="0.2">
      <c r="A1930">
        <v>2452</v>
      </c>
      <c r="B1930" s="1">
        <v>44848</v>
      </c>
      <c r="C1930" t="s">
        <v>133</v>
      </c>
      <c r="D1930" t="s">
        <v>69</v>
      </c>
      <c r="E1930" t="s">
        <v>30</v>
      </c>
      <c r="F1930" t="s">
        <v>55</v>
      </c>
      <c r="G1930" t="s">
        <v>32</v>
      </c>
      <c r="H1930" t="s">
        <v>46</v>
      </c>
      <c r="I1930" t="s">
        <v>34</v>
      </c>
      <c r="J1930" t="s">
        <v>96</v>
      </c>
      <c r="K1930" s="2">
        <v>26595</v>
      </c>
      <c r="L1930" t="s">
        <v>36</v>
      </c>
      <c r="M1930" t="s">
        <v>48</v>
      </c>
      <c r="N1930" t="s">
        <v>84</v>
      </c>
      <c r="O1930" t="s">
        <v>67</v>
      </c>
      <c r="P1930" t="s">
        <v>40</v>
      </c>
      <c r="Q1930">
        <v>2</v>
      </c>
      <c r="R1930" s="2">
        <v>44806</v>
      </c>
      <c r="S1930">
        <v>3</v>
      </c>
      <c r="T1930">
        <v>3</v>
      </c>
      <c r="U1930">
        <v>1</v>
      </c>
      <c r="V1930" s="1">
        <v>45106</v>
      </c>
      <c r="W1930" t="s">
        <v>92</v>
      </c>
      <c r="X1930" t="s">
        <v>42</v>
      </c>
      <c r="Y1930" t="s">
        <v>52</v>
      </c>
      <c r="Z1930">
        <v>3</v>
      </c>
      <c r="AA1930">
        <v>241.25</v>
      </c>
      <c r="AB1930">
        <v>50</v>
      </c>
    </row>
    <row r="1931" spans="1:28" x14ac:dyDescent="0.2">
      <c r="A1931">
        <v>2453</v>
      </c>
      <c r="B1931" s="1">
        <v>45059</v>
      </c>
      <c r="C1931" t="s">
        <v>133</v>
      </c>
      <c r="D1931" t="s">
        <v>29</v>
      </c>
      <c r="E1931" t="s">
        <v>30</v>
      </c>
      <c r="F1931" t="s">
        <v>55</v>
      </c>
      <c r="G1931" t="s">
        <v>32</v>
      </c>
      <c r="H1931" t="s">
        <v>55</v>
      </c>
      <c r="I1931" t="s">
        <v>34</v>
      </c>
      <c r="J1931" t="s">
        <v>111</v>
      </c>
      <c r="K1931" s="2">
        <v>32408</v>
      </c>
      <c r="L1931" t="s">
        <v>36</v>
      </c>
      <c r="M1931" t="s">
        <v>48</v>
      </c>
      <c r="N1931" t="s">
        <v>60</v>
      </c>
      <c r="O1931" t="s">
        <v>39</v>
      </c>
      <c r="P1931" t="s">
        <v>40</v>
      </c>
      <c r="Q1931">
        <v>1</v>
      </c>
      <c r="R1931" s="2">
        <v>44918</v>
      </c>
      <c r="S1931">
        <v>3</v>
      </c>
      <c r="T1931">
        <v>3</v>
      </c>
      <c r="U1931">
        <v>3</v>
      </c>
      <c r="V1931" s="1">
        <v>44893</v>
      </c>
      <c r="W1931" t="s">
        <v>68</v>
      </c>
      <c r="X1931" t="s">
        <v>51</v>
      </c>
      <c r="Y1931" t="s">
        <v>52</v>
      </c>
      <c r="Z1931">
        <v>3</v>
      </c>
      <c r="AA1931">
        <v>285.55</v>
      </c>
      <c r="AB1931">
        <v>35</v>
      </c>
    </row>
    <row r="1932" spans="1:28" x14ac:dyDescent="0.2">
      <c r="A1932">
        <v>2454</v>
      </c>
      <c r="B1932" s="1">
        <v>44255</v>
      </c>
      <c r="C1932" t="s">
        <v>133</v>
      </c>
      <c r="D1932" t="s">
        <v>44</v>
      </c>
      <c r="E1932" t="s">
        <v>30</v>
      </c>
      <c r="F1932" t="s">
        <v>55</v>
      </c>
      <c r="G1932" t="s">
        <v>45</v>
      </c>
      <c r="H1932" t="s">
        <v>46</v>
      </c>
      <c r="I1932" t="s">
        <v>34</v>
      </c>
      <c r="J1932" t="s">
        <v>97</v>
      </c>
      <c r="K1932" s="2">
        <v>32579</v>
      </c>
      <c r="L1932" t="s">
        <v>36</v>
      </c>
      <c r="M1932" t="s">
        <v>37</v>
      </c>
      <c r="N1932" t="s">
        <v>84</v>
      </c>
      <c r="O1932" t="s">
        <v>67</v>
      </c>
      <c r="P1932" t="s">
        <v>40</v>
      </c>
      <c r="Q1932">
        <v>5</v>
      </c>
      <c r="R1932" s="2">
        <v>44828</v>
      </c>
      <c r="S1932">
        <v>1</v>
      </c>
      <c r="T1932">
        <v>4</v>
      </c>
      <c r="U1932">
        <v>3</v>
      </c>
      <c r="V1932" s="1">
        <v>44840</v>
      </c>
      <c r="W1932" t="s">
        <v>41</v>
      </c>
      <c r="X1932" t="s">
        <v>42</v>
      </c>
      <c r="Y1932" t="s">
        <v>63</v>
      </c>
      <c r="Z1932">
        <v>1</v>
      </c>
      <c r="AA1932">
        <v>524.51</v>
      </c>
      <c r="AB1932">
        <v>32</v>
      </c>
    </row>
    <row r="1933" spans="1:28" x14ac:dyDescent="0.2">
      <c r="A1933">
        <v>2455</v>
      </c>
      <c r="B1933" s="1">
        <v>43893</v>
      </c>
      <c r="C1933" t="s">
        <v>133</v>
      </c>
      <c r="D1933" t="s">
        <v>87</v>
      </c>
      <c r="E1933" t="s">
        <v>30</v>
      </c>
      <c r="F1933" t="s">
        <v>55</v>
      </c>
      <c r="G1933" t="s">
        <v>56</v>
      </c>
      <c r="H1933" t="s">
        <v>55</v>
      </c>
      <c r="I1933" t="s">
        <v>34</v>
      </c>
      <c r="J1933" t="s">
        <v>65</v>
      </c>
      <c r="K1933" s="2">
        <v>33578</v>
      </c>
      <c r="L1933" t="s">
        <v>36</v>
      </c>
      <c r="M1933" t="s">
        <v>37</v>
      </c>
      <c r="N1933" t="s">
        <v>49</v>
      </c>
      <c r="O1933" t="s">
        <v>61</v>
      </c>
      <c r="P1933" t="s">
        <v>40</v>
      </c>
      <c r="Q1933">
        <v>2</v>
      </c>
      <c r="R1933" s="2">
        <v>45088</v>
      </c>
      <c r="S1933">
        <v>3</v>
      </c>
      <c r="T1933">
        <v>3</v>
      </c>
      <c r="U1933">
        <v>1</v>
      </c>
      <c r="V1933" s="1">
        <v>45085</v>
      </c>
      <c r="W1933" t="s">
        <v>50</v>
      </c>
      <c r="X1933" t="s">
        <v>51</v>
      </c>
      <c r="Y1933" t="s">
        <v>63</v>
      </c>
      <c r="Z1933">
        <v>4</v>
      </c>
      <c r="AA1933">
        <v>218.61</v>
      </c>
      <c r="AB1933">
        <v>29</v>
      </c>
    </row>
    <row r="1934" spans="1:28" x14ac:dyDescent="0.2">
      <c r="A1934">
        <v>2456</v>
      </c>
      <c r="B1934" s="1">
        <v>44529</v>
      </c>
      <c r="C1934" t="s">
        <v>133</v>
      </c>
      <c r="D1934" t="s">
        <v>81</v>
      </c>
      <c r="E1934" t="s">
        <v>30</v>
      </c>
      <c r="F1934" t="s">
        <v>55</v>
      </c>
      <c r="G1934" t="s">
        <v>45</v>
      </c>
      <c r="H1934" t="s">
        <v>55</v>
      </c>
      <c r="I1934" t="s">
        <v>34</v>
      </c>
      <c r="J1934" t="s">
        <v>101</v>
      </c>
      <c r="K1934" s="2">
        <v>25807</v>
      </c>
      <c r="L1934" t="s">
        <v>36</v>
      </c>
      <c r="M1934" t="s">
        <v>48</v>
      </c>
      <c r="N1934" t="s">
        <v>84</v>
      </c>
      <c r="O1934" t="s">
        <v>61</v>
      </c>
      <c r="P1934" t="s">
        <v>40</v>
      </c>
      <c r="Q1934">
        <v>5</v>
      </c>
      <c r="R1934" s="2">
        <v>44826</v>
      </c>
      <c r="S1934">
        <v>4</v>
      </c>
      <c r="T1934">
        <v>5</v>
      </c>
      <c r="U1934">
        <v>3</v>
      </c>
      <c r="V1934" s="1">
        <v>44795</v>
      </c>
      <c r="W1934" t="s">
        <v>50</v>
      </c>
      <c r="X1934" t="s">
        <v>51</v>
      </c>
      <c r="Y1934" t="s">
        <v>43</v>
      </c>
      <c r="Z1934">
        <v>2</v>
      </c>
      <c r="AA1934">
        <v>263.3</v>
      </c>
      <c r="AB1934">
        <v>51</v>
      </c>
    </row>
    <row r="1935" spans="1:28" x14ac:dyDescent="0.2">
      <c r="A1935">
        <v>2457</v>
      </c>
      <c r="B1935" s="1">
        <v>43336</v>
      </c>
      <c r="C1935" t="s">
        <v>133</v>
      </c>
      <c r="D1935" t="s">
        <v>54</v>
      </c>
      <c r="E1935" t="s">
        <v>30</v>
      </c>
      <c r="F1935" t="s">
        <v>46</v>
      </c>
      <c r="G1935" t="s">
        <v>45</v>
      </c>
      <c r="H1935" t="s">
        <v>46</v>
      </c>
      <c r="I1935" t="s">
        <v>34</v>
      </c>
      <c r="J1935" t="s">
        <v>70</v>
      </c>
      <c r="K1935" s="2">
        <v>22385</v>
      </c>
      <c r="L1935" t="s">
        <v>36</v>
      </c>
      <c r="M1935" t="s">
        <v>48</v>
      </c>
      <c r="N1935" t="s">
        <v>49</v>
      </c>
      <c r="O1935" t="s">
        <v>61</v>
      </c>
      <c r="P1935" t="s">
        <v>40</v>
      </c>
      <c r="Q1935">
        <v>2</v>
      </c>
      <c r="R1935" s="2">
        <v>45043</v>
      </c>
      <c r="S1935">
        <v>3</v>
      </c>
      <c r="T1935">
        <v>2</v>
      </c>
      <c r="U1935">
        <v>3</v>
      </c>
      <c r="V1935" s="1">
        <v>45065</v>
      </c>
      <c r="W1935" t="s">
        <v>68</v>
      </c>
      <c r="X1935" t="s">
        <v>42</v>
      </c>
      <c r="Y1935" t="s">
        <v>52</v>
      </c>
      <c r="Z1935">
        <v>5</v>
      </c>
      <c r="AA1935">
        <v>423.81</v>
      </c>
      <c r="AB1935">
        <v>57</v>
      </c>
    </row>
    <row r="1936" spans="1:28" x14ac:dyDescent="0.2">
      <c r="A1936">
        <v>2458</v>
      </c>
      <c r="B1936" s="1">
        <v>44125</v>
      </c>
      <c r="C1936" t="s">
        <v>136</v>
      </c>
      <c r="D1936" t="s">
        <v>94</v>
      </c>
      <c r="E1936" t="s">
        <v>30</v>
      </c>
      <c r="F1936" t="s">
        <v>46</v>
      </c>
      <c r="G1936" t="s">
        <v>56</v>
      </c>
      <c r="H1936" t="s">
        <v>33</v>
      </c>
      <c r="I1936" t="s">
        <v>34</v>
      </c>
      <c r="J1936" t="s">
        <v>100</v>
      </c>
      <c r="K1936" s="2">
        <v>28924</v>
      </c>
      <c r="L1936" t="s">
        <v>36</v>
      </c>
      <c r="M1936" t="s">
        <v>48</v>
      </c>
      <c r="N1936" t="s">
        <v>60</v>
      </c>
      <c r="O1936" t="s">
        <v>39</v>
      </c>
      <c r="P1936" t="s">
        <v>40</v>
      </c>
      <c r="Q1936">
        <v>2</v>
      </c>
      <c r="R1936" s="2">
        <v>44823</v>
      </c>
      <c r="S1936">
        <v>5</v>
      </c>
      <c r="T1936">
        <v>3</v>
      </c>
      <c r="U1936">
        <v>1</v>
      </c>
      <c r="V1936" s="1">
        <v>45066</v>
      </c>
      <c r="W1936" t="s">
        <v>50</v>
      </c>
      <c r="X1936" t="s">
        <v>42</v>
      </c>
      <c r="Y1936" t="s">
        <v>43</v>
      </c>
      <c r="Z1936">
        <v>5</v>
      </c>
      <c r="AA1936">
        <v>912.62</v>
      </c>
      <c r="AB1936">
        <v>41</v>
      </c>
    </row>
    <row r="1937" spans="1:28" x14ac:dyDescent="0.2">
      <c r="A1937">
        <v>2459</v>
      </c>
      <c r="B1937" s="1">
        <v>44180</v>
      </c>
      <c r="C1937" t="s">
        <v>148</v>
      </c>
      <c r="D1937" t="s">
        <v>85</v>
      </c>
      <c r="E1937" t="s">
        <v>30</v>
      </c>
      <c r="F1937" t="s">
        <v>55</v>
      </c>
      <c r="G1937" t="s">
        <v>45</v>
      </c>
      <c r="H1937" t="s">
        <v>33</v>
      </c>
      <c r="I1937" t="s">
        <v>34</v>
      </c>
      <c r="J1937" t="s">
        <v>70</v>
      </c>
      <c r="K1937" s="2">
        <v>34890</v>
      </c>
      <c r="L1937" t="s">
        <v>147</v>
      </c>
      <c r="M1937" t="s">
        <v>37</v>
      </c>
      <c r="N1937" t="s">
        <v>84</v>
      </c>
      <c r="O1937" t="s">
        <v>67</v>
      </c>
      <c r="P1937" t="s">
        <v>40</v>
      </c>
      <c r="Q1937">
        <v>4</v>
      </c>
      <c r="R1937" s="2">
        <v>44848</v>
      </c>
      <c r="S1937">
        <v>5</v>
      </c>
      <c r="T1937">
        <v>5</v>
      </c>
      <c r="U1937">
        <v>5</v>
      </c>
      <c r="V1937" s="1">
        <v>44892</v>
      </c>
      <c r="W1937" t="s">
        <v>62</v>
      </c>
      <c r="X1937" t="s">
        <v>51</v>
      </c>
      <c r="Y1937" t="s">
        <v>43</v>
      </c>
      <c r="Z1937">
        <v>4</v>
      </c>
      <c r="AA1937">
        <v>973.11</v>
      </c>
      <c r="AB1937">
        <v>25</v>
      </c>
    </row>
    <row r="1938" spans="1:28" x14ac:dyDescent="0.2">
      <c r="A1938">
        <v>2460</v>
      </c>
      <c r="B1938" s="1">
        <v>43348</v>
      </c>
      <c r="C1938" t="s">
        <v>120</v>
      </c>
      <c r="D1938" t="s">
        <v>44</v>
      </c>
      <c r="E1938" t="s">
        <v>30</v>
      </c>
      <c r="F1938" t="s">
        <v>31</v>
      </c>
      <c r="G1938" t="s">
        <v>32</v>
      </c>
      <c r="H1938" t="s">
        <v>55</v>
      </c>
      <c r="I1938" t="s">
        <v>95</v>
      </c>
      <c r="J1938" t="s">
        <v>35</v>
      </c>
      <c r="K1938" s="2">
        <v>21844</v>
      </c>
      <c r="L1938" t="s">
        <v>36</v>
      </c>
      <c r="M1938" t="s">
        <v>37</v>
      </c>
      <c r="N1938" t="s">
        <v>38</v>
      </c>
      <c r="O1938" t="s">
        <v>39</v>
      </c>
      <c r="P1938" t="s">
        <v>40</v>
      </c>
      <c r="Q1938">
        <v>2</v>
      </c>
      <c r="R1938" s="2">
        <v>45009</v>
      </c>
      <c r="S1938">
        <v>3</v>
      </c>
      <c r="T1938">
        <v>4</v>
      </c>
      <c r="U1938">
        <v>2</v>
      </c>
      <c r="V1938" s="1">
        <v>44890</v>
      </c>
      <c r="W1938" t="s">
        <v>92</v>
      </c>
      <c r="X1938" t="s">
        <v>51</v>
      </c>
      <c r="Y1938" t="s">
        <v>73</v>
      </c>
      <c r="Z1938">
        <v>5</v>
      </c>
      <c r="AA1938">
        <v>637.58000000000004</v>
      </c>
      <c r="AB1938">
        <v>59</v>
      </c>
    </row>
    <row r="1939" spans="1:28" x14ac:dyDescent="0.2">
      <c r="A1939">
        <v>2461</v>
      </c>
      <c r="B1939" s="1">
        <v>44466</v>
      </c>
      <c r="C1939" t="s">
        <v>130</v>
      </c>
      <c r="D1939" t="s">
        <v>44</v>
      </c>
      <c r="E1939" t="s">
        <v>30</v>
      </c>
      <c r="F1939" t="s">
        <v>46</v>
      </c>
      <c r="G1939" t="s">
        <v>45</v>
      </c>
      <c r="H1939" t="s">
        <v>55</v>
      </c>
      <c r="I1939" t="s">
        <v>132</v>
      </c>
      <c r="J1939" t="s">
        <v>89</v>
      </c>
      <c r="K1939" s="2">
        <v>29011</v>
      </c>
      <c r="L1939" t="s">
        <v>36</v>
      </c>
      <c r="M1939" t="s">
        <v>48</v>
      </c>
      <c r="N1939" t="s">
        <v>72</v>
      </c>
      <c r="O1939" t="s">
        <v>77</v>
      </c>
      <c r="P1939" t="s">
        <v>40</v>
      </c>
      <c r="Q1939">
        <v>5</v>
      </c>
      <c r="R1939" s="2">
        <v>44898</v>
      </c>
      <c r="S1939">
        <v>3</v>
      </c>
      <c r="T1939">
        <v>2</v>
      </c>
      <c r="U1939">
        <v>4</v>
      </c>
      <c r="V1939" s="1">
        <v>45120</v>
      </c>
      <c r="W1939" t="s">
        <v>92</v>
      </c>
      <c r="X1939" t="s">
        <v>51</v>
      </c>
      <c r="Y1939" t="s">
        <v>63</v>
      </c>
      <c r="Z1939">
        <v>2</v>
      </c>
      <c r="AA1939">
        <v>103.04</v>
      </c>
      <c r="AB1939">
        <v>42</v>
      </c>
    </row>
    <row r="1940" spans="1:28" x14ac:dyDescent="0.2">
      <c r="A1940">
        <v>2462</v>
      </c>
      <c r="B1940" s="1">
        <v>43839</v>
      </c>
      <c r="C1940" t="s">
        <v>133</v>
      </c>
      <c r="D1940" t="s">
        <v>81</v>
      </c>
      <c r="E1940" t="s">
        <v>30</v>
      </c>
      <c r="F1940" t="s">
        <v>46</v>
      </c>
      <c r="G1940" t="s">
        <v>32</v>
      </c>
      <c r="H1940" t="s">
        <v>55</v>
      </c>
      <c r="I1940" t="s">
        <v>34</v>
      </c>
      <c r="J1940" t="s">
        <v>65</v>
      </c>
      <c r="K1940" s="2">
        <v>17840</v>
      </c>
      <c r="L1940" t="s">
        <v>36</v>
      </c>
      <c r="M1940" t="s">
        <v>37</v>
      </c>
      <c r="N1940" t="s">
        <v>38</v>
      </c>
      <c r="O1940" t="s">
        <v>67</v>
      </c>
      <c r="P1940" t="s">
        <v>40</v>
      </c>
      <c r="Q1940">
        <v>2</v>
      </c>
      <c r="R1940" s="2">
        <v>45055</v>
      </c>
      <c r="S1940">
        <v>4</v>
      </c>
      <c r="T1940">
        <v>1</v>
      </c>
      <c r="U1940">
        <v>2</v>
      </c>
      <c r="V1940" s="1">
        <v>44962</v>
      </c>
      <c r="W1940" t="s">
        <v>50</v>
      </c>
      <c r="X1940" t="s">
        <v>51</v>
      </c>
      <c r="Y1940" t="s">
        <v>63</v>
      </c>
      <c r="Z1940">
        <v>3</v>
      </c>
      <c r="AA1940">
        <v>758.62</v>
      </c>
      <c r="AB1940">
        <v>72</v>
      </c>
    </row>
    <row r="1941" spans="1:28" x14ac:dyDescent="0.2">
      <c r="A1941">
        <v>2463</v>
      </c>
      <c r="B1941" s="1">
        <v>43440</v>
      </c>
      <c r="C1941" t="s">
        <v>133</v>
      </c>
      <c r="D1941" t="s">
        <v>54</v>
      </c>
      <c r="E1941" t="s">
        <v>30</v>
      </c>
      <c r="F1941" t="s">
        <v>46</v>
      </c>
      <c r="G1941" t="s">
        <v>45</v>
      </c>
      <c r="H1941" t="s">
        <v>46</v>
      </c>
      <c r="I1941" t="s">
        <v>34</v>
      </c>
      <c r="J1941" t="s">
        <v>97</v>
      </c>
      <c r="K1941" s="2">
        <v>31505</v>
      </c>
      <c r="L1941" t="s">
        <v>36</v>
      </c>
      <c r="M1941" t="s">
        <v>37</v>
      </c>
      <c r="N1941" t="s">
        <v>49</v>
      </c>
      <c r="O1941" t="s">
        <v>39</v>
      </c>
      <c r="P1941" t="s">
        <v>40</v>
      </c>
      <c r="Q1941">
        <v>4</v>
      </c>
      <c r="R1941" s="2">
        <v>44899</v>
      </c>
      <c r="S1941">
        <v>3</v>
      </c>
      <c r="T1941">
        <v>5</v>
      </c>
      <c r="U1941">
        <v>5</v>
      </c>
      <c r="V1941" s="1">
        <v>45079</v>
      </c>
      <c r="W1941" t="s">
        <v>41</v>
      </c>
      <c r="X1941" t="s">
        <v>42</v>
      </c>
      <c r="Y1941" t="s">
        <v>73</v>
      </c>
      <c r="Z1941">
        <v>3</v>
      </c>
      <c r="AA1941">
        <v>792.67</v>
      </c>
      <c r="AB1941">
        <v>32</v>
      </c>
    </row>
    <row r="1942" spans="1:28" x14ac:dyDescent="0.2">
      <c r="A1942">
        <v>2464</v>
      </c>
      <c r="B1942" s="1">
        <v>44784</v>
      </c>
      <c r="C1942" t="s">
        <v>133</v>
      </c>
      <c r="D1942" t="s">
        <v>69</v>
      </c>
      <c r="E1942" t="s">
        <v>30</v>
      </c>
      <c r="F1942" t="s">
        <v>55</v>
      </c>
      <c r="G1942" t="s">
        <v>56</v>
      </c>
      <c r="H1942" t="s">
        <v>33</v>
      </c>
      <c r="I1942" t="s">
        <v>34</v>
      </c>
      <c r="J1942" t="s">
        <v>70</v>
      </c>
      <c r="K1942" s="2">
        <v>20233</v>
      </c>
      <c r="L1942" t="s">
        <v>36</v>
      </c>
      <c r="M1942" t="s">
        <v>48</v>
      </c>
      <c r="N1942" t="s">
        <v>38</v>
      </c>
      <c r="O1942" t="s">
        <v>39</v>
      </c>
      <c r="P1942" t="s">
        <v>40</v>
      </c>
      <c r="Q1942">
        <v>2</v>
      </c>
      <c r="R1942" s="2">
        <v>44975</v>
      </c>
      <c r="S1942">
        <v>2</v>
      </c>
      <c r="T1942">
        <v>3</v>
      </c>
      <c r="U1942">
        <v>2</v>
      </c>
      <c r="V1942" s="1">
        <v>45121</v>
      </c>
      <c r="W1942" t="s">
        <v>41</v>
      </c>
      <c r="X1942" t="s">
        <v>51</v>
      </c>
      <c r="Y1942" t="s">
        <v>73</v>
      </c>
      <c r="Z1942">
        <v>1</v>
      </c>
      <c r="AA1942">
        <v>795.5</v>
      </c>
      <c r="AB1942">
        <v>67</v>
      </c>
    </row>
    <row r="1943" spans="1:28" x14ac:dyDescent="0.2">
      <c r="A1943">
        <v>2465</v>
      </c>
      <c r="B1943" s="1">
        <v>43934</v>
      </c>
      <c r="C1943" t="s">
        <v>133</v>
      </c>
      <c r="D1943" t="s">
        <v>29</v>
      </c>
      <c r="E1943" t="s">
        <v>30</v>
      </c>
      <c r="F1943" t="s">
        <v>31</v>
      </c>
      <c r="G1943" t="s">
        <v>45</v>
      </c>
      <c r="H1943" t="s">
        <v>55</v>
      </c>
      <c r="I1943" t="s">
        <v>34</v>
      </c>
      <c r="J1943" t="s">
        <v>70</v>
      </c>
      <c r="K1943" s="2">
        <v>22594</v>
      </c>
      <c r="L1943" t="s">
        <v>36</v>
      </c>
      <c r="M1943" t="s">
        <v>37</v>
      </c>
      <c r="N1943" t="s">
        <v>38</v>
      </c>
      <c r="O1943" t="s">
        <v>61</v>
      </c>
      <c r="P1943" t="s">
        <v>40</v>
      </c>
      <c r="Q1943">
        <v>2</v>
      </c>
      <c r="R1943" s="2">
        <v>44932</v>
      </c>
      <c r="S1943">
        <v>3</v>
      </c>
      <c r="T1943">
        <v>3</v>
      </c>
      <c r="U1943">
        <v>1</v>
      </c>
      <c r="V1943" s="1">
        <v>45129</v>
      </c>
      <c r="W1943" t="s">
        <v>62</v>
      </c>
      <c r="X1943" t="s">
        <v>42</v>
      </c>
      <c r="Y1943" t="s">
        <v>52</v>
      </c>
      <c r="Z1943">
        <v>3</v>
      </c>
      <c r="AA1943">
        <v>475.26</v>
      </c>
      <c r="AB1943">
        <v>59</v>
      </c>
    </row>
    <row r="1944" spans="1:28" x14ac:dyDescent="0.2">
      <c r="A1944">
        <v>2466</v>
      </c>
      <c r="B1944" s="1">
        <v>44514</v>
      </c>
      <c r="C1944" t="s">
        <v>133</v>
      </c>
      <c r="D1944" t="s">
        <v>85</v>
      </c>
      <c r="E1944" t="s">
        <v>108</v>
      </c>
      <c r="F1944" t="s">
        <v>31</v>
      </c>
      <c r="G1944" t="s">
        <v>45</v>
      </c>
      <c r="H1944" t="s">
        <v>55</v>
      </c>
      <c r="I1944" t="s">
        <v>34</v>
      </c>
      <c r="J1944" t="s">
        <v>97</v>
      </c>
      <c r="K1944" s="2">
        <v>24728</v>
      </c>
      <c r="L1944" t="s">
        <v>36</v>
      </c>
      <c r="M1944" t="s">
        <v>37</v>
      </c>
      <c r="N1944" t="s">
        <v>38</v>
      </c>
      <c r="O1944" t="s">
        <v>39</v>
      </c>
      <c r="P1944" t="s">
        <v>40</v>
      </c>
      <c r="Q1944">
        <v>2</v>
      </c>
      <c r="R1944" s="2">
        <v>44818</v>
      </c>
      <c r="S1944">
        <v>2</v>
      </c>
      <c r="T1944">
        <v>4</v>
      </c>
      <c r="U1944">
        <v>1</v>
      </c>
      <c r="V1944" s="1">
        <v>44869</v>
      </c>
      <c r="W1944" t="s">
        <v>50</v>
      </c>
      <c r="X1944" t="s">
        <v>51</v>
      </c>
      <c r="Y1944" t="s">
        <v>43</v>
      </c>
      <c r="Z1944">
        <v>3</v>
      </c>
      <c r="AA1944">
        <v>652.89</v>
      </c>
      <c r="AB1944">
        <v>54</v>
      </c>
    </row>
    <row r="1945" spans="1:28" x14ac:dyDescent="0.2">
      <c r="A1945">
        <v>2467</v>
      </c>
      <c r="B1945" s="1">
        <v>44637</v>
      </c>
      <c r="C1945" t="s">
        <v>133</v>
      </c>
      <c r="D1945" t="s">
        <v>44</v>
      </c>
      <c r="E1945" t="s">
        <v>108</v>
      </c>
      <c r="F1945" t="s">
        <v>55</v>
      </c>
      <c r="G1945" t="s">
        <v>56</v>
      </c>
      <c r="H1945" t="s">
        <v>55</v>
      </c>
      <c r="I1945" t="s">
        <v>34</v>
      </c>
      <c r="J1945" t="s">
        <v>79</v>
      </c>
      <c r="K1945" s="2">
        <v>28857</v>
      </c>
      <c r="L1945" t="s">
        <v>36</v>
      </c>
      <c r="M1945" t="s">
        <v>37</v>
      </c>
      <c r="N1945" t="s">
        <v>60</v>
      </c>
      <c r="O1945" t="s">
        <v>67</v>
      </c>
      <c r="P1945" t="s">
        <v>40</v>
      </c>
      <c r="Q1945">
        <v>5</v>
      </c>
      <c r="R1945" s="2">
        <v>44787</v>
      </c>
      <c r="S1945">
        <v>1</v>
      </c>
      <c r="T1945">
        <v>1</v>
      </c>
      <c r="U1945">
        <v>4</v>
      </c>
      <c r="V1945" s="1">
        <v>44993</v>
      </c>
      <c r="W1945" t="s">
        <v>50</v>
      </c>
      <c r="X1945" t="s">
        <v>51</v>
      </c>
      <c r="Y1945" t="s">
        <v>73</v>
      </c>
      <c r="Z1945">
        <v>1</v>
      </c>
      <c r="AA1945">
        <v>832.16</v>
      </c>
      <c r="AB1945">
        <v>43</v>
      </c>
    </row>
    <row r="1946" spans="1:28" x14ac:dyDescent="0.2">
      <c r="A1946">
        <v>2468</v>
      </c>
      <c r="B1946" s="1">
        <v>43591</v>
      </c>
      <c r="C1946" t="s">
        <v>133</v>
      </c>
      <c r="D1946" t="s">
        <v>87</v>
      </c>
      <c r="E1946" t="s">
        <v>30</v>
      </c>
      <c r="F1946" t="s">
        <v>46</v>
      </c>
      <c r="G1946" t="s">
        <v>45</v>
      </c>
      <c r="H1946" t="s">
        <v>46</v>
      </c>
      <c r="I1946" t="s">
        <v>34</v>
      </c>
      <c r="J1946" t="s">
        <v>65</v>
      </c>
      <c r="K1946" s="2">
        <v>21139</v>
      </c>
      <c r="L1946" t="s">
        <v>36</v>
      </c>
      <c r="M1946" t="s">
        <v>48</v>
      </c>
      <c r="N1946" t="s">
        <v>49</v>
      </c>
      <c r="O1946" t="s">
        <v>67</v>
      </c>
      <c r="P1946" t="s">
        <v>40</v>
      </c>
      <c r="Q1946">
        <v>5</v>
      </c>
      <c r="R1946" s="2">
        <v>45008</v>
      </c>
      <c r="S1946">
        <v>5</v>
      </c>
      <c r="T1946">
        <v>4</v>
      </c>
      <c r="U1946">
        <v>3</v>
      </c>
      <c r="V1946" s="1">
        <v>44981</v>
      </c>
      <c r="W1946" t="s">
        <v>92</v>
      </c>
      <c r="X1946" t="s">
        <v>42</v>
      </c>
      <c r="Y1946" t="s">
        <v>73</v>
      </c>
      <c r="Z1946">
        <v>3</v>
      </c>
      <c r="AA1946">
        <v>629.25</v>
      </c>
      <c r="AB1946">
        <v>62</v>
      </c>
    </row>
    <row r="1947" spans="1:28" x14ac:dyDescent="0.2">
      <c r="A1947">
        <v>2469</v>
      </c>
      <c r="B1947" s="1">
        <v>44527</v>
      </c>
      <c r="C1947" t="s">
        <v>133</v>
      </c>
      <c r="D1947" t="s">
        <v>64</v>
      </c>
      <c r="E1947" t="s">
        <v>30</v>
      </c>
      <c r="F1947" t="s">
        <v>46</v>
      </c>
      <c r="G1947" t="s">
        <v>32</v>
      </c>
      <c r="H1947" t="s">
        <v>46</v>
      </c>
      <c r="I1947" t="s">
        <v>34</v>
      </c>
      <c r="J1947" t="s">
        <v>70</v>
      </c>
      <c r="K1947" s="2">
        <v>36926</v>
      </c>
      <c r="L1947" t="s">
        <v>36</v>
      </c>
      <c r="M1947" t="s">
        <v>48</v>
      </c>
      <c r="N1947" t="s">
        <v>49</v>
      </c>
      <c r="O1947" t="s">
        <v>77</v>
      </c>
      <c r="P1947" t="s">
        <v>40</v>
      </c>
      <c r="Q1947">
        <v>4</v>
      </c>
      <c r="R1947" s="2">
        <v>45029</v>
      </c>
      <c r="S1947">
        <v>2</v>
      </c>
      <c r="T1947">
        <v>1</v>
      </c>
      <c r="U1947">
        <v>5</v>
      </c>
      <c r="V1947" s="1">
        <v>44819</v>
      </c>
      <c r="W1947" t="s">
        <v>62</v>
      </c>
      <c r="X1947" t="s">
        <v>51</v>
      </c>
      <c r="Y1947" t="s">
        <v>63</v>
      </c>
      <c r="Z1947">
        <v>5</v>
      </c>
      <c r="AA1947">
        <v>780.71</v>
      </c>
      <c r="AB1947">
        <v>20</v>
      </c>
    </row>
    <row r="1948" spans="1:28" x14ac:dyDescent="0.2">
      <c r="A1948">
        <v>2470</v>
      </c>
      <c r="B1948" s="1">
        <v>44236</v>
      </c>
      <c r="C1948" t="s">
        <v>133</v>
      </c>
      <c r="D1948" t="s">
        <v>69</v>
      </c>
      <c r="E1948" t="s">
        <v>30</v>
      </c>
      <c r="F1948" t="s">
        <v>55</v>
      </c>
      <c r="G1948" t="s">
        <v>32</v>
      </c>
      <c r="H1948" t="s">
        <v>33</v>
      </c>
      <c r="I1948" t="s">
        <v>34</v>
      </c>
      <c r="J1948" t="s">
        <v>65</v>
      </c>
      <c r="K1948" s="2">
        <v>32440</v>
      </c>
      <c r="L1948" t="s">
        <v>36</v>
      </c>
      <c r="M1948" t="s">
        <v>48</v>
      </c>
      <c r="N1948" t="s">
        <v>84</v>
      </c>
      <c r="O1948" t="s">
        <v>61</v>
      </c>
      <c r="P1948" t="s">
        <v>40</v>
      </c>
      <c r="Q1948">
        <v>5</v>
      </c>
      <c r="R1948" s="2">
        <v>44855</v>
      </c>
      <c r="S1948">
        <v>5</v>
      </c>
      <c r="T1948">
        <v>5</v>
      </c>
      <c r="U1948">
        <v>2</v>
      </c>
      <c r="V1948" s="1">
        <v>45021</v>
      </c>
      <c r="W1948" t="s">
        <v>92</v>
      </c>
      <c r="X1948" t="s">
        <v>42</v>
      </c>
      <c r="Y1948" t="s">
        <v>63</v>
      </c>
      <c r="Z1948">
        <v>2</v>
      </c>
      <c r="AA1948">
        <v>999</v>
      </c>
      <c r="AB1948">
        <v>33</v>
      </c>
    </row>
    <row r="1949" spans="1:28" x14ac:dyDescent="0.2">
      <c r="A1949">
        <v>2471</v>
      </c>
      <c r="B1949" s="1">
        <v>44567</v>
      </c>
      <c r="C1949" t="s">
        <v>133</v>
      </c>
      <c r="D1949" t="s">
        <v>29</v>
      </c>
      <c r="E1949" t="s">
        <v>30</v>
      </c>
      <c r="F1949" t="s">
        <v>46</v>
      </c>
      <c r="G1949" t="s">
        <v>32</v>
      </c>
      <c r="H1949" t="s">
        <v>46</v>
      </c>
      <c r="I1949" t="s">
        <v>34</v>
      </c>
      <c r="J1949" t="s">
        <v>97</v>
      </c>
      <c r="K1949" s="2">
        <v>21756</v>
      </c>
      <c r="L1949" t="s">
        <v>36</v>
      </c>
      <c r="M1949" t="s">
        <v>48</v>
      </c>
      <c r="N1949" t="s">
        <v>60</v>
      </c>
      <c r="O1949" t="s">
        <v>77</v>
      </c>
      <c r="P1949" t="s">
        <v>40</v>
      </c>
      <c r="Q1949">
        <v>2</v>
      </c>
      <c r="R1949" s="2">
        <v>44949</v>
      </c>
      <c r="S1949">
        <v>5</v>
      </c>
      <c r="T1949">
        <v>5</v>
      </c>
      <c r="U1949">
        <v>3</v>
      </c>
      <c r="V1949" s="1">
        <v>44779</v>
      </c>
      <c r="W1949" t="s">
        <v>41</v>
      </c>
      <c r="X1949" t="s">
        <v>51</v>
      </c>
      <c r="Y1949" t="s">
        <v>73</v>
      </c>
      <c r="Z1949">
        <v>3</v>
      </c>
      <c r="AA1949">
        <v>489.29</v>
      </c>
      <c r="AB1949">
        <v>63</v>
      </c>
    </row>
    <row r="1950" spans="1:28" x14ac:dyDescent="0.2">
      <c r="A1950">
        <v>2472</v>
      </c>
      <c r="B1950" s="1">
        <v>45135</v>
      </c>
      <c r="C1950" t="s">
        <v>133</v>
      </c>
      <c r="D1950" t="s">
        <v>44</v>
      </c>
      <c r="E1950" t="s">
        <v>30</v>
      </c>
      <c r="F1950" t="s">
        <v>55</v>
      </c>
      <c r="G1950" t="s">
        <v>56</v>
      </c>
      <c r="H1950" t="s">
        <v>33</v>
      </c>
      <c r="I1950" t="s">
        <v>34</v>
      </c>
      <c r="J1950" t="s">
        <v>47</v>
      </c>
      <c r="K1950" s="2">
        <v>27693</v>
      </c>
      <c r="L1950" t="s">
        <v>36</v>
      </c>
      <c r="M1950" t="s">
        <v>37</v>
      </c>
      <c r="N1950" t="s">
        <v>84</v>
      </c>
      <c r="O1950" t="s">
        <v>67</v>
      </c>
      <c r="P1950" t="s">
        <v>40</v>
      </c>
      <c r="Q1950">
        <v>2</v>
      </c>
      <c r="R1950" s="2">
        <v>45099</v>
      </c>
      <c r="S1950">
        <v>5</v>
      </c>
      <c r="T1950">
        <v>2</v>
      </c>
      <c r="U1950">
        <v>3</v>
      </c>
      <c r="V1950" s="1">
        <v>45044</v>
      </c>
      <c r="W1950" t="s">
        <v>62</v>
      </c>
      <c r="X1950" t="s">
        <v>51</v>
      </c>
      <c r="Y1950" t="s">
        <v>43</v>
      </c>
      <c r="Z1950">
        <v>1</v>
      </c>
      <c r="AA1950">
        <v>942.75</v>
      </c>
      <c r="AB1950">
        <v>48</v>
      </c>
    </row>
    <row r="1951" spans="1:28" x14ac:dyDescent="0.2">
      <c r="A1951">
        <v>2473</v>
      </c>
      <c r="B1951" s="1">
        <v>44282</v>
      </c>
      <c r="C1951" t="s">
        <v>133</v>
      </c>
      <c r="D1951" t="s">
        <v>87</v>
      </c>
      <c r="E1951" t="s">
        <v>30</v>
      </c>
      <c r="F1951" t="s">
        <v>31</v>
      </c>
      <c r="G1951" t="s">
        <v>56</v>
      </c>
      <c r="H1951" t="s">
        <v>55</v>
      </c>
      <c r="I1951" t="s">
        <v>34</v>
      </c>
      <c r="J1951" t="s">
        <v>149</v>
      </c>
      <c r="K1951" s="2">
        <v>30147</v>
      </c>
      <c r="L1951" t="s">
        <v>36</v>
      </c>
      <c r="M1951" t="s">
        <v>48</v>
      </c>
      <c r="N1951" t="s">
        <v>49</v>
      </c>
      <c r="O1951" t="s">
        <v>61</v>
      </c>
      <c r="P1951" t="s">
        <v>40</v>
      </c>
      <c r="Q1951">
        <v>4</v>
      </c>
      <c r="R1951" s="2">
        <v>44820</v>
      </c>
      <c r="S1951">
        <v>4</v>
      </c>
      <c r="T1951">
        <v>4</v>
      </c>
      <c r="U1951">
        <v>3</v>
      </c>
      <c r="V1951" s="1">
        <v>44867</v>
      </c>
      <c r="W1951" t="s">
        <v>41</v>
      </c>
      <c r="X1951" t="s">
        <v>42</v>
      </c>
      <c r="Y1951" t="s">
        <v>63</v>
      </c>
      <c r="Z1951">
        <v>5</v>
      </c>
      <c r="AA1951">
        <v>938.63</v>
      </c>
      <c r="AB1951">
        <v>39</v>
      </c>
    </row>
    <row r="1952" spans="1:28" x14ac:dyDescent="0.2">
      <c r="A1952">
        <v>2474</v>
      </c>
      <c r="B1952" s="1">
        <v>44997</v>
      </c>
      <c r="C1952" t="s">
        <v>133</v>
      </c>
      <c r="D1952" t="s">
        <v>81</v>
      </c>
      <c r="E1952" t="s">
        <v>30</v>
      </c>
      <c r="F1952" t="s">
        <v>31</v>
      </c>
      <c r="G1952" t="s">
        <v>45</v>
      </c>
      <c r="H1952" t="s">
        <v>33</v>
      </c>
      <c r="I1952" t="s">
        <v>34</v>
      </c>
      <c r="J1952" t="s">
        <v>70</v>
      </c>
      <c r="K1952" s="2">
        <v>21563</v>
      </c>
      <c r="L1952" t="s">
        <v>36</v>
      </c>
      <c r="M1952" t="s">
        <v>48</v>
      </c>
      <c r="N1952" t="s">
        <v>72</v>
      </c>
      <c r="O1952" t="s">
        <v>67</v>
      </c>
      <c r="P1952" t="s">
        <v>40</v>
      </c>
      <c r="Q1952">
        <v>4</v>
      </c>
      <c r="R1952" s="2">
        <v>45089</v>
      </c>
      <c r="S1952">
        <v>4</v>
      </c>
      <c r="T1952">
        <v>5</v>
      </c>
      <c r="U1952">
        <v>2</v>
      </c>
      <c r="V1952" s="1">
        <v>44883</v>
      </c>
      <c r="W1952" t="s">
        <v>62</v>
      </c>
      <c r="X1952" t="s">
        <v>42</v>
      </c>
      <c r="Y1952" t="s">
        <v>63</v>
      </c>
      <c r="Z1952">
        <v>5</v>
      </c>
      <c r="AA1952">
        <v>543.64</v>
      </c>
      <c r="AB1952">
        <v>64</v>
      </c>
    </row>
    <row r="1953" spans="1:28" x14ac:dyDescent="0.2">
      <c r="A1953">
        <v>2475</v>
      </c>
      <c r="B1953" s="1">
        <v>44839</v>
      </c>
      <c r="C1953" t="s">
        <v>133</v>
      </c>
      <c r="D1953" t="s">
        <v>54</v>
      </c>
      <c r="E1953" t="s">
        <v>108</v>
      </c>
      <c r="F1953" t="s">
        <v>46</v>
      </c>
      <c r="G1953" t="s">
        <v>32</v>
      </c>
      <c r="H1953" t="s">
        <v>33</v>
      </c>
      <c r="I1953" t="s">
        <v>34</v>
      </c>
      <c r="J1953" t="s">
        <v>65</v>
      </c>
      <c r="K1953" s="2">
        <v>15398</v>
      </c>
      <c r="L1953" t="s">
        <v>36</v>
      </c>
      <c r="M1953" t="s">
        <v>48</v>
      </c>
      <c r="N1953" t="s">
        <v>38</v>
      </c>
      <c r="O1953" t="s">
        <v>61</v>
      </c>
      <c r="P1953" t="s">
        <v>40</v>
      </c>
      <c r="Q1953">
        <v>4</v>
      </c>
      <c r="R1953" s="2">
        <v>45064</v>
      </c>
      <c r="S1953">
        <v>1</v>
      </c>
      <c r="T1953">
        <v>4</v>
      </c>
      <c r="U1953">
        <v>1</v>
      </c>
      <c r="V1953" s="1">
        <v>44895</v>
      </c>
      <c r="W1953" t="s">
        <v>41</v>
      </c>
      <c r="X1953" t="s">
        <v>42</v>
      </c>
      <c r="Y1953" t="s">
        <v>43</v>
      </c>
      <c r="Z1953">
        <v>2</v>
      </c>
      <c r="AA1953">
        <v>117.83</v>
      </c>
      <c r="AB1953">
        <v>80</v>
      </c>
    </row>
    <row r="1954" spans="1:28" x14ac:dyDescent="0.2">
      <c r="A1954">
        <v>2476</v>
      </c>
      <c r="B1954" s="1">
        <v>44470</v>
      </c>
      <c r="C1954" t="s">
        <v>136</v>
      </c>
      <c r="D1954" t="s">
        <v>94</v>
      </c>
      <c r="E1954" t="s">
        <v>30</v>
      </c>
      <c r="F1954" t="s">
        <v>46</v>
      </c>
      <c r="G1954" t="s">
        <v>56</v>
      </c>
      <c r="H1954" t="s">
        <v>55</v>
      </c>
      <c r="I1954" t="s">
        <v>115</v>
      </c>
      <c r="J1954" t="s">
        <v>105</v>
      </c>
      <c r="K1954" s="2">
        <v>24664</v>
      </c>
      <c r="L1954" t="s">
        <v>36</v>
      </c>
      <c r="M1954" t="s">
        <v>48</v>
      </c>
      <c r="N1954" t="s">
        <v>60</v>
      </c>
      <c r="O1954" t="s">
        <v>61</v>
      </c>
      <c r="P1954" t="s">
        <v>40</v>
      </c>
      <c r="Q1954">
        <v>2</v>
      </c>
      <c r="R1954" s="2">
        <v>45003</v>
      </c>
      <c r="S1954">
        <v>3</v>
      </c>
      <c r="T1954">
        <v>5</v>
      </c>
      <c r="U1954">
        <v>5</v>
      </c>
      <c r="V1954" s="1">
        <v>45106</v>
      </c>
      <c r="W1954" t="s">
        <v>68</v>
      </c>
      <c r="X1954" t="s">
        <v>51</v>
      </c>
      <c r="Y1954" t="s">
        <v>63</v>
      </c>
      <c r="Z1954">
        <v>3</v>
      </c>
      <c r="AA1954">
        <v>350.21</v>
      </c>
      <c r="AB1954">
        <v>54</v>
      </c>
    </row>
    <row r="1955" spans="1:28" x14ac:dyDescent="0.2">
      <c r="A1955">
        <v>2477</v>
      </c>
      <c r="B1955" s="1">
        <v>44592</v>
      </c>
      <c r="C1955" t="s">
        <v>146</v>
      </c>
      <c r="D1955" t="s">
        <v>54</v>
      </c>
      <c r="E1955" t="s">
        <v>30</v>
      </c>
      <c r="F1955" t="s">
        <v>31</v>
      </c>
      <c r="G1955" t="s">
        <v>45</v>
      </c>
      <c r="H1955" t="s">
        <v>55</v>
      </c>
      <c r="I1955" t="s">
        <v>57</v>
      </c>
      <c r="J1955" t="s">
        <v>70</v>
      </c>
      <c r="K1955" s="2">
        <v>30208</v>
      </c>
      <c r="L1955" t="s">
        <v>147</v>
      </c>
      <c r="M1955" t="s">
        <v>37</v>
      </c>
      <c r="N1955" t="s">
        <v>84</v>
      </c>
      <c r="O1955" t="s">
        <v>77</v>
      </c>
      <c r="P1955" t="s">
        <v>40</v>
      </c>
      <c r="Q1955">
        <v>2</v>
      </c>
      <c r="R1955" s="2">
        <v>44935</v>
      </c>
      <c r="S1955">
        <v>4</v>
      </c>
      <c r="T1955">
        <v>4</v>
      </c>
      <c r="U1955">
        <v>3</v>
      </c>
      <c r="V1955" s="1">
        <v>44860</v>
      </c>
      <c r="W1955" t="s">
        <v>41</v>
      </c>
      <c r="X1955" t="s">
        <v>42</v>
      </c>
      <c r="Y1955" t="s">
        <v>73</v>
      </c>
      <c r="Z1955">
        <v>4</v>
      </c>
      <c r="AA1955">
        <v>961.47</v>
      </c>
      <c r="AB1955">
        <v>40</v>
      </c>
    </row>
    <row r="1956" spans="1:28" x14ac:dyDescent="0.2">
      <c r="A1956">
        <v>2478</v>
      </c>
      <c r="B1956" s="1">
        <v>43983</v>
      </c>
      <c r="C1956" t="s">
        <v>148</v>
      </c>
      <c r="D1956" t="s">
        <v>94</v>
      </c>
      <c r="E1956" t="s">
        <v>30</v>
      </c>
      <c r="F1956" t="s">
        <v>55</v>
      </c>
      <c r="G1956" t="s">
        <v>45</v>
      </c>
      <c r="H1956" t="s">
        <v>33</v>
      </c>
      <c r="I1956" t="s">
        <v>34</v>
      </c>
      <c r="J1956" t="s">
        <v>65</v>
      </c>
      <c r="K1956" s="2">
        <v>34541</v>
      </c>
      <c r="L1956" t="s">
        <v>147</v>
      </c>
      <c r="M1956" t="s">
        <v>37</v>
      </c>
      <c r="N1956" t="s">
        <v>38</v>
      </c>
      <c r="O1956" t="s">
        <v>61</v>
      </c>
      <c r="P1956" t="s">
        <v>40</v>
      </c>
      <c r="Q1956">
        <v>5</v>
      </c>
      <c r="R1956" s="2">
        <v>44956</v>
      </c>
      <c r="S1956">
        <v>4</v>
      </c>
      <c r="T1956">
        <v>4</v>
      </c>
      <c r="U1956">
        <v>1</v>
      </c>
      <c r="V1956" s="1">
        <v>44830</v>
      </c>
      <c r="W1956" t="s">
        <v>50</v>
      </c>
      <c r="X1956" t="s">
        <v>42</v>
      </c>
      <c r="Y1956" t="s">
        <v>73</v>
      </c>
      <c r="Z1956">
        <v>4</v>
      </c>
      <c r="AA1956">
        <v>548.17999999999995</v>
      </c>
      <c r="AB1956">
        <v>26</v>
      </c>
    </row>
    <row r="1957" spans="1:28" x14ac:dyDescent="0.2">
      <c r="A1957">
        <v>2479</v>
      </c>
      <c r="B1957" s="1">
        <v>45034</v>
      </c>
      <c r="C1957" t="s">
        <v>120</v>
      </c>
      <c r="D1957" t="s">
        <v>85</v>
      </c>
      <c r="E1957" t="s">
        <v>30</v>
      </c>
      <c r="F1957" t="s">
        <v>31</v>
      </c>
      <c r="G1957" t="s">
        <v>32</v>
      </c>
      <c r="H1957" t="s">
        <v>46</v>
      </c>
      <c r="I1957" t="s">
        <v>95</v>
      </c>
      <c r="J1957" t="s">
        <v>65</v>
      </c>
      <c r="K1957" s="2">
        <v>17153</v>
      </c>
      <c r="L1957" t="s">
        <v>36</v>
      </c>
      <c r="M1957" t="s">
        <v>37</v>
      </c>
      <c r="N1957" t="s">
        <v>49</v>
      </c>
      <c r="O1957" t="s">
        <v>77</v>
      </c>
      <c r="P1957" t="s">
        <v>40</v>
      </c>
      <c r="Q1957">
        <v>4</v>
      </c>
      <c r="R1957" s="2">
        <v>44865</v>
      </c>
      <c r="S1957">
        <v>2</v>
      </c>
      <c r="T1957">
        <v>1</v>
      </c>
      <c r="U1957">
        <v>2</v>
      </c>
      <c r="V1957" s="1">
        <v>45095</v>
      </c>
      <c r="W1957" t="s">
        <v>68</v>
      </c>
      <c r="X1957" t="s">
        <v>42</v>
      </c>
      <c r="Y1957" t="s">
        <v>73</v>
      </c>
      <c r="Z1957">
        <v>2</v>
      </c>
      <c r="AA1957">
        <v>439.17</v>
      </c>
      <c r="AB1957">
        <v>77</v>
      </c>
    </row>
    <row r="1958" spans="1:28" x14ac:dyDescent="0.2">
      <c r="A1958">
        <v>2480</v>
      </c>
      <c r="B1958" s="1">
        <v>44037</v>
      </c>
      <c r="C1958" t="s">
        <v>150</v>
      </c>
      <c r="D1958" t="s">
        <v>29</v>
      </c>
      <c r="E1958" t="s">
        <v>30</v>
      </c>
      <c r="F1958" t="s">
        <v>46</v>
      </c>
      <c r="G1958" t="s">
        <v>32</v>
      </c>
      <c r="H1958" t="s">
        <v>46</v>
      </c>
      <c r="I1958" t="s">
        <v>95</v>
      </c>
      <c r="J1958" t="s">
        <v>89</v>
      </c>
      <c r="K1958" s="2">
        <v>28210</v>
      </c>
      <c r="L1958" t="s">
        <v>36</v>
      </c>
      <c r="M1958" t="s">
        <v>48</v>
      </c>
      <c r="N1958" t="s">
        <v>38</v>
      </c>
      <c r="O1958" t="s">
        <v>39</v>
      </c>
      <c r="P1958" t="s">
        <v>40</v>
      </c>
      <c r="Q1958">
        <v>2</v>
      </c>
      <c r="R1958" s="2">
        <v>44969</v>
      </c>
      <c r="S1958">
        <v>3</v>
      </c>
      <c r="T1958">
        <v>2</v>
      </c>
      <c r="U1958">
        <v>3</v>
      </c>
      <c r="V1958" s="1">
        <v>44937</v>
      </c>
      <c r="W1958" t="s">
        <v>50</v>
      </c>
      <c r="X1958" t="s">
        <v>51</v>
      </c>
      <c r="Y1958" t="s">
        <v>73</v>
      </c>
      <c r="Z1958">
        <v>1</v>
      </c>
      <c r="AA1958">
        <v>610.88</v>
      </c>
      <c r="AB1958">
        <v>43</v>
      </c>
    </row>
    <row r="1959" spans="1:28" x14ac:dyDescent="0.2">
      <c r="A1959">
        <v>2481</v>
      </c>
      <c r="B1959" s="1">
        <v>43446</v>
      </c>
      <c r="C1959" t="s">
        <v>145</v>
      </c>
      <c r="D1959" t="s">
        <v>54</v>
      </c>
      <c r="E1959" t="s">
        <v>30</v>
      </c>
      <c r="F1959" t="s">
        <v>55</v>
      </c>
      <c r="G1959" t="s">
        <v>45</v>
      </c>
      <c r="H1959" t="s">
        <v>46</v>
      </c>
      <c r="I1959" t="s">
        <v>95</v>
      </c>
      <c r="J1959" t="s">
        <v>47</v>
      </c>
      <c r="K1959" s="2">
        <v>35614</v>
      </c>
      <c r="L1959" t="s">
        <v>36</v>
      </c>
      <c r="M1959" t="s">
        <v>48</v>
      </c>
      <c r="N1959" t="s">
        <v>72</v>
      </c>
      <c r="O1959" t="s">
        <v>77</v>
      </c>
      <c r="P1959" t="s">
        <v>40</v>
      </c>
      <c r="Q1959">
        <v>1</v>
      </c>
      <c r="R1959" s="2">
        <v>44780</v>
      </c>
      <c r="S1959">
        <v>2</v>
      </c>
      <c r="T1959">
        <v>5</v>
      </c>
      <c r="U1959">
        <v>1</v>
      </c>
      <c r="V1959" s="1">
        <v>44876</v>
      </c>
      <c r="W1959" t="s">
        <v>68</v>
      </c>
      <c r="X1959" t="s">
        <v>51</v>
      </c>
      <c r="Y1959" t="s">
        <v>52</v>
      </c>
      <c r="Z1959">
        <v>4</v>
      </c>
      <c r="AA1959">
        <v>994.03</v>
      </c>
      <c r="AB1959">
        <v>21</v>
      </c>
    </row>
    <row r="1960" spans="1:28" x14ac:dyDescent="0.2">
      <c r="A1960">
        <v>2482</v>
      </c>
      <c r="B1960" s="1">
        <v>43344</v>
      </c>
      <c r="C1960" t="s">
        <v>143</v>
      </c>
      <c r="D1960" t="s">
        <v>94</v>
      </c>
      <c r="E1960" t="s">
        <v>30</v>
      </c>
      <c r="F1960" t="s">
        <v>31</v>
      </c>
      <c r="G1960" t="s">
        <v>32</v>
      </c>
      <c r="H1960" t="s">
        <v>55</v>
      </c>
      <c r="I1960" t="s">
        <v>95</v>
      </c>
      <c r="J1960" t="s">
        <v>134</v>
      </c>
      <c r="K1960" s="2">
        <v>18370</v>
      </c>
      <c r="L1960" t="s">
        <v>36</v>
      </c>
      <c r="M1960" t="s">
        <v>48</v>
      </c>
      <c r="N1960" t="s">
        <v>72</v>
      </c>
      <c r="O1960" t="s">
        <v>67</v>
      </c>
      <c r="P1960" t="s">
        <v>40</v>
      </c>
      <c r="Q1960">
        <v>4</v>
      </c>
      <c r="R1960" s="2">
        <v>44945</v>
      </c>
      <c r="S1960">
        <v>4</v>
      </c>
      <c r="T1960">
        <v>2</v>
      </c>
      <c r="U1960">
        <v>5</v>
      </c>
      <c r="V1960" s="1">
        <v>45069</v>
      </c>
      <c r="W1960" t="s">
        <v>50</v>
      </c>
      <c r="X1960" t="s">
        <v>51</v>
      </c>
      <c r="Y1960" t="s">
        <v>52</v>
      </c>
      <c r="Z1960">
        <v>4</v>
      </c>
      <c r="AA1960">
        <v>688.55</v>
      </c>
      <c r="AB1960">
        <v>68</v>
      </c>
    </row>
    <row r="1961" spans="1:28" x14ac:dyDescent="0.2">
      <c r="A1961">
        <v>2483</v>
      </c>
      <c r="B1961" s="1">
        <v>43793</v>
      </c>
      <c r="C1961" t="s">
        <v>144</v>
      </c>
      <c r="D1961" t="s">
        <v>74</v>
      </c>
      <c r="E1961" t="s">
        <v>30</v>
      </c>
      <c r="F1961" t="s">
        <v>46</v>
      </c>
      <c r="G1961" t="s">
        <v>45</v>
      </c>
      <c r="H1961" t="s">
        <v>33</v>
      </c>
      <c r="I1961" t="s">
        <v>95</v>
      </c>
      <c r="J1961" t="s">
        <v>97</v>
      </c>
      <c r="K1961" s="2">
        <v>16214</v>
      </c>
      <c r="L1961" t="s">
        <v>36</v>
      </c>
      <c r="M1961" t="s">
        <v>48</v>
      </c>
      <c r="N1961" t="s">
        <v>72</v>
      </c>
      <c r="O1961" t="s">
        <v>77</v>
      </c>
      <c r="P1961" t="s">
        <v>40</v>
      </c>
      <c r="Q1961">
        <v>2</v>
      </c>
      <c r="R1961" s="2">
        <v>44993</v>
      </c>
      <c r="S1961">
        <v>5</v>
      </c>
      <c r="T1961">
        <v>1</v>
      </c>
      <c r="U1961">
        <v>3</v>
      </c>
      <c r="V1961" s="1">
        <v>44856</v>
      </c>
      <c r="W1961" t="s">
        <v>92</v>
      </c>
      <c r="X1961" t="s">
        <v>42</v>
      </c>
      <c r="Y1961" t="s">
        <v>43</v>
      </c>
      <c r="Z1961">
        <v>4</v>
      </c>
      <c r="AA1961">
        <v>889.91</v>
      </c>
      <c r="AB1961">
        <v>75</v>
      </c>
    </row>
    <row r="1962" spans="1:28" x14ac:dyDescent="0.2">
      <c r="A1962">
        <v>2484</v>
      </c>
      <c r="B1962" s="1">
        <v>44556</v>
      </c>
      <c r="C1962" t="s">
        <v>125</v>
      </c>
      <c r="D1962" t="s">
        <v>85</v>
      </c>
      <c r="E1962" t="s">
        <v>30</v>
      </c>
      <c r="F1962" t="s">
        <v>46</v>
      </c>
      <c r="G1962" t="s">
        <v>45</v>
      </c>
      <c r="H1962" t="s">
        <v>46</v>
      </c>
      <c r="I1962" t="s">
        <v>95</v>
      </c>
      <c r="J1962" t="s">
        <v>70</v>
      </c>
      <c r="K1962" s="2">
        <v>17498</v>
      </c>
      <c r="L1962" t="s">
        <v>36</v>
      </c>
      <c r="M1962" t="s">
        <v>48</v>
      </c>
      <c r="N1962" t="s">
        <v>72</v>
      </c>
      <c r="O1962" t="s">
        <v>61</v>
      </c>
      <c r="P1962" t="s">
        <v>40</v>
      </c>
      <c r="Q1962">
        <v>4</v>
      </c>
      <c r="R1962" s="2">
        <v>45078</v>
      </c>
      <c r="S1962">
        <v>1</v>
      </c>
      <c r="T1962">
        <v>2</v>
      </c>
      <c r="U1962">
        <v>2</v>
      </c>
      <c r="V1962" s="1">
        <v>45019</v>
      </c>
      <c r="W1962" t="s">
        <v>92</v>
      </c>
      <c r="X1962" t="s">
        <v>51</v>
      </c>
      <c r="Y1962" t="s">
        <v>43</v>
      </c>
      <c r="Z1962">
        <v>3</v>
      </c>
      <c r="AA1962">
        <v>163.61000000000001</v>
      </c>
      <c r="AB1962">
        <v>74</v>
      </c>
    </row>
    <row r="1963" spans="1:28" x14ac:dyDescent="0.2">
      <c r="A1963">
        <v>2485</v>
      </c>
      <c r="B1963" s="1">
        <v>43894</v>
      </c>
      <c r="C1963" t="s">
        <v>127</v>
      </c>
      <c r="D1963" t="s">
        <v>81</v>
      </c>
      <c r="E1963" t="s">
        <v>30</v>
      </c>
      <c r="F1963" t="s">
        <v>46</v>
      </c>
      <c r="G1963" t="s">
        <v>56</v>
      </c>
      <c r="H1963" t="s">
        <v>46</v>
      </c>
      <c r="I1963" t="s">
        <v>129</v>
      </c>
      <c r="J1963" t="s">
        <v>103</v>
      </c>
      <c r="K1963" s="2">
        <v>16735</v>
      </c>
      <c r="L1963" t="s">
        <v>36</v>
      </c>
      <c r="M1963" t="s">
        <v>48</v>
      </c>
      <c r="N1963" t="s">
        <v>38</v>
      </c>
      <c r="O1963" t="s">
        <v>39</v>
      </c>
      <c r="P1963" t="s">
        <v>40</v>
      </c>
      <c r="Q1963">
        <v>4</v>
      </c>
      <c r="R1963" s="2">
        <v>45060</v>
      </c>
      <c r="S1963">
        <v>3</v>
      </c>
      <c r="T1963">
        <v>5</v>
      </c>
      <c r="U1963">
        <v>5</v>
      </c>
      <c r="V1963" s="1">
        <v>44803</v>
      </c>
      <c r="W1963" t="s">
        <v>92</v>
      </c>
      <c r="X1963" t="s">
        <v>42</v>
      </c>
      <c r="Y1963" t="s">
        <v>63</v>
      </c>
      <c r="Z1963">
        <v>2</v>
      </c>
      <c r="AA1963">
        <v>642.67999999999995</v>
      </c>
      <c r="AB1963">
        <v>75</v>
      </c>
    </row>
    <row r="1964" spans="1:28" x14ac:dyDescent="0.2">
      <c r="A1964">
        <v>2486</v>
      </c>
      <c r="B1964" s="1">
        <v>43954</v>
      </c>
      <c r="C1964" t="s">
        <v>145</v>
      </c>
      <c r="D1964" t="s">
        <v>64</v>
      </c>
      <c r="E1964" t="s">
        <v>30</v>
      </c>
      <c r="F1964" t="s">
        <v>46</v>
      </c>
      <c r="G1964" t="s">
        <v>45</v>
      </c>
      <c r="H1964" t="s">
        <v>33</v>
      </c>
      <c r="I1964" t="s">
        <v>95</v>
      </c>
      <c r="J1964" t="s">
        <v>65</v>
      </c>
      <c r="K1964" s="2">
        <v>31283</v>
      </c>
      <c r="L1964" t="s">
        <v>36</v>
      </c>
      <c r="M1964" t="s">
        <v>48</v>
      </c>
      <c r="N1964" t="s">
        <v>72</v>
      </c>
      <c r="O1964" t="s">
        <v>67</v>
      </c>
      <c r="P1964" t="s">
        <v>40</v>
      </c>
      <c r="Q1964">
        <v>5</v>
      </c>
      <c r="R1964" s="2">
        <v>44926</v>
      </c>
      <c r="S1964">
        <v>1</v>
      </c>
      <c r="T1964">
        <v>1</v>
      </c>
      <c r="U1964">
        <v>5</v>
      </c>
      <c r="V1964" s="1">
        <v>45057</v>
      </c>
      <c r="W1964" t="s">
        <v>68</v>
      </c>
      <c r="X1964" t="s">
        <v>42</v>
      </c>
      <c r="Y1964" t="s">
        <v>73</v>
      </c>
      <c r="Z1964">
        <v>4</v>
      </c>
      <c r="AA1964">
        <v>703.29</v>
      </c>
      <c r="AB1964">
        <v>35</v>
      </c>
    </row>
    <row r="1965" spans="1:28" x14ac:dyDescent="0.2">
      <c r="A1965">
        <v>2487</v>
      </c>
      <c r="B1965" s="1">
        <v>43666</v>
      </c>
      <c r="C1965" t="s">
        <v>145</v>
      </c>
      <c r="D1965" t="s">
        <v>94</v>
      </c>
      <c r="E1965" t="s">
        <v>30</v>
      </c>
      <c r="F1965" t="s">
        <v>46</v>
      </c>
      <c r="G1965" t="s">
        <v>45</v>
      </c>
      <c r="H1965" t="s">
        <v>33</v>
      </c>
      <c r="I1965" t="s">
        <v>95</v>
      </c>
      <c r="J1965" t="s">
        <v>89</v>
      </c>
      <c r="K1965" s="2">
        <v>28833</v>
      </c>
      <c r="L1965" t="s">
        <v>36</v>
      </c>
      <c r="M1965" t="s">
        <v>48</v>
      </c>
      <c r="N1965" t="s">
        <v>38</v>
      </c>
      <c r="O1965" t="s">
        <v>61</v>
      </c>
      <c r="P1965" t="s">
        <v>40</v>
      </c>
      <c r="Q1965">
        <v>4</v>
      </c>
      <c r="R1965" s="2">
        <v>45052</v>
      </c>
      <c r="S1965">
        <v>1</v>
      </c>
      <c r="T1965">
        <v>1</v>
      </c>
      <c r="U1965">
        <v>4</v>
      </c>
      <c r="V1965" s="1">
        <v>44891</v>
      </c>
      <c r="W1965" t="s">
        <v>68</v>
      </c>
      <c r="X1965" t="s">
        <v>42</v>
      </c>
      <c r="Y1965" t="s">
        <v>43</v>
      </c>
      <c r="Z1965">
        <v>4</v>
      </c>
      <c r="AA1965">
        <v>102.96</v>
      </c>
      <c r="AB1965">
        <v>41</v>
      </c>
    </row>
    <row r="1966" spans="1:28" x14ac:dyDescent="0.2">
      <c r="A1966">
        <v>2488</v>
      </c>
      <c r="B1966" s="1">
        <v>44707</v>
      </c>
      <c r="C1966" t="s">
        <v>150</v>
      </c>
      <c r="D1966" t="s">
        <v>54</v>
      </c>
      <c r="E1966" t="s">
        <v>30</v>
      </c>
      <c r="F1966" t="s">
        <v>31</v>
      </c>
      <c r="G1966" t="s">
        <v>45</v>
      </c>
      <c r="H1966" t="s">
        <v>55</v>
      </c>
      <c r="I1966" t="s">
        <v>95</v>
      </c>
      <c r="J1966" t="s">
        <v>70</v>
      </c>
      <c r="K1966" s="2">
        <v>32539</v>
      </c>
      <c r="L1966" t="s">
        <v>36</v>
      </c>
      <c r="M1966" t="s">
        <v>48</v>
      </c>
      <c r="N1966" t="s">
        <v>60</v>
      </c>
      <c r="O1966" t="s">
        <v>67</v>
      </c>
      <c r="P1966" t="s">
        <v>40</v>
      </c>
      <c r="Q1966">
        <v>1</v>
      </c>
      <c r="R1966" s="2">
        <v>44936</v>
      </c>
      <c r="S1966">
        <v>2</v>
      </c>
      <c r="T1966">
        <v>4</v>
      </c>
      <c r="U1966">
        <v>5</v>
      </c>
      <c r="V1966" s="1">
        <v>44898</v>
      </c>
      <c r="W1966" t="s">
        <v>50</v>
      </c>
      <c r="X1966" t="s">
        <v>51</v>
      </c>
      <c r="Y1966" t="s">
        <v>63</v>
      </c>
      <c r="Z1966">
        <v>5</v>
      </c>
      <c r="AA1966">
        <v>278.95999999999998</v>
      </c>
      <c r="AB1966">
        <v>33</v>
      </c>
    </row>
    <row r="1967" spans="1:28" x14ac:dyDescent="0.2">
      <c r="A1967">
        <v>2489</v>
      </c>
      <c r="B1967" s="1">
        <v>44401</v>
      </c>
      <c r="C1967" t="s">
        <v>146</v>
      </c>
      <c r="D1967" t="s">
        <v>81</v>
      </c>
      <c r="E1967" t="s">
        <v>30</v>
      </c>
      <c r="F1967" t="s">
        <v>31</v>
      </c>
      <c r="G1967" t="s">
        <v>45</v>
      </c>
      <c r="H1967" t="s">
        <v>46</v>
      </c>
      <c r="I1967" t="s">
        <v>95</v>
      </c>
      <c r="J1967" t="s">
        <v>70</v>
      </c>
      <c r="K1967" s="2">
        <v>19928</v>
      </c>
      <c r="L1967" t="s">
        <v>36</v>
      </c>
      <c r="M1967" t="s">
        <v>48</v>
      </c>
      <c r="N1967" t="s">
        <v>49</v>
      </c>
      <c r="O1967" t="s">
        <v>61</v>
      </c>
      <c r="P1967" t="s">
        <v>40</v>
      </c>
      <c r="Q1967">
        <v>5</v>
      </c>
      <c r="R1967" s="2">
        <v>44826</v>
      </c>
      <c r="S1967">
        <v>1</v>
      </c>
      <c r="T1967">
        <v>3</v>
      </c>
      <c r="U1967">
        <v>2</v>
      </c>
      <c r="V1967" s="1">
        <v>45015</v>
      </c>
      <c r="W1967" t="s">
        <v>92</v>
      </c>
      <c r="X1967" t="s">
        <v>42</v>
      </c>
      <c r="Y1967" t="s">
        <v>52</v>
      </c>
      <c r="Z1967">
        <v>4</v>
      </c>
      <c r="AA1967">
        <v>168.1</v>
      </c>
      <c r="AB1967">
        <v>67</v>
      </c>
    </row>
    <row r="1968" spans="1:28" x14ac:dyDescent="0.2">
      <c r="A1968">
        <v>2490</v>
      </c>
      <c r="B1968" s="1">
        <v>44466</v>
      </c>
      <c r="C1968" t="s">
        <v>148</v>
      </c>
      <c r="D1968" t="s">
        <v>87</v>
      </c>
      <c r="E1968" t="s">
        <v>30</v>
      </c>
      <c r="F1968" t="s">
        <v>31</v>
      </c>
      <c r="G1968" t="s">
        <v>45</v>
      </c>
      <c r="H1968" t="s">
        <v>46</v>
      </c>
      <c r="I1968" t="s">
        <v>95</v>
      </c>
      <c r="J1968" t="s">
        <v>65</v>
      </c>
      <c r="K1968" s="2">
        <v>19926</v>
      </c>
      <c r="L1968" t="s">
        <v>36</v>
      </c>
      <c r="M1968" t="s">
        <v>48</v>
      </c>
      <c r="N1968" t="s">
        <v>60</v>
      </c>
      <c r="O1968" t="s">
        <v>39</v>
      </c>
      <c r="P1968" t="s">
        <v>40</v>
      </c>
      <c r="Q1968">
        <v>4</v>
      </c>
      <c r="R1968" s="2">
        <v>44951</v>
      </c>
      <c r="S1968">
        <v>2</v>
      </c>
      <c r="T1968">
        <v>2</v>
      </c>
      <c r="U1968">
        <v>4</v>
      </c>
      <c r="V1968" s="1">
        <v>45081</v>
      </c>
      <c r="W1968" t="s">
        <v>41</v>
      </c>
      <c r="X1968" t="s">
        <v>42</v>
      </c>
      <c r="Y1968" t="s">
        <v>52</v>
      </c>
      <c r="Z1968">
        <v>1</v>
      </c>
      <c r="AA1968">
        <v>886.63</v>
      </c>
      <c r="AB1968">
        <v>67</v>
      </c>
    </row>
    <row r="1969" spans="1:28" x14ac:dyDescent="0.2">
      <c r="A1969">
        <v>2491</v>
      </c>
      <c r="B1969" s="1">
        <v>43562</v>
      </c>
      <c r="C1969" t="s">
        <v>128</v>
      </c>
      <c r="D1969" t="s">
        <v>69</v>
      </c>
      <c r="E1969" t="s">
        <v>30</v>
      </c>
      <c r="F1969" t="s">
        <v>31</v>
      </c>
      <c r="G1969" t="s">
        <v>45</v>
      </c>
      <c r="H1969" t="s">
        <v>55</v>
      </c>
      <c r="I1969" t="s">
        <v>129</v>
      </c>
      <c r="J1969" t="s">
        <v>65</v>
      </c>
      <c r="K1969" s="2">
        <v>16220</v>
      </c>
      <c r="L1969" t="s">
        <v>36</v>
      </c>
      <c r="M1969" t="s">
        <v>48</v>
      </c>
      <c r="N1969" t="s">
        <v>72</v>
      </c>
      <c r="O1969" t="s">
        <v>61</v>
      </c>
      <c r="P1969" t="s">
        <v>40</v>
      </c>
      <c r="Q1969">
        <v>1</v>
      </c>
      <c r="R1969" s="2">
        <v>44980</v>
      </c>
      <c r="S1969">
        <v>4</v>
      </c>
      <c r="T1969">
        <v>5</v>
      </c>
      <c r="U1969">
        <v>2</v>
      </c>
      <c r="V1969" s="1">
        <v>45104</v>
      </c>
      <c r="W1969" t="s">
        <v>50</v>
      </c>
      <c r="X1969" t="s">
        <v>51</v>
      </c>
      <c r="Y1969" t="s">
        <v>52</v>
      </c>
      <c r="Z1969">
        <v>5</v>
      </c>
      <c r="AA1969">
        <v>721.79</v>
      </c>
      <c r="AB1969">
        <v>75</v>
      </c>
    </row>
    <row r="1970" spans="1:28" x14ac:dyDescent="0.2">
      <c r="A1970">
        <v>2492</v>
      </c>
      <c r="B1970" s="1">
        <v>43666</v>
      </c>
      <c r="C1970" t="s">
        <v>128</v>
      </c>
      <c r="D1970" t="s">
        <v>29</v>
      </c>
      <c r="E1970" t="s">
        <v>30</v>
      </c>
      <c r="F1970" t="s">
        <v>55</v>
      </c>
      <c r="G1970" t="s">
        <v>32</v>
      </c>
      <c r="H1970" t="s">
        <v>33</v>
      </c>
      <c r="I1970" t="s">
        <v>129</v>
      </c>
      <c r="J1970" t="s">
        <v>65</v>
      </c>
      <c r="K1970" s="2">
        <v>21158</v>
      </c>
      <c r="L1970" t="s">
        <v>36</v>
      </c>
      <c r="M1970" t="s">
        <v>48</v>
      </c>
      <c r="N1970" t="s">
        <v>38</v>
      </c>
      <c r="O1970" t="s">
        <v>67</v>
      </c>
      <c r="P1970" t="s">
        <v>40</v>
      </c>
      <c r="Q1970">
        <v>2</v>
      </c>
      <c r="R1970" s="2">
        <v>44928</v>
      </c>
      <c r="S1970">
        <v>3</v>
      </c>
      <c r="T1970">
        <v>2</v>
      </c>
      <c r="U1970">
        <v>5</v>
      </c>
      <c r="V1970" s="1">
        <v>44879</v>
      </c>
      <c r="W1970" t="s">
        <v>41</v>
      </c>
      <c r="X1970" t="s">
        <v>51</v>
      </c>
      <c r="Y1970" t="s">
        <v>63</v>
      </c>
      <c r="Z1970">
        <v>4</v>
      </c>
      <c r="AA1970">
        <v>765.32</v>
      </c>
      <c r="AB1970">
        <v>62</v>
      </c>
    </row>
    <row r="1971" spans="1:28" x14ac:dyDescent="0.2">
      <c r="A1971">
        <v>2493</v>
      </c>
      <c r="B1971" s="1">
        <v>44898</v>
      </c>
      <c r="C1971" t="s">
        <v>128</v>
      </c>
      <c r="D1971" t="s">
        <v>85</v>
      </c>
      <c r="E1971" t="s">
        <v>30</v>
      </c>
      <c r="F1971" t="s">
        <v>31</v>
      </c>
      <c r="G1971" t="s">
        <v>32</v>
      </c>
      <c r="H1971" t="s">
        <v>55</v>
      </c>
      <c r="I1971" t="s">
        <v>129</v>
      </c>
      <c r="J1971" t="s">
        <v>70</v>
      </c>
      <c r="K1971" s="2">
        <v>29722</v>
      </c>
      <c r="L1971" t="s">
        <v>36</v>
      </c>
      <c r="M1971" t="s">
        <v>48</v>
      </c>
      <c r="N1971" t="s">
        <v>72</v>
      </c>
      <c r="O1971" t="s">
        <v>77</v>
      </c>
      <c r="P1971" t="s">
        <v>40</v>
      </c>
      <c r="Q1971">
        <v>4</v>
      </c>
      <c r="R1971" s="2">
        <v>44949</v>
      </c>
      <c r="S1971">
        <v>1</v>
      </c>
      <c r="T1971">
        <v>3</v>
      </c>
      <c r="U1971">
        <v>1</v>
      </c>
      <c r="V1971" s="1">
        <v>44933</v>
      </c>
      <c r="W1971" t="s">
        <v>92</v>
      </c>
      <c r="X1971" t="s">
        <v>42</v>
      </c>
      <c r="Y1971" t="s">
        <v>63</v>
      </c>
      <c r="Z1971">
        <v>2</v>
      </c>
      <c r="AA1971">
        <v>443.46</v>
      </c>
      <c r="AB1971">
        <v>41</v>
      </c>
    </row>
    <row r="1972" spans="1:28" x14ac:dyDescent="0.2">
      <c r="A1972">
        <v>2494</v>
      </c>
      <c r="B1972" s="1">
        <v>43925</v>
      </c>
      <c r="C1972" t="s">
        <v>145</v>
      </c>
      <c r="D1972" t="s">
        <v>87</v>
      </c>
      <c r="E1972" t="s">
        <v>30</v>
      </c>
      <c r="F1972" t="s">
        <v>31</v>
      </c>
      <c r="G1972" t="s">
        <v>45</v>
      </c>
      <c r="H1972" t="s">
        <v>33</v>
      </c>
      <c r="I1972" t="s">
        <v>95</v>
      </c>
      <c r="J1972" t="s">
        <v>70</v>
      </c>
      <c r="K1972" s="2">
        <v>28706</v>
      </c>
      <c r="L1972" t="s">
        <v>36</v>
      </c>
      <c r="M1972" t="s">
        <v>48</v>
      </c>
      <c r="N1972" t="s">
        <v>84</v>
      </c>
      <c r="O1972" t="s">
        <v>67</v>
      </c>
      <c r="P1972" t="s">
        <v>40</v>
      </c>
      <c r="Q1972">
        <v>4</v>
      </c>
      <c r="R1972" s="2">
        <v>44871</v>
      </c>
      <c r="S1972">
        <v>1</v>
      </c>
      <c r="T1972">
        <v>1</v>
      </c>
      <c r="U1972">
        <v>1</v>
      </c>
      <c r="V1972" s="1">
        <v>44871</v>
      </c>
      <c r="W1972" t="s">
        <v>50</v>
      </c>
      <c r="X1972" t="s">
        <v>42</v>
      </c>
      <c r="Y1972" t="s">
        <v>52</v>
      </c>
      <c r="Z1972">
        <v>2</v>
      </c>
      <c r="AA1972">
        <v>203.97</v>
      </c>
      <c r="AB1972">
        <v>42</v>
      </c>
    </row>
    <row r="1973" spans="1:28" x14ac:dyDescent="0.2">
      <c r="A1973">
        <v>2495</v>
      </c>
      <c r="B1973" s="1">
        <v>43898</v>
      </c>
      <c r="C1973" t="s">
        <v>150</v>
      </c>
      <c r="D1973" t="s">
        <v>81</v>
      </c>
      <c r="E1973" t="s">
        <v>30</v>
      </c>
      <c r="F1973" t="s">
        <v>31</v>
      </c>
      <c r="G1973" t="s">
        <v>56</v>
      </c>
      <c r="H1973" t="s">
        <v>46</v>
      </c>
      <c r="I1973" t="s">
        <v>95</v>
      </c>
      <c r="J1973" t="s">
        <v>97</v>
      </c>
      <c r="K1973" s="2">
        <v>25594</v>
      </c>
      <c r="L1973" t="s">
        <v>36</v>
      </c>
      <c r="M1973" t="s">
        <v>48</v>
      </c>
      <c r="N1973" t="s">
        <v>72</v>
      </c>
      <c r="O1973" t="s">
        <v>67</v>
      </c>
      <c r="P1973" t="s">
        <v>40</v>
      </c>
      <c r="Q1973">
        <v>1</v>
      </c>
      <c r="R1973" s="2">
        <v>44936</v>
      </c>
      <c r="S1973">
        <v>5</v>
      </c>
      <c r="T1973">
        <v>1</v>
      </c>
      <c r="U1973">
        <v>2</v>
      </c>
      <c r="V1973" s="1">
        <v>44800</v>
      </c>
      <c r="W1973" t="s">
        <v>62</v>
      </c>
      <c r="X1973" t="s">
        <v>42</v>
      </c>
      <c r="Y1973" t="s">
        <v>52</v>
      </c>
      <c r="Z1973">
        <v>3</v>
      </c>
      <c r="AA1973">
        <v>180.44</v>
      </c>
      <c r="AB1973">
        <v>50</v>
      </c>
    </row>
    <row r="1974" spans="1:28" x14ac:dyDescent="0.2">
      <c r="A1974">
        <v>2496</v>
      </c>
      <c r="B1974" s="1">
        <v>44102</v>
      </c>
      <c r="C1974" t="s">
        <v>146</v>
      </c>
      <c r="D1974" t="s">
        <v>54</v>
      </c>
      <c r="E1974" t="s">
        <v>30</v>
      </c>
      <c r="F1974" t="s">
        <v>46</v>
      </c>
      <c r="G1974" t="s">
        <v>56</v>
      </c>
      <c r="H1974" t="s">
        <v>33</v>
      </c>
      <c r="I1974" t="s">
        <v>95</v>
      </c>
      <c r="J1974" t="s">
        <v>111</v>
      </c>
      <c r="K1974" s="2">
        <v>22358</v>
      </c>
      <c r="L1974" t="s">
        <v>36</v>
      </c>
      <c r="M1974" t="s">
        <v>48</v>
      </c>
      <c r="N1974" t="s">
        <v>60</v>
      </c>
      <c r="O1974" t="s">
        <v>61</v>
      </c>
      <c r="P1974" t="s">
        <v>40</v>
      </c>
      <c r="Q1974">
        <v>2</v>
      </c>
      <c r="R1974" s="2">
        <v>44910</v>
      </c>
      <c r="S1974">
        <v>2</v>
      </c>
      <c r="T1974">
        <v>3</v>
      </c>
      <c r="U1974">
        <v>3</v>
      </c>
      <c r="V1974" s="1">
        <v>44969</v>
      </c>
      <c r="W1974" t="s">
        <v>68</v>
      </c>
      <c r="X1974" t="s">
        <v>42</v>
      </c>
      <c r="Y1974" t="s">
        <v>73</v>
      </c>
      <c r="Z1974">
        <v>3</v>
      </c>
      <c r="AA1974">
        <v>647.25</v>
      </c>
      <c r="AB1974">
        <v>59</v>
      </c>
    </row>
    <row r="1975" spans="1:28" x14ac:dyDescent="0.2">
      <c r="A1975">
        <v>2497</v>
      </c>
      <c r="B1975" s="1">
        <v>44391</v>
      </c>
      <c r="C1975" t="s">
        <v>148</v>
      </c>
      <c r="D1975" t="s">
        <v>94</v>
      </c>
      <c r="E1975" t="s">
        <v>30</v>
      </c>
      <c r="F1975" t="s">
        <v>55</v>
      </c>
      <c r="G1975" t="s">
        <v>32</v>
      </c>
      <c r="H1975" t="s">
        <v>33</v>
      </c>
      <c r="I1975" t="s">
        <v>95</v>
      </c>
      <c r="J1975" t="s">
        <v>70</v>
      </c>
      <c r="K1975" s="2">
        <v>20337</v>
      </c>
      <c r="L1975" t="s">
        <v>36</v>
      </c>
      <c r="M1975" t="s">
        <v>48</v>
      </c>
      <c r="N1975" t="s">
        <v>38</v>
      </c>
      <c r="O1975" t="s">
        <v>61</v>
      </c>
      <c r="P1975" t="s">
        <v>40</v>
      </c>
      <c r="Q1975">
        <v>4</v>
      </c>
      <c r="R1975" s="2">
        <v>44861</v>
      </c>
      <c r="S1975">
        <v>5</v>
      </c>
      <c r="T1975">
        <v>2</v>
      </c>
      <c r="U1975">
        <v>5</v>
      </c>
      <c r="V1975" s="1">
        <v>44811</v>
      </c>
      <c r="W1975" t="s">
        <v>50</v>
      </c>
      <c r="X1975" t="s">
        <v>42</v>
      </c>
      <c r="Y1975" t="s">
        <v>73</v>
      </c>
      <c r="Z1975">
        <v>4</v>
      </c>
      <c r="AA1975">
        <v>833.99</v>
      </c>
      <c r="AB1975">
        <v>66</v>
      </c>
    </row>
    <row r="1976" spans="1:28" x14ac:dyDescent="0.2">
      <c r="A1976">
        <v>2498</v>
      </c>
      <c r="B1976" s="1">
        <v>43755</v>
      </c>
      <c r="C1976" t="s">
        <v>139</v>
      </c>
      <c r="D1976" t="s">
        <v>94</v>
      </c>
      <c r="E1976" t="s">
        <v>108</v>
      </c>
      <c r="F1976" t="s">
        <v>55</v>
      </c>
      <c r="G1976" t="s">
        <v>45</v>
      </c>
      <c r="H1976" t="s">
        <v>33</v>
      </c>
      <c r="I1976" t="s">
        <v>95</v>
      </c>
      <c r="J1976" t="s">
        <v>70</v>
      </c>
      <c r="K1976" s="2">
        <v>36411</v>
      </c>
      <c r="L1976" t="s">
        <v>36</v>
      </c>
      <c r="M1976" t="s">
        <v>37</v>
      </c>
      <c r="N1976" t="s">
        <v>84</v>
      </c>
      <c r="O1976" t="s">
        <v>77</v>
      </c>
      <c r="P1976" t="s">
        <v>40</v>
      </c>
      <c r="Q1976">
        <v>4</v>
      </c>
      <c r="R1976" s="2">
        <v>45112</v>
      </c>
      <c r="S1976">
        <v>5</v>
      </c>
      <c r="T1976">
        <v>3</v>
      </c>
      <c r="U1976">
        <v>5</v>
      </c>
      <c r="V1976" s="1">
        <v>44895</v>
      </c>
      <c r="W1976" t="s">
        <v>62</v>
      </c>
      <c r="X1976" t="s">
        <v>42</v>
      </c>
      <c r="Y1976" t="s">
        <v>52</v>
      </c>
      <c r="Z1976">
        <v>4</v>
      </c>
      <c r="AA1976">
        <v>825.58</v>
      </c>
      <c r="AB1976">
        <v>20</v>
      </c>
    </row>
    <row r="1977" spans="1:28" x14ac:dyDescent="0.2">
      <c r="A1977">
        <v>2499</v>
      </c>
      <c r="B1977" s="1">
        <v>45024</v>
      </c>
      <c r="C1977" t="s">
        <v>128</v>
      </c>
      <c r="D1977" t="s">
        <v>54</v>
      </c>
      <c r="E1977" t="s">
        <v>30</v>
      </c>
      <c r="F1977" t="s">
        <v>31</v>
      </c>
      <c r="G1977" t="s">
        <v>56</v>
      </c>
      <c r="H1977" t="s">
        <v>55</v>
      </c>
      <c r="I1977" t="s">
        <v>129</v>
      </c>
      <c r="J1977" t="s">
        <v>96</v>
      </c>
      <c r="K1977" s="2">
        <v>32755</v>
      </c>
      <c r="L1977" t="s">
        <v>36</v>
      </c>
      <c r="M1977" t="s">
        <v>48</v>
      </c>
      <c r="N1977" t="s">
        <v>84</v>
      </c>
      <c r="O1977" t="s">
        <v>67</v>
      </c>
      <c r="P1977" t="s">
        <v>40</v>
      </c>
      <c r="Q1977">
        <v>4</v>
      </c>
      <c r="R1977" s="2">
        <v>45047</v>
      </c>
      <c r="S1977">
        <v>5</v>
      </c>
      <c r="T1977">
        <v>5</v>
      </c>
      <c r="U1977">
        <v>3</v>
      </c>
      <c r="V1977" s="1">
        <v>44846</v>
      </c>
      <c r="W1977" t="s">
        <v>62</v>
      </c>
      <c r="X1977" t="s">
        <v>42</v>
      </c>
      <c r="Y1977" t="s">
        <v>43</v>
      </c>
      <c r="Z1977">
        <v>2</v>
      </c>
      <c r="AA1977">
        <v>190.49</v>
      </c>
      <c r="AB1977">
        <v>34</v>
      </c>
    </row>
    <row r="1978" spans="1:28" x14ac:dyDescent="0.2">
      <c r="A1978">
        <v>2500</v>
      </c>
      <c r="B1978" s="1">
        <v>43671</v>
      </c>
      <c r="C1978" t="s">
        <v>128</v>
      </c>
      <c r="D1978" t="s">
        <v>69</v>
      </c>
      <c r="E1978" t="s">
        <v>30</v>
      </c>
      <c r="F1978" t="s">
        <v>55</v>
      </c>
      <c r="G1978" t="s">
        <v>32</v>
      </c>
      <c r="H1978" t="s">
        <v>46</v>
      </c>
      <c r="I1978" t="s">
        <v>129</v>
      </c>
      <c r="J1978" t="s">
        <v>70</v>
      </c>
      <c r="K1978" s="2">
        <v>17701</v>
      </c>
      <c r="L1978" t="s">
        <v>36</v>
      </c>
      <c r="M1978" t="s">
        <v>48</v>
      </c>
      <c r="N1978" t="s">
        <v>49</v>
      </c>
      <c r="O1978" t="s">
        <v>67</v>
      </c>
      <c r="P1978" t="s">
        <v>40</v>
      </c>
      <c r="Q1978">
        <v>2</v>
      </c>
      <c r="R1978" s="2">
        <v>45108</v>
      </c>
      <c r="S1978">
        <v>1</v>
      </c>
      <c r="T1978">
        <v>3</v>
      </c>
      <c r="U1978">
        <v>5</v>
      </c>
      <c r="V1978" s="1">
        <v>45115</v>
      </c>
      <c r="W1978" t="s">
        <v>62</v>
      </c>
      <c r="X1978" t="s">
        <v>42</v>
      </c>
      <c r="Y1978" t="s">
        <v>63</v>
      </c>
      <c r="Z1978">
        <v>3</v>
      </c>
      <c r="AA1978">
        <v>961.33</v>
      </c>
      <c r="AB1978">
        <v>71</v>
      </c>
    </row>
    <row r="1979" spans="1:28" x14ac:dyDescent="0.2">
      <c r="A1979">
        <v>2501</v>
      </c>
      <c r="B1979" s="1">
        <v>44920</v>
      </c>
      <c r="C1979" t="s">
        <v>128</v>
      </c>
      <c r="D1979" t="s">
        <v>29</v>
      </c>
      <c r="E1979" t="s">
        <v>30</v>
      </c>
      <c r="F1979" t="s">
        <v>55</v>
      </c>
      <c r="G1979" t="s">
        <v>45</v>
      </c>
      <c r="H1979" t="s">
        <v>33</v>
      </c>
      <c r="I1979" t="s">
        <v>129</v>
      </c>
      <c r="J1979" t="s">
        <v>35</v>
      </c>
      <c r="K1979" s="2">
        <v>19279</v>
      </c>
      <c r="L1979" t="s">
        <v>36</v>
      </c>
      <c r="M1979" t="s">
        <v>48</v>
      </c>
      <c r="N1979" t="s">
        <v>72</v>
      </c>
      <c r="O1979" t="s">
        <v>77</v>
      </c>
      <c r="P1979" t="s">
        <v>40</v>
      </c>
      <c r="Q1979">
        <v>2</v>
      </c>
      <c r="R1979" s="2">
        <v>44947</v>
      </c>
      <c r="S1979">
        <v>1</v>
      </c>
      <c r="T1979">
        <v>5</v>
      </c>
      <c r="U1979">
        <v>3</v>
      </c>
      <c r="V1979" s="1">
        <v>44824</v>
      </c>
      <c r="W1979" t="s">
        <v>92</v>
      </c>
      <c r="X1979" t="s">
        <v>42</v>
      </c>
      <c r="Y1979" t="s">
        <v>63</v>
      </c>
      <c r="Z1979">
        <v>2</v>
      </c>
      <c r="AA1979">
        <v>608.46</v>
      </c>
      <c r="AB1979">
        <v>70</v>
      </c>
    </row>
    <row r="1980" spans="1:28" x14ac:dyDescent="0.2">
      <c r="A1980">
        <v>2502</v>
      </c>
      <c r="B1980" s="1">
        <v>43492</v>
      </c>
      <c r="C1980" t="s">
        <v>128</v>
      </c>
      <c r="D1980" t="s">
        <v>85</v>
      </c>
      <c r="E1980" t="s">
        <v>30</v>
      </c>
      <c r="F1980" t="s">
        <v>46</v>
      </c>
      <c r="G1980" t="s">
        <v>32</v>
      </c>
      <c r="H1980" t="s">
        <v>33</v>
      </c>
      <c r="I1980" t="s">
        <v>129</v>
      </c>
      <c r="J1980" t="s">
        <v>101</v>
      </c>
      <c r="K1980" s="2">
        <v>36317</v>
      </c>
      <c r="L1980" t="s">
        <v>36</v>
      </c>
      <c r="M1980" t="s">
        <v>48</v>
      </c>
      <c r="N1980" t="s">
        <v>38</v>
      </c>
      <c r="O1980" t="s">
        <v>77</v>
      </c>
      <c r="P1980" t="s">
        <v>40</v>
      </c>
      <c r="Q1980">
        <v>2</v>
      </c>
      <c r="R1980" s="2">
        <v>45128</v>
      </c>
      <c r="S1980">
        <v>3</v>
      </c>
      <c r="T1980">
        <v>3</v>
      </c>
      <c r="U1980">
        <v>5</v>
      </c>
      <c r="V1980" s="1">
        <v>44781</v>
      </c>
      <c r="W1980" t="s">
        <v>68</v>
      </c>
      <c r="X1980" t="s">
        <v>42</v>
      </c>
      <c r="Y1980" t="s">
        <v>73</v>
      </c>
      <c r="Z1980">
        <v>3</v>
      </c>
      <c r="AA1980">
        <v>971.57</v>
      </c>
      <c r="AB1980">
        <v>20</v>
      </c>
    </row>
    <row r="1981" spans="1:28" x14ac:dyDescent="0.2">
      <c r="A1981">
        <v>2503</v>
      </c>
      <c r="B1981" s="1">
        <v>44556</v>
      </c>
      <c r="C1981" t="s">
        <v>145</v>
      </c>
      <c r="D1981" t="s">
        <v>54</v>
      </c>
      <c r="E1981" t="s">
        <v>30</v>
      </c>
      <c r="F1981" t="s">
        <v>31</v>
      </c>
      <c r="G1981" t="s">
        <v>32</v>
      </c>
      <c r="H1981" t="s">
        <v>33</v>
      </c>
      <c r="I1981" t="s">
        <v>95</v>
      </c>
      <c r="J1981" t="s">
        <v>65</v>
      </c>
      <c r="K1981" s="2">
        <v>18255</v>
      </c>
      <c r="L1981" t="s">
        <v>36</v>
      </c>
      <c r="M1981" t="s">
        <v>48</v>
      </c>
      <c r="N1981" t="s">
        <v>38</v>
      </c>
      <c r="O1981" t="s">
        <v>67</v>
      </c>
      <c r="P1981" t="s">
        <v>40</v>
      </c>
      <c r="Q1981">
        <v>5</v>
      </c>
      <c r="R1981" s="2">
        <v>44901</v>
      </c>
      <c r="S1981">
        <v>1</v>
      </c>
      <c r="T1981">
        <v>1</v>
      </c>
      <c r="U1981">
        <v>1</v>
      </c>
      <c r="V1981" s="1">
        <v>45060</v>
      </c>
      <c r="W1981" t="s">
        <v>68</v>
      </c>
      <c r="X1981" t="s">
        <v>51</v>
      </c>
      <c r="Y1981" t="s">
        <v>52</v>
      </c>
      <c r="Z1981">
        <v>3</v>
      </c>
      <c r="AA1981">
        <v>354.28</v>
      </c>
      <c r="AB1981">
        <v>72</v>
      </c>
    </row>
    <row r="1982" spans="1:28" x14ac:dyDescent="0.2">
      <c r="A1982">
        <v>2504</v>
      </c>
      <c r="B1982" s="1">
        <v>44938</v>
      </c>
      <c r="C1982" t="s">
        <v>150</v>
      </c>
      <c r="D1982" t="s">
        <v>69</v>
      </c>
      <c r="E1982" t="s">
        <v>30</v>
      </c>
      <c r="F1982" t="s">
        <v>55</v>
      </c>
      <c r="G1982" t="s">
        <v>45</v>
      </c>
      <c r="H1982" t="s">
        <v>46</v>
      </c>
      <c r="I1982" t="s">
        <v>95</v>
      </c>
      <c r="J1982" t="s">
        <v>79</v>
      </c>
      <c r="K1982" s="2">
        <v>27806</v>
      </c>
      <c r="L1982" t="s">
        <v>36</v>
      </c>
      <c r="M1982" t="s">
        <v>48</v>
      </c>
      <c r="N1982" t="s">
        <v>72</v>
      </c>
      <c r="O1982" t="s">
        <v>61</v>
      </c>
      <c r="P1982" t="s">
        <v>40</v>
      </c>
      <c r="Q1982">
        <v>4</v>
      </c>
      <c r="R1982" s="2">
        <v>44856</v>
      </c>
      <c r="S1982">
        <v>1</v>
      </c>
      <c r="T1982">
        <v>5</v>
      </c>
      <c r="U1982">
        <v>3</v>
      </c>
      <c r="V1982" s="1">
        <v>44806</v>
      </c>
      <c r="W1982" t="s">
        <v>92</v>
      </c>
      <c r="X1982" t="s">
        <v>42</v>
      </c>
      <c r="Y1982" t="s">
        <v>43</v>
      </c>
      <c r="Z1982">
        <v>5</v>
      </c>
      <c r="AA1982">
        <v>108.02</v>
      </c>
      <c r="AB1982">
        <v>47</v>
      </c>
    </row>
    <row r="1983" spans="1:28" x14ac:dyDescent="0.2">
      <c r="A1983">
        <v>2505</v>
      </c>
      <c r="B1983" s="1">
        <v>43648</v>
      </c>
      <c r="C1983" t="s">
        <v>146</v>
      </c>
      <c r="D1983" t="s">
        <v>29</v>
      </c>
      <c r="E1983" t="s">
        <v>30</v>
      </c>
      <c r="F1983" t="s">
        <v>31</v>
      </c>
      <c r="G1983" t="s">
        <v>56</v>
      </c>
      <c r="H1983" t="s">
        <v>33</v>
      </c>
      <c r="I1983" t="s">
        <v>95</v>
      </c>
      <c r="J1983" t="s">
        <v>89</v>
      </c>
      <c r="K1983" s="2">
        <v>32264</v>
      </c>
      <c r="L1983" t="s">
        <v>36</v>
      </c>
      <c r="M1983" t="s">
        <v>48</v>
      </c>
      <c r="N1983" t="s">
        <v>84</v>
      </c>
      <c r="O1983" t="s">
        <v>61</v>
      </c>
      <c r="P1983" t="s">
        <v>40</v>
      </c>
      <c r="Q1983">
        <v>1</v>
      </c>
      <c r="R1983" s="2">
        <v>44864</v>
      </c>
      <c r="S1983">
        <v>3</v>
      </c>
      <c r="T1983">
        <v>2</v>
      </c>
      <c r="U1983">
        <v>3</v>
      </c>
      <c r="V1983" s="1">
        <v>44888</v>
      </c>
      <c r="W1983" t="s">
        <v>92</v>
      </c>
      <c r="X1983" t="s">
        <v>51</v>
      </c>
      <c r="Y1983" t="s">
        <v>63</v>
      </c>
      <c r="Z1983">
        <v>5</v>
      </c>
      <c r="AA1983">
        <v>508.85</v>
      </c>
      <c r="AB1983">
        <v>31</v>
      </c>
    </row>
    <row r="1984" spans="1:28" x14ac:dyDescent="0.2">
      <c r="A1984">
        <v>2506</v>
      </c>
      <c r="B1984" s="1">
        <v>44742</v>
      </c>
      <c r="C1984" t="s">
        <v>148</v>
      </c>
      <c r="D1984" t="s">
        <v>85</v>
      </c>
      <c r="E1984" t="s">
        <v>30</v>
      </c>
      <c r="F1984" t="s">
        <v>55</v>
      </c>
      <c r="G1984" t="s">
        <v>32</v>
      </c>
      <c r="H1984" t="s">
        <v>55</v>
      </c>
      <c r="I1984" t="s">
        <v>95</v>
      </c>
      <c r="J1984" t="s">
        <v>70</v>
      </c>
      <c r="K1984" s="2">
        <v>17360</v>
      </c>
      <c r="L1984" t="s">
        <v>36</v>
      </c>
      <c r="M1984" t="s">
        <v>48</v>
      </c>
      <c r="N1984" t="s">
        <v>38</v>
      </c>
      <c r="O1984" t="s">
        <v>61</v>
      </c>
      <c r="P1984" t="s">
        <v>40</v>
      </c>
      <c r="Q1984">
        <v>5</v>
      </c>
      <c r="R1984" s="2">
        <v>44808</v>
      </c>
      <c r="S1984">
        <v>3</v>
      </c>
      <c r="T1984">
        <v>3</v>
      </c>
      <c r="U1984">
        <v>2</v>
      </c>
      <c r="V1984" s="1">
        <v>44970</v>
      </c>
      <c r="W1984" t="s">
        <v>92</v>
      </c>
      <c r="X1984" t="s">
        <v>42</v>
      </c>
      <c r="Y1984" t="s">
        <v>73</v>
      </c>
      <c r="Z1984">
        <v>3</v>
      </c>
      <c r="AA1984">
        <v>811.4</v>
      </c>
      <c r="AB1984">
        <v>75</v>
      </c>
    </row>
    <row r="1985" spans="1:28" x14ac:dyDescent="0.2">
      <c r="A1985">
        <v>2507</v>
      </c>
      <c r="B1985" s="1">
        <v>44931</v>
      </c>
      <c r="C1985" t="s">
        <v>139</v>
      </c>
      <c r="D1985" t="s">
        <v>29</v>
      </c>
      <c r="E1985" t="s">
        <v>108</v>
      </c>
      <c r="F1985" t="s">
        <v>46</v>
      </c>
      <c r="G1985" t="s">
        <v>56</v>
      </c>
      <c r="H1985" t="s">
        <v>33</v>
      </c>
      <c r="I1985" t="s">
        <v>95</v>
      </c>
      <c r="J1985" t="s">
        <v>47</v>
      </c>
      <c r="K1985" s="2">
        <v>31296</v>
      </c>
      <c r="L1985" t="s">
        <v>36</v>
      </c>
      <c r="M1985" t="s">
        <v>37</v>
      </c>
      <c r="N1985" t="s">
        <v>38</v>
      </c>
      <c r="O1985" t="s">
        <v>61</v>
      </c>
      <c r="P1985" t="s">
        <v>40</v>
      </c>
      <c r="Q1985">
        <v>5</v>
      </c>
      <c r="R1985" s="2">
        <v>45138</v>
      </c>
      <c r="S1985">
        <v>2</v>
      </c>
      <c r="T1985">
        <v>3</v>
      </c>
      <c r="U1985">
        <v>4</v>
      </c>
      <c r="V1985" s="1">
        <v>44901</v>
      </c>
      <c r="W1985" t="s">
        <v>68</v>
      </c>
      <c r="X1985" t="s">
        <v>51</v>
      </c>
      <c r="Y1985" t="s">
        <v>52</v>
      </c>
      <c r="Z1985">
        <v>2</v>
      </c>
      <c r="AA1985">
        <v>680.09</v>
      </c>
      <c r="AB1985">
        <v>38</v>
      </c>
    </row>
    <row r="1986" spans="1:28" x14ac:dyDescent="0.2">
      <c r="A1986">
        <v>2508</v>
      </c>
      <c r="B1986" s="1">
        <v>43422</v>
      </c>
      <c r="C1986" t="s">
        <v>139</v>
      </c>
      <c r="D1986" t="s">
        <v>85</v>
      </c>
      <c r="E1986" t="s">
        <v>30</v>
      </c>
      <c r="F1986" t="s">
        <v>55</v>
      </c>
      <c r="G1986" t="s">
        <v>45</v>
      </c>
      <c r="H1986" t="s">
        <v>46</v>
      </c>
      <c r="I1986" t="s">
        <v>95</v>
      </c>
      <c r="J1986" t="s">
        <v>70</v>
      </c>
      <c r="K1986" s="2">
        <v>26470</v>
      </c>
      <c r="L1986" t="s">
        <v>36</v>
      </c>
      <c r="M1986" t="s">
        <v>48</v>
      </c>
      <c r="N1986" t="s">
        <v>60</v>
      </c>
      <c r="O1986" t="s">
        <v>61</v>
      </c>
      <c r="P1986" t="s">
        <v>40</v>
      </c>
      <c r="Q1986">
        <v>5</v>
      </c>
      <c r="R1986" s="2">
        <v>45108</v>
      </c>
      <c r="S1986">
        <v>1</v>
      </c>
      <c r="T1986">
        <v>4</v>
      </c>
      <c r="U1986">
        <v>1</v>
      </c>
      <c r="V1986" s="1">
        <v>45041</v>
      </c>
      <c r="W1986" t="s">
        <v>68</v>
      </c>
      <c r="X1986" t="s">
        <v>51</v>
      </c>
      <c r="Y1986" t="s">
        <v>63</v>
      </c>
      <c r="Z1986">
        <v>3</v>
      </c>
      <c r="AA1986">
        <v>133.88</v>
      </c>
      <c r="AB1986">
        <v>46</v>
      </c>
    </row>
    <row r="1987" spans="1:28" x14ac:dyDescent="0.2">
      <c r="A1987">
        <v>2509</v>
      </c>
      <c r="B1987" s="1">
        <v>44095</v>
      </c>
      <c r="C1987" t="s">
        <v>128</v>
      </c>
      <c r="D1987" t="s">
        <v>44</v>
      </c>
      <c r="E1987" t="s">
        <v>30</v>
      </c>
      <c r="F1987" t="s">
        <v>46</v>
      </c>
      <c r="G1987" t="s">
        <v>32</v>
      </c>
      <c r="H1987" t="s">
        <v>55</v>
      </c>
      <c r="I1987" t="s">
        <v>129</v>
      </c>
      <c r="J1987" t="s">
        <v>109</v>
      </c>
      <c r="K1987" s="2">
        <v>35873</v>
      </c>
      <c r="L1987" t="s">
        <v>36</v>
      </c>
      <c r="M1987" t="s">
        <v>37</v>
      </c>
      <c r="N1987" t="s">
        <v>49</v>
      </c>
      <c r="O1987" t="s">
        <v>67</v>
      </c>
      <c r="P1987" t="s">
        <v>40</v>
      </c>
      <c r="Q1987">
        <v>2</v>
      </c>
      <c r="R1987" s="2">
        <v>44995</v>
      </c>
      <c r="S1987">
        <v>1</v>
      </c>
      <c r="T1987">
        <v>2</v>
      </c>
      <c r="U1987">
        <v>3</v>
      </c>
      <c r="V1987" s="1">
        <v>44965</v>
      </c>
      <c r="W1987" t="s">
        <v>92</v>
      </c>
      <c r="X1987" t="s">
        <v>42</v>
      </c>
      <c r="Y1987" t="s">
        <v>63</v>
      </c>
      <c r="Z1987">
        <v>1</v>
      </c>
      <c r="AA1987">
        <v>433.69</v>
      </c>
      <c r="AB1987">
        <v>22</v>
      </c>
    </row>
    <row r="1988" spans="1:28" x14ac:dyDescent="0.2">
      <c r="A1988">
        <v>2510</v>
      </c>
      <c r="B1988" s="1">
        <v>43794</v>
      </c>
      <c r="C1988" t="s">
        <v>128</v>
      </c>
      <c r="D1988" t="s">
        <v>87</v>
      </c>
      <c r="E1988" t="s">
        <v>30</v>
      </c>
      <c r="F1988" t="s">
        <v>31</v>
      </c>
      <c r="G1988" t="s">
        <v>32</v>
      </c>
      <c r="H1988" t="s">
        <v>33</v>
      </c>
      <c r="I1988" t="s">
        <v>129</v>
      </c>
      <c r="J1988" t="s">
        <v>47</v>
      </c>
      <c r="K1988" s="2">
        <v>32226</v>
      </c>
      <c r="L1988" t="s">
        <v>36</v>
      </c>
      <c r="M1988" t="s">
        <v>48</v>
      </c>
      <c r="N1988" t="s">
        <v>84</v>
      </c>
      <c r="O1988" t="s">
        <v>61</v>
      </c>
      <c r="P1988" t="s">
        <v>40</v>
      </c>
      <c r="Q1988">
        <v>1</v>
      </c>
      <c r="R1988" s="2">
        <v>44814</v>
      </c>
      <c r="S1988">
        <v>2</v>
      </c>
      <c r="T1988">
        <v>2</v>
      </c>
      <c r="U1988">
        <v>2</v>
      </c>
      <c r="V1988" s="1">
        <v>44795</v>
      </c>
      <c r="W1988" t="s">
        <v>50</v>
      </c>
      <c r="X1988" t="s">
        <v>42</v>
      </c>
      <c r="Y1988" t="s">
        <v>63</v>
      </c>
      <c r="Z1988">
        <v>2</v>
      </c>
      <c r="AA1988">
        <v>580.84</v>
      </c>
      <c r="AB1988">
        <v>31</v>
      </c>
    </row>
    <row r="1989" spans="1:28" x14ac:dyDescent="0.2">
      <c r="A1989">
        <v>2511</v>
      </c>
      <c r="B1989" s="1">
        <v>44232</v>
      </c>
      <c r="C1989" t="s">
        <v>128</v>
      </c>
      <c r="D1989" t="s">
        <v>81</v>
      </c>
      <c r="E1989" t="s">
        <v>30</v>
      </c>
      <c r="F1989" t="s">
        <v>55</v>
      </c>
      <c r="G1989" t="s">
        <v>32</v>
      </c>
      <c r="H1989" t="s">
        <v>46</v>
      </c>
      <c r="I1989" t="s">
        <v>129</v>
      </c>
      <c r="J1989" t="s">
        <v>79</v>
      </c>
      <c r="K1989" s="2">
        <v>17163</v>
      </c>
      <c r="L1989" t="s">
        <v>36</v>
      </c>
      <c r="M1989" t="s">
        <v>48</v>
      </c>
      <c r="N1989" t="s">
        <v>84</v>
      </c>
      <c r="O1989" t="s">
        <v>61</v>
      </c>
      <c r="P1989" t="s">
        <v>40</v>
      </c>
      <c r="Q1989">
        <v>4</v>
      </c>
      <c r="R1989" s="2">
        <v>45101</v>
      </c>
      <c r="S1989">
        <v>4</v>
      </c>
      <c r="T1989">
        <v>3</v>
      </c>
      <c r="U1989">
        <v>1</v>
      </c>
      <c r="V1989" s="1">
        <v>45036</v>
      </c>
      <c r="W1989" t="s">
        <v>68</v>
      </c>
      <c r="X1989" t="s">
        <v>51</v>
      </c>
      <c r="Y1989" t="s">
        <v>52</v>
      </c>
      <c r="Z1989">
        <v>4</v>
      </c>
      <c r="AA1989">
        <v>830.45</v>
      </c>
      <c r="AB1989">
        <v>75</v>
      </c>
    </row>
    <row r="1990" spans="1:28" x14ac:dyDescent="0.2">
      <c r="A1990">
        <v>2512</v>
      </c>
      <c r="B1990" s="1">
        <v>45032</v>
      </c>
      <c r="C1990" t="s">
        <v>128</v>
      </c>
      <c r="D1990" t="s">
        <v>54</v>
      </c>
      <c r="E1990" t="s">
        <v>30</v>
      </c>
      <c r="F1990" t="s">
        <v>46</v>
      </c>
      <c r="G1990" t="s">
        <v>56</v>
      </c>
      <c r="H1990" t="s">
        <v>33</v>
      </c>
      <c r="I1990" t="s">
        <v>129</v>
      </c>
      <c r="J1990" t="s">
        <v>70</v>
      </c>
      <c r="K1990" s="2">
        <v>24537</v>
      </c>
      <c r="L1990" t="s">
        <v>36</v>
      </c>
      <c r="M1990" t="s">
        <v>48</v>
      </c>
      <c r="N1990" t="s">
        <v>49</v>
      </c>
      <c r="O1990" t="s">
        <v>39</v>
      </c>
      <c r="P1990" t="s">
        <v>40</v>
      </c>
      <c r="Q1990">
        <v>4</v>
      </c>
      <c r="R1990" s="2">
        <v>44806</v>
      </c>
      <c r="S1990">
        <v>1</v>
      </c>
      <c r="T1990">
        <v>4</v>
      </c>
      <c r="U1990">
        <v>2</v>
      </c>
      <c r="V1990" s="1">
        <v>44976</v>
      </c>
      <c r="W1990" t="s">
        <v>92</v>
      </c>
      <c r="X1990" t="s">
        <v>51</v>
      </c>
      <c r="Y1990" t="s">
        <v>43</v>
      </c>
      <c r="Z1990">
        <v>5</v>
      </c>
      <c r="AA1990">
        <v>802.2</v>
      </c>
      <c r="AB1990">
        <v>56</v>
      </c>
    </row>
    <row r="1991" spans="1:28" x14ac:dyDescent="0.2">
      <c r="A1991">
        <v>2513</v>
      </c>
      <c r="B1991" s="1">
        <v>44427</v>
      </c>
      <c r="C1991" t="s">
        <v>145</v>
      </c>
      <c r="D1991" t="s">
        <v>94</v>
      </c>
      <c r="E1991" t="s">
        <v>30</v>
      </c>
      <c r="F1991" t="s">
        <v>55</v>
      </c>
      <c r="G1991" t="s">
        <v>45</v>
      </c>
      <c r="H1991" t="s">
        <v>55</v>
      </c>
      <c r="I1991" t="s">
        <v>95</v>
      </c>
      <c r="J1991" t="s">
        <v>75</v>
      </c>
      <c r="K1991" s="2">
        <v>15267</v>
      </c>
      <c r="L1991" t="s">
        <v>36</v>
      </c>
      <c r="M1991" t="s">
        <v>48</v>
      </c>
      <c r="N1991" t="s">
        <v>84</v>
      </c>
      <c r="O1991" t="s">
        <v>77</v>
      </c>
      <c r="P1991" t="s">
        <v>40</v>
      </c>
      <c r="Q1991">
        <v>2</v>
      </c>
      <c r="R1991" s="2">
        <v>45013</v>
      </c>
      <c r="S1991">
        <v>5</v>
      </c>
      <c r="T1991">
        <v>2</v>
      </c>
      <c r="U1991">
        <v>4</v>
      </c>
      <c r="V1991" s="1">
        <v>44900</v>
      </c>
      <c r="W1991" t="s">
        <v>92</v>
      </c>
      <c r="X1991" t="s">
        <v>42</v>
      </c>
      <c r="Y1991" t="s">
        <v>43</v>
      </c>
      <c r="Z1991">
        <v>4</v>
      </c>
      <c r="AA1991">
        <v>337.06</v>
      </c>
      <c r="AB1991">
        <v>80</v>
      </c>
    </row>
    <row r="1992" spans="1:28" x14ac:dyDescent="0.2">
      <c r="A1992">
        <v>2514</v>
      </c>
      <c r="B1992" s="1">
        <v>44575</v>
      </c>
      <c r="C1992" t="s">
        <v>150</v>
      </c>
      <c r="D1992" t="s">
        <v>54</v>
      </c>
      <c r="E1992" t="s">
        <v>30</v>
      </c>
      <c r="F1992" t="s">
        <v>46</v>
      </c>
      <c r="G1992" t="s">
        <v>45</v>
      </c>
      <c r="H1992" t="s">
        <v>55</v>
      </c>
      <c r="I1992" t="s">
        <v>95</v>
      </c>
      <c r="J1992" t="s">
        <v>79</v>
      </c>
      <c r="K1992" s="2">
        <v>21072</v>
      </c>
      <c r="L1992" t="s">
        <v>36</v>
      </c>
      <c r="M1992" t="s">
        <v>48</v>
      </c>
      <c r="N1992" t="s">
        <v>38</v>
      </c>
      <c r="O1992" t="s">
        <v>61</v>
      </c>
      <c r="P1992" t="s">
        <v>40</v>
      </c>
      <c r="Q1992">
        <v>1</v>
      </c>
      <c r="R1992" s="2">
        <v>45087</v>
      </c>
      <c r="S1992">
        <v>5</v>
      </c>
      <c r="T1992">
        <v>2</v>
      </c>
      <c r="U1992">
        <v>2</v>
      </c>
      <c r="V1992" s="1">
        <v>45091</v>
      </c>
      <c r="W1992" t="s">
        <v>68</v>
      </c>
      <c r="X1992" t="s">
        <v>42</v>
      </c>
      <c r="Y1992" t="s">
        <v>52</v>
      </c>
      <c r="Z1992">
        <v>3</v>
      </c>
      <c r="AA1992">
        <v>538.16</v>
      </c>
      <c r="AB1992">
        <v>65</v>
      </c>
    </row>
    <row r="1993" spans="1:28" x14ac:dyDescent="0.2">
      <c r="A1993">
        <v>2515</v>
      </c>
      <c r="B1993" s="1">
        <v>43354</v>
      </c>
      <c r="C1993" t="s">
        <v>146</v>
      </c>
      <c r="D1993" t="s">
        <v>81</v>
      </c>
      <c r="E1993" t="s">
        <v>30</v>
      </c>
      <c r="F1993" t="s">
        <v>31</v>
      </c>
      <c r="G1993" t="s">
        <v>45</v>
      </c>
      <c r="H1993" t="s">
        <v>55</v>
      </c>
      <c r="I1993" t="s">
        <v>95</v>
      </c>
      <c r="J1993" t="s">
        <v>58</v>
      </c>
      <c r="K1993" s="2">
        <v>35226</v>
      </c>
      <c r="L1993" t="s">
        <v>36</v>
      </c>
      <c r="M1993" t="s">
        <v>48</v>
      </c>
      <c r="N1993" t="s">
        <v>49</v>
      </c>
      <c r="O1993" t="s">
        <v>61</v>
      </c>
      <c r="P1993" t="s">
        <v>40</v>
      </c>
      <c r="Q1993">
        <v>4</v>
      </c>
      <c r="R1993" s="2">
        <v>45013</v>
      </c>
      <c r="S1993">
        <v>1</v>
      </c>
      <c r="T1993">
        <v>1</v>
      </c>
      <c r="U1993">
        <v>1</v>
      </c>
      <c r="V1993" s="1">
        <v>45126</v>
      </c>
      <c r="W1993" t="s">
        <v>68</v>
      </c>
      <c r="X1993" t="s">
        <v>42</v>
      </c>
      <c r="Y1993" t="s">
        <v>73</v>
      </c>
      <c r="Z1993">
        <v>1</v>
      </c>
      <c r="AA1993">
        <v>190.1</v>
      </c>
      <c r="AB1993">
        <v>22</v>
      </c>
    </row>
    <row r="1994" spans="1:28" x14ac:dyDescent="0.2">
      <c r="A1994">
        <v>2516</v>
      </c>
      <c r="B1994" s="1">
        <v>44610</v>
      </c>
      <c r="C1994" t="s">
        <v>148</v>
      </c>
      <c r="D1994" t="s">
        <v>87</v>
      </c>
      <c r="E1994" t="s">
        <v>30</v>
      </c>
      <c r="F1994" t="s">
        <v>55</v>
      </c>
      <c r="G1994" t="s">
        <v>32</v>
      </c>
      <c r="H1994" t="s">
        <v>33</v>
      </c>
      <c r="I1994" t="s">
        <v>95</v>
      </c>
      <c r="J1994" t="s">
        <v>70</v>
      </c>
      <c r="K1994" s="2">
        <v>32714</v>
      </c>
      <c r="L1994" t="s">
        <v>36</v>
      </c>
      <c r="M1994" t="s">
        <v>48</v>
      </c>
      <c r="N1994" t="s">
        <v>49</v>
      </c>
      <c r="O1994" t="s">
        <v>39</v>
      </c>
      <c r="P1994" t="s">
        <v>40</v>
      </c>
      <c r="Q1994">
        <v>5</v>
      </c>
      <c r="R1994" s="2">
        <v>45061</v>
      </c>
      <c r="S1994">
        <v>5</v>
      </c>
      <c r="T1994">
        <v>1</v>
      </c>
      <c r="U1994">
        <v>5</v>
      </c>
      <c r="V1994" s="1">
        <v>44957</v>
      </c>
      <c r="W1994" t="s">
        <v>50</v>
      </c>
      <c r="X1994" t="s">
        <v>42</v>
      </c>
      <c r="Y1994" t="s">
        <v>63</v>
      </c>
      <c r="Z1994">
        <v>1</v>
      </c>
      <c r="AA1994">
        <v>397.27</v>
      </c>
      <c r="AB1994">
        <v>33</v>
      </c>
    </row>
    <row r="1995" spans="1:28" x14ac:dyDescent="0.2">
      <c r="A1995">
        <v>2517</v>
      </c>
      <c r="B1995" s="1">
        <v>43800</v>
      </c>
      <c r="C1995" t="s">
        <v>139</v>
      </c>
      <c r="D1995" t="s">
        <v>29</v>
      </c>
      <c r="E1995" t="s">
        <v>30</v>
      </c>
      <c r="F1995" t="s">
        <v>55</v>
      </c>
      <c r="G1995" t="s">
        <v>45</v>
      </c>
      <c r="H1995" t="s">
        <v>55</v>
      </c>
      <c r="I1995" t="s">
        <v>95</v>
      </c>
      <c r="J1995" t="s">
        <v>47</v>
      </c>
      <c r="K1995" s="2">
        <v>23052</v>
      </c>
      <c r="L1995" t="s">
        <v>36</v>
      </c>
      <c r="M1995" t="s">
        <v>48</v>
      </c>
      <c r="N1995" t="s">
        <v>84</v>
      </c>
      <c r="O1995" t="s">
        <v>61</v>
      </c>
      <c r="P1995" t="s">
        <v>40</v>
      </c>
      <c r="Q1995">
        <v>2</v>
      </c>
      <c r="R1995" s="2">
        <v>45112</v>
      </c>
      <c r="S1995">
        <v>5</v>
      </c>
      <c r="T1995">
        <v>5</v>
      </c>
      <c r="U1995">
        <v>1</v>
      </c>
      <c r="V1995" s="1">
        <v>45017</v>
      </c>
      <c r="W1995" t="s">
        <v>68</v>
      </c>
      <c r="X1995" t="s">
        <v>42</v>
      </c>
      <c r="Y1995" t="s">
        <v>52</v>
      </c>
      <c r="Z1995">
        <v>5</v>
      </c>
      <c r="AA1995">
        <v>826.65</v>
      </c>
      <c r="AB1995">
        <v>56</v>
      </c>
    </row>
    <row r="1996" spans="1:28" x14ac:dyDescent="0.2">
      <c r="A1996">
        <v>2518</v>
      </c>
      <c r="B1996" s="1">
        <v>44255</v>
      </c>
      <c r="C1996" t="s">
        <v>139</v>
      </c>
      <c r="D1996" t="s">
        <v>85</v>
      </c>
      <c r="E1996" t="s">
        <v>30</v>
      </c>
      <c r="F1996" t="s">
        <v>55</v>
      </c>
      <c r="G1996" t="s">
        <v>45</v>
      </c>
      <c r="H1996" t="s">
        <v>55</v>
      </c>
      <c r="I1996" t="s">
        <v>95</v>
      </c>
      <c r="J1996" t="s">
        <v>101</v>
      </c>
      <c r="K1996" s="2">
        <v>23371</v>
      </c>
      <c r="L1996" t="s">
        <v>36</v>
      </c>
      <c r="M1996" t="s">
        <v>48</v>
      </c>
      <c r="N1996" t="s">
        <v>38</v>
      </c>
      <c r="O1996" t="s">
        <v>39</v>
      </c>
      <c r="P1996" t="s">
        <v>40</v>
      </c>
      <c r="Q1996">
        <v>4</v>
      </c>
      <c r="R1996" s="2">
        <v>44923</v>
      </c>
      <c r="S1996">
        <v>4</v>
      </c>
      <c r="T1996">
        <v>2</v>
      </c>
      <c r="U1996">
        <v>1</v>
      </c>
      <c r="V1996" s="1">
        <v>44863</v>
      </c>
      <c r="W1996" t="s">
        <v>50</v>
      </c>
      <c r="X1996" t="s">
        <v>42</v>
      </c>
      <c r="Y1996" t="s">
        <v>63</v>
      </c>
      <c r="Z1996">
        <v>4</v>
      </c>
      <c r="AA1996">
        <v>732.18</v>
      </c>
      <c r="AB1996">
        <v>58</v>
      </c>
    </row>
    <row r="1997" spans="1:28" x14ac:dyDescent="0.2">
      <c r="A1997">
        <v>2519</v>
      </c>
      <c r="B1997" s="1">
        <v>44513</v>
      </c>
      <c r="C1997" t="s">
        <v>128</v>
      </c>
      <c r="D1997" t="s">
        <v>81</v>
      </c>
      <c r="E1997" t="s">
        <v>30</v>
      </c>
      <c r="F1997" t="s">
        <v>46</v>
      </c>
      <c r="G1997" t="s">
        <v>45</v>
      </c>
      <c r="H1997" t="s">
        <v>46</v>
      </c>
      <c r="I1997" t="s">
        <v>129</v>
      </c>
      <c r="J1997" t="s">
        <v>89</v>
      </c>
      <c r="K1997" s="2">
        <v>23145</v>
      </c>
      <c r="L1997" t="s">
        <v>36</v>
      </c>
      <c r="M1997" t="s">
        <v>37</v>
      </c>
      <c r="N1997" t="s">
        <v>38</v>
      </c>
      <c r="O1997" t="s">
        <v>67</v>
      </c>
      <c r="P1997" t="s">
        <v>40</v>
      </c>
      <c r="Q1997">
        <v>4</v>
      </c>
      <c r="R1997" s="2">
        <v>44807</v>
      </c>
      <c r="S1997">
        <v>3</v>
      </c>
      <c r="T1997">
        <v>5</v>
      </c>
      <c r="U1997">
        <v>5</v>
      </c>
      <c r="V1997" s="1">
        <v>44965</v>
      </c>
      <c r="W1997" t="s">
        <v>68</v>
      </c>
      <c r="X1997" t="s">
        <v>51</v>
      </c>
      <c r="Y1997" t="s">
        <v>43</v>
      </c>
      <c r="Z1997">
        <v>2</v>
      </c>
      <c r="AA1997">
        <v>564.38</v>
      </c>
      <c r="AB1997">
        <v>58</v>
      </c>
    </row>
    <row r="1998" spans="1:28" x14ac:dyDescent="0.2">
      <c r="A1998">
        <v>2520</v>
      </c>
      <c r="B1998" s="1">
        <v>44101</v>
      </c>
      <c r="C1998" t="s">
        <v>128</v>
      </c>
      <c r="D1998" t="s">
        <v>54</v>
      </c>
      <c r="E1998" t="s">
        <v>30</v>
      </c>
      <c r="F1998" t="s">
        <v>46</v>
      </c>
      <c r="G1998" t="s">
        <v>32</v>
      </c>
      <c r="H1998" t="s">
        <v>46</v>
      </c>
      <c r="I1998" t="s">
        <v>129</v>
      </c>
      <c r="J1998" t="s">
        <v>96</v>
      </c>
      <c r="K1998" s="2">
        <v>17701</v>
      </c>
      <c r="L1998" t="s">
        <v>36</v>
      </c>
      <c r="M1998" t="s">
        <v>48</v>
      </c>
      <c r="N1998" t="s">
        <v>84</v>
      </c>
      <c r="O1998" t="s">
        <v>77</v>
      </c>
      <c r="P1998" t="s">
        <v>40</v>
      </c>
      <c r="Q1998">
        <v>1</v>
      </c>
      <c r="R1998" s="2">
        <v>44963</v>
      </c>
      <c r="S1998">
        <v>2</v>
      </c>
      <c r="T1998">
        <v>1</v>
      </c>
      <c r="U1998">
        <v>1</v>
      </c>
      <c r="V1998" s="1">
        <v>44964</v>
      </c>
      <c r="W1998" t="s">
        <v>50</v>
      </c>
      <c r="X1998" t="s">
        <v>42</v>
      </c>
      <c r="Y1998" t="s">
        <v>52</v>
      </c>
      <c r="Z1998">
        <v>2</v>
      </c>
      <c r="AA1998">
        <v>512.02</v>
      </c>
      <c r="AB1998">
        <v>72</v>
      </c>
    </row>
    <row r="1999" spans="1:28" x14ac:dyDescent="0.2">
      <c r="A1999">
        <v>2521</v>
      </c>
      <c r="B1999" s="1">
        <v>44807</v>
      </c>
      <c r="C1999" t="s">
        <v>128</v>
      </c>
      <c r="D1999" t="s">
        <v>69</v>
      </c>
      <c r="E1999" t="s">
        <v>30</v>
      </c>
      <c r="F1999" t="s">
        <v>31</v>
      </c>
      <c r="G1999" t="s">
        <v>32</v>
      </c>
      <c r="H1999" t="s">
        <v>33</v>
      </c>
      <c r="I1999" t="s">
        <v>129</v>
      </c>
      <c r="J1999" t="s">
        <v>79</v>
      </c>
      <c r="K1999" s="2">
        <v>19960</v>
      </c>
      <c r="L1999" t="s">
        <v>36</v>
      </c>
      <c r="M1999" t="s">
        <v>48</v>
      </c>
      <c r="N1999" t="s">
        <v>38</v>
      </c>
      <c r="O1999" t="s">
        <v>77</v>
      </c>
      <c r="P1999" t="s">
        <v>40</v>
      </c>
      <c r="Q1999">
        <v>1</v>
      </c>
      <c r="R1999" s="2">
        <v>45084</v>
      </c>
      <c r="S1999">
        <v>4</v>
      </c>
      <c r="T1999">
        <v>4</v>
      </c>
      <c r="U1999">
        <v>4</v>
      </c>
      <c r="V1999" s="1">
        <v>44883</v>
      </c>
      <c r="W1999" t="s">
        <v>62</v>
      </c>
      <c r="X1999" t="s">
        <v>42</v>
      </c>
      <c r="Y1999" t="s">
        <v>63</v>
      </c>
      <c r="Z1999">
        <v>1</v>
      </c>
      <c r="AA1999">
        <v>599.41</v>
      </c>
      <c r="AB1999">
        <v>68</v>
      </c>
    </row>
    <row r="2000" spans="1:28" x14ac:dyDescent="0.2">
      <c r="A2000">
        <v>2522</v>
      </c>
      <c r="B2000" s="1">
        <v>44113</v>
      </c>
      <c r="C2000" t="s">
        <v>145</v>
      </c>
      <c r="D2000" t="s">
        <v>54</v>
      </c>
      <c r="E2000" t="s">
        <v>30</v>
      </c>
      <c r="F2000" t="s">
        <v>55</v>
      </c>
      <c r="G2000" t="s">
        <v>32</v>
      </c>
      <c r="H2000" t="s">
        <v>33</v>
      </c>
      <c r="I2000" t="s">
        <v>95</v>
      </c>
      <c r="J2000" t="s">
        <v>70</v>
      </c>
      <c r="K2000" s="2">
        <v>17919</v>
      </c>
      <c r="L2000" t="s">
        <v>36</v>
      </c>
      <c r="M2000" t="s">
        <v>48</v>
      </c>
      <c r="N2000" t="s">
        <v>60</v>
      </c>
      <c r="O2000" t="s">
        <v>67</v>
      </c>
      <c r="P2000" t="s">
        <v>40</v>
      </c>
      <c r="Q2000">
        <v>4</v>
      </c>
      <c r="R2000" s="2">
        <v>44786</v>
      </c>
      <c r="S2000">
        <v>3</v>
      </c>
      <c r="T2000">
        <v>3</v>
      </c>
      <c r="U2000">
        <v>2</v>
      </c>
      <c r="V2000" s="1">
        <v>45107</v>
      </c>
      <c r="W2000" t="s">
        <v>92</v>
      </c>
      <c r="X2000" t="s">
        <v>42</v>
      </c>
      <c r="Y2000" t="s">
        <v>73</v>
      </c>
      <c r="Z2000">
        <v>4</v>
      </c>
      <c r="AA2000">
        <v>839.04</v>
      </c>
      <c r="AB2000">
        <v>71</v>
      </c>
    </row>
    <row r="2001" spans="1:28" x14ac:dyDescent="0.2">
      <c r="A2001">
        <v>2523</v>
      </c>
      <c r="B2001" s="1">
        <v>44506</v>
      </c>
      <c r="C2001" t="s">
        <v>150</v>
      </c>
      <c r="D2001" t="s">
        <v>69</v>
      </c>
      <c r="E2001" t="s">
        <v>30</v>
      </c>
      <c r="F2001" t="s">
        <v>55</v>
      </c>
      <c r="G2001" t="s">
        <v>45</v>
      </c>
      <c r="H2001" t="s">
        <v>33</v>
      </c>
      <c r="I2001" t="s">
        <v>95</v>
      </c>
      <c r="J2001" t="s">
        <v>65</v>
      </c>
      <c r="K2001" s="2">
        <v>25819</v>
      </c>
      <c r="L2001" t="s">
        <v>36</v>
      </c>
      <c r="M2001" t="s">
        <v>48</v>
      </c>
      <c r="N2001" t="s">
        <v>49</v>
      </c>
      <c r="O2001" t="s">
        <v>61</v>
      </c>
      <c r="P2001" t="s">
        <v>40</v>
      </c>
      <c r="Q2001">
        <v>5</v>
      </c>
      <c r="R2001" s="2">
        <v>44974</v>
      </c>
      <c r="S2001">
        <v>1</v>
      </c>
      <c r="T2001">
        <v>1</v>
      </c>
      <c r="U2001">
        <v>3</v>
      </c>
      <c r="V2001" s="1">
        <v>45105</v>
      </c>
      <c r="W2001" t="s">
        <v>50</v>
      </c>
      <c r="X2001" t="s">
        <v>51</v>
      </c>
      <c r="Y2001" t="s">
        <v>52</v>
      </c>
      <c r="Z2001">
        <v>4</v>
      </c>
      <c r="AA2001">
        <v>391.4</v>
      </c>
      <c r="AB2001">
        <v>51</v>
      </c>
    </row>
    <row r="2002" spans="1:28" x14ac:dyDescent="0.2">
      <c r="A2002">
        <v>2524</v>
      </c>
      <c r="B2002" s="1">
        <v>45101</v>
      </c>
      <c r="C2002" t="s">
        <v>146</v>
      </c>
      <c r="D2002" t="s">
        <v>29</v>
      </c>
      <c r="E2002" t="s">
        <v>30</v>
      </c>
      <c r="F2002" t="s">
        <v>31</v>
      </c>
      <c r="G2002" t="s">
        <v>45</v>
      </c>
      <c r="H2002" t="s">
        <v>46</v>
      </c>
      <c r="I2002" t="s">
        <v>95</v>
      </c>
      <c r="J2002" t="s">
        <v>35</v>
      </c>
      <c r="K2002" s="2">
        <v>25279</v>
      </c>
      <c r="L2002" t="s">
        <v>36</v>
      </c>
      <c r="M2002" t="s">
        <v>48</v>
      </c>
      <c r="N2002" t="s">
        <v>72</v>
      </c>
      <c r="O2002" t="s">
        <v>67</v>
      </c>
      <c r="P2002" t="s">
        <v>40</v>
      </c>
      <c r="Q2002">
        <v>1</v>
      </c>
      <c r="R2002" s="2">
        <v>45117</v>
      </c>
      <c r="S2002">
        <v>3</v>
      </c>
      <c r="T2002">
        <v>3</v>
      </c>
      <c r="U2002">
        <v>4</v>
      </c>
      <c r="V2002" s="1">
        <v>44849</v>
      </c>
      <c r="W2002" t="s">
        <v>41</v>
      </c>
      <c r="X2002" t="s">
        <v>42</v>
      </c>
      <c r="Y2002" t="s">
        <v>52</v>
      </c>
      <c r="Z2002">
        <v>1</v>
      </c>
      <c r="AA2002">
        <v>569.5</v>
      </c>
      <c r="AB2002">
        <v>54</v>
      </c>
    </row>
    <row r="2003" spans="1:28" x14ac:dyDescent="0.2">
      <c r="A2003">
        <v>2525</v>
      </c>
      <c r="B2003" s="1">
        <v>44454</v>
      </c>
      <c r="C2003" t="s">
        <v>148</v>
      </c>
      <c r="D2003" t="s">
        <v>85</v>
      </c>
      <c r="E2003" t="s">
        <v>30</v>
      </c>
      <c r="F2003" t="s">
        <v>55</v>
      </c>
      <c r="G2003" t="s">
        <v>56</v>
      </c>
      <c r="H2003" t="s">
        <v>55</v>
      </c>
      <c r="I2003" t="s">
        <v>57</v>
      </c>
      <c r="J2003" t="s">
        <v>65</v>
      </c>
      <c r="K2003" s="2">
        <v>19031</v>
      </c>
      <c r="L2003" t="s">
        <v>36</v>
      </c>
      <c r="M2003" t="s">
        <v>48</v>
      </c>
      <c r="N2003" t="s">
        <v>60</v>
      </c>
      <c r="O2003" t="s">
        <v>67</v>
      </c>
      <c r="P2003" t="s">
        <v>40</v>
      </c>
      <c r="Q2003">
        <v>2</v>
      </c>
      <c r="R2003" s="2">
        <v>45130</v>
      </c>
      <c r="S2003">
        <v>2</v>
      </c>
      <c r="T2003">
        <v>5</v>
      </c>
      <c r="U2003">
        <v>1</v>
      </c>
      <c r="V2003" s="1">
        <v>45040</v>
      </c>
      <c r="W2003" t="s">
        <v>41</v>
      </c>
      <c r="X2003" t="s">
        <v>51</v>
      </c>
      <c r="Y2003" t="s">
        <v>52</v>
      </c>
      <c r="Z2003">
        <v>3</v>
      </c>
      <c r="AA2003">
        <v>450.81</v>
      </c>
      <c r="AB2003">
        <v>69</v>
      </c>
    </row>
    <row r="2004" spans="1:28" x14ac:dyDescent="0.2">
      <c r="A2004">
        <v>2526</v>
      </c>
      <c r="B2004" s="1">
        <v>44848</v>
      </c>
      <c r="C2004" t="s">
        <v>139</v>
      </c>
      <c r="D2004" t="s">
        <v>81</v>
      </c>
      <c r="E2004" t="s">
        <v>30</v>
      </c>
      <c r="F2004" t="s">
        <v>31</v>
      </c>
      <c r="G2004" t="s">
        <v>32</v>
      </c>
      <c r="H2004" t="s">
        <v>46</v>
      </c>
      <c r="I2004" t="s">
        <v>95</v>
      </c>
      <c r="J2004" t="s">
        <v>79</v>
      </c>
      <c r="K2004" s="2">
        <v>23464</v>
      </c>
      <c r="L2004" t="s">
        <v>36</v>
      </c>
      <c r="M2004" t="s">
        <v>37</v>
      </c>
      <c r="N2004" t="s">
        <v>60</v>
      </c>
      <c r="O2004" t="s">
        <v>61</v>
      </c>
      <c r="P2004" t="s">
        <v>40</v>
      </c>
      <c r="Q2004">
        <v>1</v>
      </c>
      <c r="R2004" s="2">
        <v>44856</v>
      </c>
      <c r="S2004">
        <v>1</v>
      </c>
      <c r="T2004">
        <v>1</v>
      </c>
      <c r="U2004">
        <v>1</v>
      </c>
      <c r="V2004" s="1">
        <v>45100</v>
      </c>
      <c r="W2004" t="s">
        <v>68</v>
      </c>
      <c r="X2004" t="s">
        <v>42</v>
      </c>
      <c r="Y2004" t="s">
        <v>73</v>
      </c>
      <c r="Z2004">
        <v>2</v>
      </c>
      <c r="AA2004">
        <v>265.45999999999998</v>
      </c>
      <c r="AB2004">
        <v>58</v>
      </c>
    </row>
    <row r="2005" spans="1:28" x14ac:dyDescent="0.2">
      <c r="A2005">
        <v>2527</v>
      </c>
      <c r="B2005" s="1">
        <v>43668</v>
      </c>
      <c r="C2005" t="s">
        <v>139</v>
      </c>
      <c r="D2005" t="s">
        <v>54</v>
      </c>
      <c r="E2005" t="s">
        <v>30</v>
      </c>
      <c r="F2005" t="s">
        <v>55</v>
      </c>
      <c r="G2005" t="s">
        <v>45</v>
      </c>
      <c r="H2005" t="s">
        <v>33</v>
      </c>
      <c r="I2005" t="s">
        <v>95</v>
      </c>
      <c r="J2005" t="s">
        <v>79</v>
      </c>
      <c r="K2005" s="2">
        <v>33403</v>
      </c>
      <c r="L2005" t="s">
        <v>36</v>
      </c>
      <c r="M2005" t="s">
        <v>48</v>
      </c>
      <c r="N2005" t="s">
        <v>84</v>
      </c>
      <c r="O2005" t="s">
        <v>67</v>
      </c>
      <c r="P2005" t="s">
        <v>40</v>
      </c>
      <c r="Q2005">
        <v>2</v>
      </c>
      <c r="R2005" s="2">
        <v>44862</v>
      </c>
      <c r="S2005">
        <v>3</v>
      </c>
      <c r="T2005">
        <v>4</v>
      </c>
      <c r="U2005">
        <v>5</v>
      </c>
      <c r="V2005" s="1">
        <v>44889</v>
      </c>
      <c r="W2005" t="s">
        <v>68</v>
      </c>
      <c r="X2005" t="s">
        <v>42</v>
      </c>
      <c r="Y2005" t="s">
        <v>73</v>
      </c>
      <c r="Z2005">
        <v>2</v>
      </c>
      <c r="AA2005">
        <v>462.98</v>
      </c>
      <c r="AB2005">
        <v>28</v>
      </c>
    </row>
    <row r="2006" spans="1:28" x14ac:dyDescent="0.2">
      <c r="A2006">
        <v>2528</v>
      </c>
      <c r="B2006" s="1">
        <v>45005</v>
      </c>
      <c r="C2006" t="s">
        <v>139</v>
      </c>
      <c r="D2006" t="s">
        <v>94</v>
      </c>
      <c r="E2006" t="s">
        <v>30</v>
      </c>
      <c r="F2006" t="s">
        <v>46</v>
      </c>
      <c r="G2006" t="s">
        <v>32</v>
      </c>
      <c r="H2006" t="s">
        <v>46</v>
      </c>
      <c r="I2006" t="s">
        <v>95</v>
      </c>
      <c r="J2006" t="s">
        <v>96</v>
      </c>
      <c r="K2006" s="2">
        <v>31207</v>
      </c>
      <c r="L2006" t="s">
        <v>36</v>
      </c>
      <c r="M2006" t="s">
        <v>48</v>
      </c>
      <c r="N2006" t="s">
        <v>38</v>
      </c>
      <c r="O2006" t="s">
        <v>67</v>
      </c>
      <c r="P2006" t="s">
        <v>40</v>
      </c>
      <c r="Q2006">
        <v>1</v>
      </c>
      <c r="R2006" s="2">
        <v>45117</v>
      </c>
      <c r="S2006">
        <v>2</v>
      </c>
      <c r="T2006">
        <v>4</v>
      </c>
      <c r="U2006">
        <v>2</v>
      </c>
      <c r="V2006" s="1">
        <v>45132</v>
      </c>
      <c r="W2006" t="s">
        <v>92</v>
      </c>
      <c r="X2006" t="s">
        <v>42</v>
      </c>
      <c r="Y2006" t="s">
        <v>73</v>
      </c>
      <c r="Z2006">
        <v>3</v>
      </c>
      <c r="AA2006">
        <v>760.34</v>
      </c>
      <c r="AB2006">
        <v>38</v>
      </c>
    </row>
    <row r="2007" spans="1:28" x14ac:dyDescent="0.2">
      <c r="A2007">
        <v>2529</v>
      </c>
      <c r="B2007" s="1">
        <v>44683</v>
      </c>
      <c r="C2007" t="s">
        <v>128</v>
      </c>
      <c r="D2007" t="s">
        <v>81</v>
      </c>
      <c r="E2007" t="s">
        <v>30</v>
      </c>
      <c r="F2007" t="s">
        <v>55</v>
      </c>
      <c r="G2007" t="s">
        <v>56</v>
      </c>
      <c r="H2007" t="s">
        <v>46</v>
      </c>
      <c r="I2007" t="s">
        <v>129</v>
      </c>
      <c r="J2007" t="s">
        <v>111</v>
      </c>
      <c r="K2007" s="2">
        <v>19496</v>
      </c>
      <c r="L2007" t="s">
        <v>36</v>
      </c>
      <c r="M2007" t="s">
        <v>37</v>
      </c>
      <c r="N2007" t="s">
        <v>60</v>
      </c>
      <c r="O2007" t="s">
        <v>61</v>
      </c>
      <c r="P2007" t="s">
        <v>40</v>
      </c>
      <c r="Q2007">
        <v>2</v>
      </c>
      <c r="R2007" s="2">
        <v>44903</v>
      </c>
      <c r="S2007">
        <v>4</v>
      </c>
      <c r="T2007">
        <v>5</v>
      </c>
      <c r="U2007">
        <v>1</v>
      </c>
      <c r="V2007" s="1">
        <v>44850</v>
      </c>
      <c r="W2007" t="s">
        <v>92</v>
      </c>
      <c r="X2007" t="s">
        <v>51</v>
      </c>
      <c r="Y2007" t="s">
        <v>43</v>
      </c>
      <c r="Z2007">
        <v>1</v>
      </c>
      <c r="AA2007">
        <v>383.84</v>
      </c>
      <c r="AB2007">
        <v>69</v>
      </c>
    </row>
    <row r="2008" spans="1:28" x14ac:dyDescent="0.2">
      <c r="A2008">
        <v>2530</v>
      </c>
      <c r="B2008" s="1">
        <v>44854</v>
      </c>
      <c r="C2008" t="s">
        <v>128</v>
      </c>
      <c r="D2008" t="s">
        <v>54</v>
      </c>
      <c r="E2008" t="s">
        <v>30</v>
      </c>
      <c r="F2008" t="s">
        <v>46</v>
      </c>
      <c r="G2008" t="s">
        <v>32</v>
      </c>
      <c r="H2008" t="s">
        <v>33</v>
      </c>
      <c r="I2008" t="s">
        <v>129</v>
      </c>
      <c r="J2008" t="s">
        <v>105</v>
      </c>
      <c r="K2008" s="2">
        <v>29322</v>
      </c>
      <c r="L2008" t="s">
        <v>36</v>
      </c>
      <c r="M2008" t="s">
        <v>48</v>
      </c>
      <c r="N2008" t="s">
        <v>38</v>
      </c>
      <c r="O2008" t="s">
        <v>77</v>
      </c>
      <c r="P2008" t="s">
        <v>40</v>
      </c>
      <c r="Q2008">
        <v>2</v>
      </c>
      <c r="R2008" s="2">
        <v>45125</v>
      </c>
      <c r="S2008">
        <v>4</v>
      </c>
      <c r="T2008">
        <v>1</v>
      </c>
      <c r="U2008">
        <v>1</v>
      </c>
      <c r="V2008" s="1">
        <v>44906</v>
      </c>
      <c r="W2008" t="s">
        <v>68</v>
      </c>
      <c r="X2008" t="s">
        <v>51</v>
      </c>
      <c r="Y2008" t="s">
        <v>43</v>
      </c>
      <c r="Z2008">
        <v>4</v>
      </c>
      <c r="AA2008">
        <v>723.57</v>
      </c>
      <c r="AB2008">
        <v>42</v>
      </c>
    </row>
    <row r="2009" spans="1:28" x14ac:dyDescent="0.2">
      <c r="A2009">
        <v>2531</v>
      </c>
      <c r="B2009" s="1">
        <v>45131</v>
      </c>
      <c r="C2009" t="s">
        <v>128</v>
      </c>
      <c r="D2009" t="s">
        <v>69</v>
      </c>
      <c r="E2009" t="s">
        <v>30</v>
      </c>
      <c r="F2009" t="s">
        <v>46</v>
      </c>
      <c r="G2009" t="s">
        <v>56</v>
      </c>
      <c r="H2009" t="s">
        <v>55</v>
      </c>
      <c r="I2009" t="s">
        <v>129</v>
      </c>
      <c r="J2009" t="s">
        <v>82</v>
      </c>
      <c r="K2009" s="2">
        <v>18769</v>
      </c>
      <c r="L2009" t="s">
        <v>36</v>
      </c>
      <c r="M2009" t="s">
        <v>48</v>
      </c>
      <c r="N2009" t="s">
        <v>72</v>
      </c>
      <c r="O2009" t="s">
        <v>39</v>
      </c>
      <c r="P2009" t="s">
        <v>40</v>
      </c>
      <c r="Q2009">
        <v>2</v>
      </c>
      <c r="R2009" s="2">
        <v>44801</v>
      </c>
      <c r="S2009">
        <v>2</v>
      </c>
      <c r="T2009">
        <v>5</v>
      </c>
      <c r="U2009">
        <v>4</v>
      </c>
      <c r="V2009" s="1">
        <v>44866</v>
      </c>
      <c r="W2009" t="s">
        <v>92</v>
      </c>
      <c r="X2009" t="s">
        <v>42</v>
      </c>
      <c r="Y2009" t="s">
        <v>52</v>
      </c>
      <c r="Z2009">
        <v>1</v>
      </c>
      <c r="AA2009">
        <v>725.34</v>
      </c>
      <c r="AB2009">
        <v>72</v>
      </c>
    </row>
    <row r="2010" spans="1:28" x14ac:dyDescent="0.2">
      <c r="A2010">
        <v>2532</v>
      </c>
      <c r="B2010" s="1">
        <v>44030</v>
      </c>
      <c r="C2010" t="s">
        <v>145</v>
      </c>
      <c r="D2010" t="s">
        <v>81</v>
      </c>
      <c r="E2010" t="s">
        <v>30</v>
      </c>
      <c r="F2010" t="s">
        <v>31</v>
      </c>
      <c r="G2010" t="s">
        <v>45</v>
      </c>
      <c r="H2010" t="s">
        <v>46</v>
      </c>
      <c r="I2010" t="s">
        <v>95</v>
      </c>
      <c r="J2010" t="s">
        <v>65</v>
      </c>
      <c r="K2010" s="2">
        <v>26546</v>
      </c>
      <c r="L2010" t="s">
        <v>36</v>
      </c>
      <c r="M2010" t="s">
        <v>48</v>
      </c>
      <c r="N2010" t="s">
        <v>60</v>
      </c>
      <c r="O2010" t="s">
        <v>39</v>
      </c>
      <c r="P2010" t="s">
        <v>40</v>
      </c>
      <c r="Q2010">
        <v>4</v>
      </c>
      <c r="R2010" s="2">
        <v>45011</v>
      </c>
      <c r="S2010">
        <v>1</v>
      </c>
      <c r="T2010">
        <v>1</v>
      </c>
      <c r="U2010">
        <v>4</v>
      </c>
      <c r="V2010" s="1">
        <v>45064</v>
      </c>
      <c r="W2010" t="s">
        <v>41</v>
      </c>
      <c r="X2010" t="s">
        <v>42</v>
      </c>
      <c r="Y2010" t="s">
        <v>52</v>
      </c>
      <c r="Z2010">
        <v>2</v>
      </c>
      <c r="AA2010">
        <v>119.48</v>
      </c>
      <c r="AB2010">
        <v>48</v>
      </c>
    </row>
    <row r="2011" spans="1:28" x14ac:dyDescent="0.2">
      <c r="A2011">
        <v>2533</v>
      </c>
      <c r="B2011" s="1">
        <v>44321</v>
      </c>
      <c r="C2011" t="s">
        <v>145</v>
      </c>
      <c r="D2011" t="s">
        <v>54</v>
      </c>
      <c r="E2011" t="s">
        <v>30</v>
      </c>
      <c r="F2011" t="s">
        <v>55</v>
      </c>
      <c r="G2011" t="s">
        <v>45</v>
      </c>
      <c r="H2011" t="s">
        <v>33</v>
      </c>
      <c r="I2011" t="s">
        <v>95</v>
      </c>
      <c r="J2011" t="s">
        <v>70</v>
      </c>
      <c r="K2011" s="2">
        <v>24271</v>
      </c>
      <c r="L2011" t="s">
        <v>36</v>
      </c>
      <c r="M2011" t="s">
        <v>48</v>
      </c>
      <c r="N2011" t="s">
        <v>38</v>
      </c>
      <c r="O2011" t="s">
        <v>77</v>
      </c>
      <c r="P2011" t="s">
        <v>40</v>
      </c>
      <c r="Q2011">
        <v>1</v>
      </c>
      <c r="R2011" s="2">
        <v>44793</v>
      </c>
      <c r="S2011">
        <v>1</v>
      </c>
      <c r="T2011">
        <v>1</v>
      </c>
      <c r="U2011">
        <v>3</v>
      </c>
      <c r="V2011" s="1">
        <v>45129</v>
      </c>
      <c r="W2011" t="s">
        <v>92</v>
      </c>
      <c r="X2011" t="s">
        <v>51</v>
      </c>
      <c r="Y2011" t="s">
        <v>63</v>
      </c>
      <c r="Z2011">
        <v>1</v>
      </c>
      <c r="AA2011">
        <v>226.93</v>
      </c>
      <c r="AB2011">
        <v>55</v>
      </c>
    </row>
    <row r="2012" spans="1:28" x14ac:dyDescent="0.2">
      <c r="A2012">
        <v>2534</v>
      </c>
      <c r="B2012" s="1">
        <v>43570</v>
      </c>
      <c r="C2012" t="s">
        <v>150</v>
      </c>
      <c r="D2012" t="s">
        <v>69</v>
      </c>
      <c r="E2012" t="s">
        <v>30</v>
      </c>
      <c r="F2012" t="s">
        <v>46</v>
      </c>
      <c r="G2012" t="s">
        <v>56</v>
      </c>
      <c r="H2012" t="s">
        <v>33</v>
      </c>
      <c r="I2012" t="s">
        <v>95</v>
      </c>
      <c r="J2012" t="s">
        <v>96</v>
      </c>
      <c r="K2012" s="2">
        <v>22102</v>
      </c>
      <c r="L2012" t="s">
        <v>36</v>
      </c>
      <c r="M2012" t="s">
        <v>48</v>
      </c>
      <c r="N2012" t="s">
        <v>60</v>
      </c>
      <c r="O2012" t="s">
        <v>77</v>
      </c>
      <c r="P2012" t="s">
        <v>40</v>
      </c>
      <c r="Q2012">
        <v>1</v>
      </c>
      <c r="R2012" s="2">
        <v>44849</v>
      </c>
      <c r="S2012">
        <v>2</v>
      </c>
      <c r="T2012">
        <v>2</v>
      </c>
      <c r="U2012">
        <v>5</v>
      </c>
      <c r="V2012" s="1">
        <v>44795</v>
      </c>
      <c r="W2012" t="s">
        <v>41</v>
      </c>
      <c r="X2012" t="s">
        <v>42</v>
      </c>
      <c r="Y2012" t="s">
        <v>73</v>
      </c>
      <c r="Z2012">
        <v>3</v>
      </c>
      <c r="AA2012">
        <v>739.85</v>
      </c>
      <c r="AB2012">
        <v>59</v>
      </c>
    </row>
    <row r="2013" spans="1:28" x14ac:dyDescent="0.2">
      <c r="A2013">
        <v>2535</v>
      </c>
      <c r="B2013" s="1">
        <v>44067</v>
      </c>
      <c r="C2013" t="s">
        <v>146</v>
      </c>
      <c r="D2013" t="s">
        <v>29</v>
      </c>
      <c r="E2013" t="s">
        <v>30</v>
      </c>
      <c r="F2013" t="s">
        <v>31</v>
      </c>
      <c r="G2013" t="s">
        <v>56</v>
      </c>
      <c r="H2013" t="s">
        <v>46</v>
      </c>
      <c r="I2013" t="s">
        <v>57</v>
      </c>
      <c r="J2013" t="s">
        <v>70</v>
      </c>
      <c r="K2013" s="2">
        <v>28755</v>
      </c>
      <c r="L2013" t="s">
        <v>36</v>
      </c>
      <c r="M2013" t="s">
        <v>48</v>
      </c>
      <c r="N2013" t="s">
        <v>60</v>
      </c>
      <c r="O2013" t="s">
        <v>61</v>
      </c>
      <c r="P2013" t="s">
        <v>40</v>
      </c>
      <c r="Q2013">
        <v>2</v>
      </c>
      <c r="R2013" s="2">
        <v>44779</v>
      </c>
      <c r="S2013">
        <v>2</v>
      </c>
      <c r="T2013">
        <v>5</v>
      </c>
      <c r="U2013">
        <v>2</v>
      </c>
      <c r="V2013" s="1">
        <v>44836</v>
      </c>
      <c r="W2013" t="s">
        <v>62</v>
      </c>
      <c r="X2013" t="s">
        <v>42</v>
      </c>
      <c r="Y2013" t="s">
        <v>52</v>
      </c>
      <c r="Z2013">
        <v>2</v>
      </c>
      <c r="AA2013">
        <v>369.68</v>
      </c>
      <c r="AB2013">
        <v>42</v>
      </c>
    </row>
    <row r="2014" spans="1:28" x14ac:dyDescent="0.2">
      <c r="A2014">
        <v>2536</v>
      </c>
      <c r="B2014" s="1">
        <v>44926</v>
      </c>
      <c r="C2014" t="s">
        <v>148</v>
      </c>
      <c r="D2014" t="s">
        <v>85</v>
      </c>
      <c r="E2014" t="s">
        <v>30</v>
      </c>
      <c r="F2014" t="s">
        <v>31</v>
      </c>
      <c r="G2014" t="s">
        <v>32</v>
      </c>
      <c r="H2014" t="s">
        <v>33</v>
      </c>
      <c r="I2014" t="s">
        <v>57</v>
      </c>
      <c r="J2014" t="s">
        <v>70</v>
      </c>
      <c r="K2014" s="2">
        <v>18662</v>
      </c>
      <c r="L2014" t="s">
        <v>36</v>
      </c>
      <c r="M2014" t="s">
        <v>48</v>
      </c>
      <c r="N2014" t="s">
        <v>49</v>
      </c>
      <c r="O2014" t="s">
        <v>67</v>
      </c>
      <c r="P2014" t="s">
        <v>40</v>
      </c>
      <c r="Q2014">
        <v>2</v>
      </c>
      <c r="R2014" s="2">
        <v>44911</v>
      </c>
      <c r="S2014">
        <v>2</v>
      </c>
      <c r="T2014">
        <v>1</v>
      </c>
      <c r="U2014">
        <v>2</v>
      </c>
      <c r="V2014" s="1">
        <v>44799</v>
      </c>
      <c r="W2014" t="s">
        <v>41</v>
      </c>
      <c r="X2014" t="s">
        <v>51</v>
      </c>
      <c r="Y2014" t="s">
        <v>63</v>
      </c>
      <c r="Z2014">
        <v>1</v>
      </c>
      <c r="AA2014">
        <v>243.63</v>
      </c>
      <c r="AB2014">
        <v>71</v>
      </c>
    </row>
    <row r="2015" spans="1:28" x14ac:dyDescent="0.2">
      <c r="A2015">
        <v>2537</v>
      </c>
      <c r="B2015" s="1">
        <v>44822</v>
      </c>
      <c r="C2015" t="s">
        <v>139</v>
      </c>
      <c r="D2015" t="s">
        <v>54</v>
      </c>
      <c r="E2015" t="s">
        <v>30</v>
      </c>
      <c r="F2015" t="s">
        <v>55</v>
      </c>
      <c r="G2015" t="s">
        <v>45</v>
      </c>
      <c r="H2015" t="s">
        <v>55</v>
      </c>
      <c r="I2015" t="s">
        <v>95</v>
      </c>
      <c r="J2015" t="s">
        <v>70</v>
      </c>
      <c r="K2015" s="2">
        <v>18833</v>
      </c>
      <c r="L2015" t="s">
        <v>36</v>
      </c>
      <c r="M2015" t="s">
        <v>37</v>
      </c>
      <c r="N2015" t="s">
        <v>38</v>
      </c>
      <c r="O2015" t="s">
        <v>61</v>
      </c>
      <c r="P2015" t="s">
        <v>40</v>
      </c>
      <c r="Q2015">
        <v>2</v>
      </c>
      <c r="R2015" s="2">
        <v>45133</v>
      </c>
      <c r="S2015">
        <v>4</v>
      </c>
      <c r="T2015">
        <v>5</v>
      </c>
      <c r="U2015">
        <v>4</v>
      </c>
      <c r="V2015" s="1">
        <v>45004</v>
      </c>
      <c r="W2015" t="s">
        <v>62</v>
      </c>
      <c r="X2015" t="s">
        <v>51</v>
      </c>
      <c r="Y2015" t="s">
        <v>43</v>
      </c>
      <c r="Z2015">
        <v>5</v>
      </c>
      <c r="AA2015">
        <v>475.8</v>
      </c>
      <c r="AB2015">
        <v>71</v>
      </c>
    </row>
    <row r="2016" spans="1:28" x14ac:dyDescent="0.2">
      <c r="A2016">
        <v>2538</v>
      </c>
      <c r="B2016" s="1">
        <v>43722</v>
      </c>
      <c r="C2016" t="s">
        <v>139</v>
      </c>
      <c r="D2016" t="s">
        <v>69</v>
      </c>
      <c r="E2016" t="s">
        <v>30</v>
      </c>
      <c r="F2016" t="s">
        <v>55</v>
      </c>
      <c r="G2016" t="s">
        <v>32</v>
      </c>
      <c r="H2016" t="s">
        <v>46</v>
      </c>
      <c r="I2016" t="s">
        <v>95</v>
      </c>
      <c r="J2016" t="s">
        <v>101</v>
      </c>
      <c r="K2016" s="2">
        <v>31462</v>
      </c>
      <c r="L2016" t="s">
        <v>36</v>
      </c>
      <c r="M2016" t="s">
        <v>37</v>
      </c>
      <c r="N2016" t="s">
        <v>49</v>
      </c>
      <c r="O2016" t="s">
        <v>61</v>
      </c>
      <c r="P2016" t="s">
        <v>40</v>
      </c>
      <c r="Q2016">
        <v>5</v>
      </c>
      <c r="R2016" s="2">
        <v>44836</v>
      </c>
      <c r="S2016">
        <v>5</v>
      </c>
      <c r="T2016">
        <v>4</v>
      </c>
      <c r="U2016">
        <v>5</v>
      </c>
      <c r="V2016" s="1">
        <v>45022</v>
      </c>
      <c r="W2016" t="s">
        <v>41</v>
      </c>
      <c r="X2016" t="s">
        <v>51</v>
      </c>
      <c r="Y2016" t="s">
        <v>73</v>
      </c>
      <c r="Z2016">
        <v>3</v>
      </c>
      <c r="AA2016">
        <v>418.25</v>
      </c>
      <c r="AB2016">
        <v>33</v>
      </c>
    </row>
    <row r="2017" spans="1:28" x14ac:dyDescent="0.2">
      <c r="A2017">
        <v>2539</v>
      </c>
      <c r="B2017" s="1">
        <v>43543</v>
      </c>
      <c r="C2017" t="s">
        <v>139</v>
      </c>
      <c r="D2017" t="s">
        <v>29</v>
      </c>
      <c r="E2017" t="s">
        <v>30</v>
      </c>
      <c r="F2017" t="s">
        <v>46</v>
      </c>
      <c r="G2017" t="s">
        <v>56</v>
      </c>
      <c r="H2017" t="s">
        <v>33</v>
      </c>
      <c r="I2017" t="s">
        <v>95</v>
      </c>
      <c r="J2017" t="s">
        <v>101</v>
      </c>
      <c r="K2017" s="2">
        <v>19636</v>
      </c>
      <c r="L2017" t="s">
        <v>36</v>
      </c>
      <c r="M2017" t="s">
        <v>48</v>
      </c>
      <c r="N2017" t="s">
        <v>72</v>
      </c>
      <c r="O2017" t="s">
        <v>67</v>
      </c>
      <c r="P2017" t="s">
        <v>40</v>
      </c>
      <c r="Q2017">
        <v>2</v>
      </c>
      <c r="R2017" s="2">
        <v>44903</v>
      </c>
      <c r="S2017">
        <v>4</v>
      </c>
      <c r="T2017">
        <v>2</v>
      </c>
      <c r="U2017">
        <v>3</v>
      </c>
      <c r="V2017" s="1">
        <v>44875</v>
      </c>
      <c r="W2017" t="s">
        <v>92</v>
      </c>
      <c r="X2017" t="s">
        <v>42</v>
      </c>
      <c r="Y2017" t="s">
        <v>73</v>
      </c>
      <c r="Z2017">
        <v>4</v>
      </c>
      <c r="AA2017">
        <v>703.84</v>
      </c>
      <c r="AB2017">
        <v>66</v>
      </c>
    </row>
    <row r="2018" spans="1:28" x14ac:dyDescent="0.2">
      <c r="A2018">
        <v>2540</v>
      </c>
      <c r="B2018" s="1">
        <v>44852</v>
      </c>
      <c r="C2018" t="s">
        <v>127</v>
      </c>
      <c r="D2018" t="s">
        <v>29</v>
      </c>
      <c r="E2018" t="s">
        <v>30</v>
      </c>
      <c r="F2018" t="s">
        <v>31</v>
      </c>
      <c r="G2018" t="s">
        <v>56</v>
      </c>
      <c r="H2018" t="s">
        <v>46</v>
      </c>
      <c r="I2018" t="s">
        <v>129</v>
      </c>
      <c r="J2018" t="s">
        <v>35</v>
      </c>
      <c r="K2018" s="2">
        <v>34572</v>
      </c>
      <c r="L2018" t="s">
        <v>36</v>
      </c>
      <c r="M2018" t="s">
        <v>37</v>
      </c>
      <c r="N2018" t="s">
        <v>72</v>
      </c>
      <c r="O2018" t="s">
        <v>77</v>
      </c>
      <c r="P2018" t="s">
        <v>40</v>
      </c>
      <c r="Q2018">
        <v>4</v>
      </c>
      <c r="R2018" s="2">
        <v>45032</v>
      </c>
      <c r="S2018">
        <v>3</v>
      </c>
      <c r="T2018">
        <v>4</v>
      </c>
      <c r="U2018">
        <v>4</v>
      </c>
      <c r="V2018" s="1">
        <v>44846</v>
      </c>
      <c r="W2018" t="s">
        <v>62</v>
      </c>
      <c r="X2018" t="s">
        <v>42</v>
      </c>
      <c r="Y2018" t="s">
        <v>43</v>
      </c>
      <c r="Z2018">
        <v>2</v>
      </c>
      <c r="AA2018">
        <v>602.26</v>
      </c>
      <c r="AB2018">
        <v>28</v>
      </c>
    </row>
    <row r="2019" spans="1:28" x14ac:dyDescent="0.2">
      <c r="A2019">
        <v>2541</v>
      </c>
      <c r="B2019" s="1">
        <v>44773</v>
      </c>
      <c r="C2019" t="s">
        <v>128</v>
      </c>
      <c r="D2019" t="s">
        <v>44</v>
      </c>
      <c r="E2019" t="s">
        <v>30</v>
      </c>
      <c r="F2019" t="s">
        <v>55</v>
      </c>
      <c r="G2019" t="s">
        <v>56</v>
      </c>
      <c r="H2019" t="s">
        <v>33</v>
      </c>
      <c r="I2019" t="s">
        <v>129</v>
      </c>
      <c r="J2019" t="s">
        <v>79</v>
      </c>
      <c r="K2019" s="2">
        <v>26673</v>
      </c>
      <c r="L2019" t="s">
        <v>36</v>
      </c>
      <c r="M2019" t="s">
        <v>37</v>
      </c>
      <c r="N2019" t="s">
        <v>60</v>
      </c>
      <c r="O2019" t="s">
        <v>67</v>
      </c>
      <c r="P2019" t="s">
        <v>40</v>
      </c>
      <c r="Q2019">
        <v>1</v>
      </c>
      <c r="R2019" s="2">
        <v>45129</v>
      </c>
      <c r="S2019">
        <v>3</v>
      </c>
      <c r="T2019">
        <v>4</v>
      </c>
      <c r="U2019">
        <v>3</v>
      </c>
      <c r="V2019" s="1">
        <v>44784</v>
      </c>
      <c r="W2019" t="s">
        <v>92</v>
      </c>
      <c r="X2019" t="s">
        <v>42</v>
      </c>
      <c r="Y2019" t="s">
        <v>73</v>
      </c>
      <c r="Z2019">
        <v>2</v>
      </c>
      <c r="AA2019">
        <v>517.83000000000004</v>
      </c>
      <c r="AB2019">
        <v>49</v>
      </c>
    </row>
    <row r="2020" spans="1:28" x14ac:dyDescent="0.2">
      <c r="A2020">
        <v>2542</v>
      </c>
      <c r="B2020" s="1">
        <v>44991</v>
      </c>
      <c r="C2020" t="s">
        <v>128</v>
      </c>
      <c r="D2020" t="s">
        <v>87</v>
      </c>
      <c r="E2020" t="s">
        <v>30</v>
      </c>
      <c r="F2020" t="s">
        <v>46</v>
      </c>
      <c r="G2020" t="s">
        <v>45</v>
      </c>
      <c r="H2020" t="s">
        <v>46</v>
      </c>
      <c r="I2020" t="s">
        <v>129</v>
      </c>
      <c r="J2020" t="s">
        <v>79</v>
      </c>
      <c r="K2020" s="2">
        <v>21794</v>
      </c>
      <c r="L2020" t="s">
        <v>36</v>
      </c>
      <c r="M2020" t="s">
        <v>48</v>
      </c>
      <c r="N2020" t="s">
        <v>72</v>
      </c>
      <c r="O2020" t="s">
        <v>61</v>
      </c>
      <c r="P2020" t="s">
        <v>40</v>
      </c>
      <c r="Q2020">
        <v>4</v>
      </c>
      <c r="R2020" s="2">
        <v>44825</v>
      </c>
      <c r="S2020">
        <v>2</v>
      </c>
      <c r="T2020">
        <v>1</v>
      </c>
      <c r="U2020">
        <v>3</v>
      </c>
      <c r="V2020" s="1">
        <v>44794</v>
      </c>
      <c r="W2020" t="s">
        <v>92</v>
      </c>
      <c r="X2020" t="s">
        <v>51</v>
      </c>
      <c r="Y2020" t="s">
        <v>63</v>
      </c>
      <c r="Z2020">
        <v>5</v>
      </c>
      <c r="AA2020">
        <v>605.99</v>
      </c>
      <c r="AB2020">
        <v>64</v>
      </c>
    </row>
    <row r="2021" spans="1:28" x14ac:dyDescent="0.2">
      <c r="A2021">
        <v>2543</v>
      </c>
      <c r="B2021" s="1">
        <v>43495</v>
      </c>
      <c r="C2021" t="s">
        <v>128</v>
      </c>
      <c r="D2021" t="s">
        <v>81</v>
      </c>
      <c r="E2021" t="s">
        <v>108</v>
      </c>
      <c r="F2021" t="s">
        <v>55</v>
      </c>
      <c r="G2021" t="s">
        <v>45</v>
      </c>
      <c r="H2021" t="s">
        <v>55</v>
      </c>
      <c r="I2021" t="s">
        <v>129</v>
      </c>
      <c r="J2021" t="s">
        <v>65</v>
      </c>
      <c r="K2021" s="2">
        <v>33597</v>
      </c>
      <c r="L2021" t="s">
        <v>36</v>
      </c>
      <c r="M2021" t="s">
        <v>48</v>
      </c>
      <c r="N2021" t="s">
        <v>38</v>
      </c>
      <c r="O2021" t="s">
        <v>77</v>
      </c>
      <c r="P2021" t="s">
        <v>40</v>
      </c>
      <c r="Q2021">
        <v>2</v>
      </c>
      <c r="R2021" s="2">
        <v>45113</v>
      </c>
      <c r="S2021">
        <v>3</v>
      </c>
      <c r="T2021">
        <v>4</v>
      </c>
      <c r="U2021">
        <v>3</v>
      </c>
      <c r="V2021" s="1">
        <v>44808</v>
      </c>
      <c r="W2021" t="s">
        <v>92</v>
      </c>
      <c r="X2021" t="s">
        <v>42</v>
      </c>
      <c r="Y2021" t="s">
        <v>73</v>
      </c>
      <c r="Z2021">
        <v>1</v>
      </c>
      <c r="AA2021">
        <v>100.45</v>
      </c>
      <c r="AB2021">
        <v>28</v>
      </c>
    </row>
    <row r="2022" spans="1:28" x14ac:dyDescent="0.2">
      <c r="A2022">
        <v>2544</v>
      </c>
      <c r="B2022" s="1">
        <v>45068</v>
      </c>
      <c r="C2022" t="s">
        <v>145</v>
      </c>
      <c r="D2022" t="s">
        <v>85</v>
      </c>
      <c r="E2022" t="s">
        <v>30</v>
      </c>
      <c r="F2022" t="s">
        <v>55</v>
      </c>
      <c r="G2022" t="s">
        <v>32</v>
      </c>
      <c r="H2022" t="s">
        <v>33</v>
      </c>
      <c r="I2022" t="s">
        <v>95</v>
      </c>
      <c r="J2022" t="s">
        <v>89</v>
      </c>
      <c r="K2022" s="2">
        <v>16906</v>
      </c>
      <c r="L2022" t="s">
        <v>36</v>
      </c>
      <c r="M2022" t="s">
        <v>48</v>
      </c>
      <c r="N2022" t="s">
        <v>38</v>
      </c>
      <c r="O2022" t="s">
        <v>67</v>
      </c>
      <c r="P2022" t="s">
        <v>40</v>
      </c>
      <c r="Q2022">
        <v>1</v>
      </c>
      <c r="R2022" s="2">
        <v>45114</v>
      </c>
      <c r="S2022">
        <v>2</v>
      </c>
      <c r="T2022">
        <v>3</v>
      </c>
      <c r="U2022">
        <v>2</v>
      </c>
      <c r="V2022" s="1">
        <v>44953</v>
      </c>
      <c r="W2022" t="s">
        <v>92</v>
      </c>
      <c r="X2022" t="s">
        <v>42</v>
      </c>
      <c r="Y2022" t="s">
        <v>63</v>
      </c>
      <c r="Z2022">
        <v>2</v>
      </c>
      <c r="AA2022">
        <v>767.56</v>
      </c>
      <c r="AB2022">
        <v>77</v>
      </c>
    </row>
    <row r="2023" spans="1:28" x14ac:dyDescent="0.2">
      <c r="A2023">
        <v>2545</v>
      </c>
      <c r="B2023" s="1">
        <v>43456</v>
      </c>
      <c r="C2023" t="s">
        <v>145</v>
      </c>
      <c r="D2023" t="s">
        <v>94</v>
      </c>
      <c r="E2023" t="s">
        <v>30</v>
      </c>
      <c r="F2023" t="s">
        <v>31</v>
      </c>
      <c r="G2023" t="s">
        <v>56</v>
      </c>
      <c r="H2023" t="s">
        <v>55</v>
      </c>
      <c r="I2023" t="s">
        <v>95</v>
      </c>
      <c r="J2023" t="s">
        <v>96</v>
      </c>
      <c r="K2023" s="2">
        <v>18909</v>
      </c>
      <c r="L2023" t="s">
        <v>36</v>
      </c>
      <c r="M2023" t="s">
        <v>48</v>
      </c>
      <c r="N2023" t="s">
        <v>49</v>
      </c>
      <c r="O2023" t="s">
        <v>39</v>
      </c>
      <c r="P2023" t="s">
        <v>40</v>
      </c>
      <c r="Q2023">
        <v>4</v>
      </c>
      <c r="R2023" s="2">
        <v>44969</v>
      </c>
      <c r="S2023">
        <v>3</v>
      </c>
      <c r="T2023">
        <v>2</v>
      </c>
      <c r="U2023">
        <v>3</v>
      </c>
      <c r="V2023" s="1">
        <v>45104</v>
      </c>
      <c r="W2023" t="s">
        <v>41</v>
      </c>
      <c r="X2023" t="s">
        <v>42</v>
      </c>
      <c r="Y2023" t="s">
        <v>63</v>
      </c>
      <c r="Z2023">
        <v>1</v>
      </c>
      <c r="AA2023">
        <v>352.45</v>
      </c>
      <c r="AB2023">
        <v>67</v>
      </c>
    </row>
    <row r="2024" spans="1:28" x14ac:dyDescent="0.2">
      <c r="A2024">
        <v>2546</v>
      </c>
      <c r="B2024" s="1">
        <v>44873</v>
      </c>
      <c r="C2024" t="s">
        <v>150</v>
      </c>
      <c r="D2024" t="s">
        <v>54</v>
      </c>
      <c r="E2024" t="s">
        <v>30</v>
      </c>
      <c r="F2024" t="s">
        <v>46</v>
      </c>
      <c r="G2024" t="s">
        <v>45</v>
      </c>
      <c r="H2024" t="s">
        <v>46</v>
      </c>
      <c r="I2024" t="s">
        <v>95</v>
      </c>
      <c r="J2024" t="s">
        <v>35</v>
      </c>
      <c r="K2024" s="2">
        <v>32918</v>
      </c>
      <c r="L2024" t="s">
        <v>36</v>
      </c>
      <c r="M2024" t="s">
        <v>48</v>
      </c>
      <c r="N2024" t="s">
        <v>60</v>
      </c>
      <c r="O2024" t="s">
        <v>67</v>
      </c>
      <c r="P2024" t="s">
        <v>40</v>
      </c>
      <c r="Q2024">
        <v>4</v>
      </c>
      <c r="R2024" s="2">
        <v>44871</v>
      </c>
      <c r="S2024">
        <v>4</v>
      </c>
      <c r="T2024">
        <v>4</v>
      </c>
      <c r="U2024">
        <v>5</v>
      </c>
      <c r="V2024" s="1">
        <v>45068</v>
      </c>
      <c r="W2024" t="s">
        <v>50</v>
      </c>
      <c r="X2024" t="s">
        <v>42</v>
      </c>
      <c r="Y2024" t="s">
        <v>63</v>
      </c>
      <c r="Z2024">
        <v>3</v>
      </c>
      <c r="AA2024">
        <v>463.57</v>
      </c>
      <c r="AB2024">
        <v>32</v>
      </c>
    </row>
    <row r="2025" spans="1:28" x14ac:dyDescent="0.2">
      <c r="A2025">
        <v>2547</v>
      </c>
      <c r="B2025" s="1">
        <v>44380</v>
      </c>
      <c r="C2025" t="s">
        <v>146</v>
      </c>
      <c r="D2025" t="s">
        <v>81</v>
      </c>
      <c r="E2025" t="s">
        <v>30</v>
      </c>
      <c r="F2025" t="s">
        <v>55</v>
      </c>
      <c r="G2025" t="s">
        <v>45</v>
      </c>
      <c r="H2025" t="s">
        <v>33</v>
      </c>
      <c r="I2025" t="s">
        <v>57</v>
      </c>
      <c r="J2025" t="s">
        <v>65</v>
      </c>
      <c r="K2025" s="2">
        <v>25764</v>
      </c>
      <c r="L2025" t="s">
        <v>36</v>
      </c>
      <c r="M2025" t="s">
        <v>48</v>
      </c>
      <c r="N2025" t="s">
        <v>49</v>
      </c>
      <c r="O2025" t="s">
        <v>39</v>
      </c>
      <c r="P2025" t="s">
        <v>40</v>
      </c>
      <c r="Q2025">
        <v>4</v>
      </c>
      <c r="R2025" s="2">
        <v>45072</v>
      </c>
      <c r="S2025">
        <v>2</v>
      </c>
      <c r="T2025">
        <v>5</v>
      </c>
      <c r="U2025">
        <v>1</v>
      </c>
      <c r="V2025" s="1">
        <v>44811</v>
      </c>
      <c r="W2025" t="s">
        <v>41</v>
      </c>
      <c r="X2025" t="s">
        <v>42</v>
      </c>
      <c r="Y2025" t="s">
        <v>63</v>
      </c>
      <c r="Z2025">
        <v>4</v>
      </c>
      <c r="AA2025">
        <v>372.08</v>
      </c>
      <c r="AB2025">
        <v>51</v>
      </c>
    </row>
    <row r="2026" spans="1:28" x14ac:dyDescent="0.2">
      <c r="A2026">
        <v>2548</v>
      </c>
      <c r="B2026" s="1">
        <v>43418</v>
      </c>
      <c r="C2026" t="s">
        <v>139</v>
      </c>
      <c r="D2026" t="s">
        <v>94</v>
      </c>
      <c r="E2026" t="s">
        <v>30</v>
      </c>
      <c r="F2026" t="s">
        <v>31</v>
      </c>
      <c r="G2026" t="s">
        <v>45</v>
      </c>
      <c r="H2026" t="s">
        <v>33</v>
      </c>
      <c r="I2026" t="s">
        <v>95</v>
      </c>
      <c r="J2026" t="s">
        <v>58</v>
      </c>
      <c r="K2026" s="2">
        <v>19771</v>
      </c>
      <c r="L2026" t="s">
        <v>36</v>
      </c>
      <c r="M2026" t="s">
        <v>37</v>
      </c>
      <c r="N2026" t="s">
        <v>60</v>
      </c>
      <c r="O2026" t="s">
        <v>77</v>
      </c>
      <c r="P2026" t="s">
        <v>40</v>
      </c>
      <c r="Q2026">
        <v>1</v>
      </c>
      <c r="R2026" s="2">
        <v>44780</v>
      </c>
      <c r="S2026">
        <v>2</v>
      </c>
      <c r="T2026">
        <v>5</v>
      </c>
      <c r="U2026">
        <v>3</v>
      </c>
      <c r="V2026" s="1">
        <v>44940</v>
      </c>
      <c r="W2026" t="s">
        <v>62</v>
      </c>
      <c r="X2026" t="s">
        <v>51</v>
      </c>
      <c r="Y2026" t="s">
        <v>43</v>
      </c>
      <c r="Z2026">
        <v>3</v>
      </c>
      <c r="AA2026">
        <v>670.58</v>
      </c>
      <c r="AB2026">
        <v>64</v>
      </c>
    </row>
    <row r="2027" spans="1:28" x14ac:dyDescent="0.2">
      <c r="A2027">
        <v>2549</v>
      </c>
      <c r="B2027" s="1">
        <v>44457</v>
      </c>
      <c r="C2027" t="s">
        <v>139</v>
      </c>
      <c r="D2027" t="s">
        <v>54</v>
      </c>
      <c r="E2027" t="s">
        <v>30</v>
      </c>
      <c r="F2027" t="s">
        <v>31</v>
      </c>
      <c r="G2027" t="s">
        <v>45</v>
      </c>
      <c r="H2027" t="s">
        <v>46</v>
      </c>
      <c r="I2027" t="s">
        <v>95</v>
      </c>
      <c r="J2027" t="s">
        <v>70</v>
      </c>
      <c r="K2027" s="2">
        <v>23196</v>
      </c>
      <c r="L2027" t="s">
        <v>36</v>
      </c>
      <c r="M2027" t="s">
        <v>37</v>
      </c>
      <c r="N2027" t="s">
        <v>38</v>
      </c>
      <c r="O2027" t="s">
        <v>77</v>
      </c>
      <c r="P2027" t="s">
        <v>40</v>
      </c>
      <c r="Q2027">
        <v>5</v>
      </c>
      <c r="R2027" s="2">
        <v>44944</v>
      </c>
      <c r="S2027">
        <v>4</v>
      </c>
      <c r="T2027">
        <v>3</v>
      </c>
      <c r="U2027">
        <v>5</v>
      </c>
      <c r="V2027" s="1">
        <v>44913</v>
      </c>
      <c r="W2027" t="s">
        <v>62</v>
      </c>
      <c r="X2027" t="s">
        <v>42</v>
      </c>
      <c r="Y2027" t="s">
        <v>73</v>
      </c>
      <c r="Z2027">
        <v>2</v>
      </c>
      <c r="AA2027">
        <v>399.97</v>
      </c>
      <c r="AB2027">
        <v>58</v>
      </c>
    </row>
    <row r="2028" spans="1:28" x14ac:dyDescent="0.2">
      <c r="A2028">
        <v>2550</v>
      </c>
      <c r="B2028" s="1">
        <v>44154</v>
      </c>
      <c r="C2028" t="s">
        <v>127</v>
      </c>
      <c r="D2028" t="s">
        <v>74</v>
      </c>
      <c r="E2028" t="s">
        <v>30</v>
      </c>
      <c r="F2028" t="s">
        <v>31</v>
      </c>
      <c r="G2028" t="s">
        <v>45</v>
      </c>
      <c r="H2028" t="s">
        <v>46</v>
      </c>
      <c r="I2028" t="s">
        <v>129</v>
      </c>
      <c r="J2028" t="s">
        <v>65</v>
      </c>
      <c r="K2028" s="2">
        <v>19109</v>
      </c>
      <c r="L2028" t="s">
        <v>36</v>
      </c>
      <c r="M2028" t="s">
        <v>37</v>
      </c>
      <c r="N2028" t="s">
        <v>38</v>
      </c>
      <c r="O2028" t="s">
        <v>39</v>
      </c>
      <c r="P2028" t="s">
        <v>40</v>
      </c>
      <c r="Q2028">
        <v>5</v>
      </c>
      <c r="R2028" s="2">
        <v>44927</v>
      </c>
      <c r="S2028">
        <v>3</v>
      </c>
      <c r="T2028">
        <v>1</v>
      </c>
      <c r="U2028">
        <v>1</v>
      </c>
      <c r="V2028" s="1">
        <v>44843</v>
      </c>
      <c r="W2028" t="s">
        <v>62</v>
      </c>
      <c r="X2028" t="s">
        <v>42</v>
      </c>
      <c r="Y2028" t="s">
        <v>52</v>
      </c>
      <c r="Z2028">
        <v>5</v>
      </c>
      <c r="AA2028">
        <v>997.89</v>
      </c>
      <c r="AB2028">
        <v>68</v>
      </c>
    </row>
    <row r="2029" spans="1:28" x14ac:dyDescent="0.2">
      <c r="A2029">
        <v>2551</v>
      </c>
      <c r="B2029" s="1">
        <v>45050</v>
      </c>
      <c r="C2029" t="s">
        <v>128</v>
      </c>
      <c r="D2029" t="s">
        <v>81</v>
      </c>
      <c r="E2029" t="s">
        <v>30</v>
      </c>
      <c r="F2029" t="s">
        <v>55</v>
      </c>
      <c r="G2029" t="s">
        <v>56</v>
      </c>
      <c r="H2029" t="s">
        <v>33</v>
      </c>
      <c r="I2029" t="s">
        <v>129</v>
      </c>
      <c r="J2029" t="s">
        <v>65</v>
      </c>
      <c r="K2029" s="2">
        <v>32275</v>
      </c>
      <c r="L2029" t="s">
        <v>36</v>
      </c>
      <c r="M2029" t="s">
        <v>37</v>
      </c>
      <c r="N2029" t="s">
        <v>60</v>
      </c>
      <c r="O2029" t="s">
        <v>39</v>
      </c>
      <c r="P2029" t="s">
        <v>40</v>
      </c>
      <c r="Q2029">
        <v>1</v>
      </c>
      <c r="R2029" s="2">
        <v>44807</v>
      </c>
      <c r="S2029">
        <v>4</v>
      </c>
      <c r="T2029">
        <v>2</v>
      </c>
      <c r="U2029">
        <v>2</v>
      </c>
      <c r="V2029" s="1">
        <v>45140</v>
      </c>
      <c r="W2029" t="s">
        <v>92</v>
      </c>
      <c r="X2029" t="s">
        <v>42</v>
      </c>
      <c r="Y2029" t="s">
        <v>63</v>
      </c>
      <c r="Z2029">
        <v>2</v>
      </c>
      <c r="AA2029">
        <v>985</v>
      </c>
      <c r="AB2029">
        <v>35</v>
      </c>
    </row>
    <row r="2030" spans="1:28" x14ac:dyDescent="0.2">
      <c r="A2030">
        <v>2552</v>
      </c>
      <c r="B2030" s="1">
        <v>44947</v>
      </c>
      <c r="C2030" t="s">
        <v>128</v>
      </c>
      <c r="D2030" t="s">
        <v>54</v>
      </c>
      <c r="E2030" t="s">
        <v>30</v>
      </c>
      <c r="F2030" t="s">
        <v>55</v>
      </c>
      <c r="G2030" t="s">
        <v>56</v>
      </c>
      <c r="H2030" t="s">
        <v>33</v>
      </c>
      <c r="I2030" t="s">
        <v>129</v>
      </c>
      <c r="J2030" t="s">
        <v>96</v>
      </c>
      <c r="K2030" s="2">
        <v>20031</v>
      </c>
      <c r="L2030" t="s">
        <v>36</v>
      </c>
      <c r="M2030" t="s">
        <v>48</v>
      </c>
      <c r="N2030" t="s">
        <v>38</v>
      </c>
      <c r="O2030" t="s">
        <v>61</v>
      </c>
      <c r="P2030" t="s">
        <v>40</v>
      </c>
      <c r="Q2030">
        <v>5</v>
      </c>
      <c r="R2030" s="2">
        <v>44853</v>
      </c>
      <c r="S2030">
        <v>3</v>
      </c>
      <c r="T2030">
        <v>2</v>
      </c>
      <c r="U2030">
        <v>3</v>
      </c>
      <c r="V2030" s="1">
        <v>44825</v>
      </c>
      <c r="W2030" t="s">
        <v>50</v>
      </c>
      <c r="X2030" t="s">
        <v>42</v>
      </c>
      <c r="Y2030" t="s">
        <v>63</v>
      </c>
      <c r="Z2030">
        <v>5</v>
      </c>
      <c r="AA2030">
        <v>573.47</v>
      </c>
      <c r="AB2030">
        <v>69</v>
      </c>
    </row>
    <row r="2031" spans="1:28" x14ac:dyDescent="0.2">
      <c r="A2031">
        <v>2553</v>
      </c>
      <c r="B2031" s="1">
        <v>44792</v>
      </c>
      <c r="C2031" t="s">
        <v>145</v>
      </c>
      <c r="D2031" t="s">
        <v>81</v>
      </c>
      <c r="E2031" t="s">
        <v>30</v>
      </c>
      <c r="F2031" t="s">
        <v>31</v>
      </c>
      <c r="G2031" t="s">
        <v>56</v>
      </c>
      <c r="H2031" t="s">
        <v>46</v>
      </c>
      <c r="I2031" t="s">
        <v>95</v>
      </c>
      <c r="J2031" t="s">
        <v>47</v>
      </c>
      <c r="K2031" s="2">
        <v>26946</v>
      </c>
      <c r="L2031" t="s">
        <v>36</v>
      </c>
      <c r="M2031" t="s">
        <v>48</v>
      </c>
      <c r="N2031" t="s">
        <v>60</v>
      </c>
      <c r="O2031" t="s">
        <v>77</v>
      </c>
      <c r="P2031" t="s">
        <v>40</v>
      </c>
      <c r="Q2031">
        <v>2</v>
      </c>
      <c r="R2031" s="2">
        <v>44850</v>
      </c>
      <c r="S2031">
        <v>2</v>
      </c>
      <c r="T2031">
        <v>2</v>
      </c>
      <c r="U2031">
        <v>2</v>
      </c>
      <c r="V2031" s="1">
        <v>44837</v>
      </c>
      <c r="W2031" t="s">
        <v>62</v>
      </c>
      <c r="X2031" t="s">
        <v>51</v>
      </c>
      <c r="Y2031" t="s">
        <v>43</v>
      </c>
      <c r="Z2031">
        <v>2</v>
      </c>
      <c r="AA2031">
        <v>414.08</v>
      </c>
      <c r="AB2031">
        <v>49</v>
      </c>
    </row>
    <row r="2032" spans="1:28" x14ac:dyDescent="0.2">
      <c r="A2032">
        <v>2554</v>
      </c>
      <c r="B2032" s="1">
        <v>44760</v>
      </c>
      <c r="C2032" t="s">
        <v>145</v>
      </c>
      <c r="D2032" t="s">
        <v>54</v>
      </c>
      <c r="E2032" t="s">
        <v>30</v>
      </c>
      <c r="F2032" t="s">
        <v>46</v>
      </c>
      <c r="G2032" t="s">
        <v>45</v>
      </c>
      <c r="H2032" t="s">
        <v>55</v>
      </c>
      <c r="I2032" t="s">
        <v>95</v>
      </c>
      <c r="J2032" t="s">
        <v>75</v>
      </c>
      <c r="K2032" s="2">
        <v>33514</v>
      </c>
      <c r="L2032" t="s">
        <v>36</v>
      </c>
      <c r="M2032" t="s">
        <v>48</v>
      </c>
      <c r="N2032" t="s">
        <v>49</v>
      </c>
      <c r="O2032" t="s">
        <v>39</v>
      </c>
      <c r="P2032" t="s">
        <v>40</v>
      </c>
      <c r="Q2032">
        <v>1</v>
      </c>
      <c r="R2032" s="2">
        <v>44924</v>
      </c>
      <c r="S2032">
        <v>5</v>
      </c>
      <c r="T2032">
        <v>1</v>
      </c>
      <c r="U2032">
        <v>4</v>
      </c>
      <c r="V2032" s="1">
        <v>45136</v>
      </c>
      <c r="W2032" t="s">
        <v>92</v>
      </c>
      <c r="X2032" t="s">
        <v>51</v>
      </c>
      <c r="Y2032" t="s">
        <v>63</v>
      </c>
      <c r="Z2032">
        <v>5</v>
      </c>
      <c r="AA2032">
        <v>889.09</v>
      </c>
      <c r="AB2032">
        <v>31</v>
      </c>
    </row>
    <row r="2033" spans="1:28" x14ac:dyDescent="0.2">
      <c r="A2033">
        <v>2555</v>
      </c>
      <c r="B2033" s="1">
        <v>43691</v>
      </c>
      <c r="C2033" t="s">
        <v>150</v>
      </c>
      <c r="D2033" t="s">
        <v>69</v>
      </c>
      <c r="E2033" t="s">
        <v>30</v>
      </c>
      <c r="F2033" t="s">
        <v>55</v>
      </c>
      <c r="G2033" t="s">
        <v>45</v>
      </c>
      <c r="H2033" t="s">
        <v>33</v>
      </c>
      <c r="I2033" t="s">
        <v>95</v>
      </c>
      <c r="J2033" t="s">
        <v>103</v>
      </c>
      <c r="K2033" s="2">
        <v>20754</v>
      </c>
      <c r="L2033" t="s">
        <v>36</v>
      </c>
      <c r="M2033" t="s">
        <v>48</v>
      </c>
      <c r="N2033" t="s">
        <v>60</v>
      </c>
      <c r="O2033" t="s">
        <v>39</v>
      </c>
      <c r="P2033" t="s">
        <v>40</v>
      </c>
      <c r="Q2033">
        <v>2</v>
      </c>
      <c r="R2033" s="2">
        <v>45060</v>
      </c>
      <c r="S2033">
        <v>5</v>
      </c>
      <c r="T2033">
        <v>1</v>
      </c>
      <c r="U2033">
        <v>4</v>
      </c>
      <c r="V2033" s="1">
        <v>44944</v>
      </c>
      <c r="W2033" t="s">
        <v>68</v>
      </c>
      <c r="X2033" t="s">
        <v>42</v>
      </c>
      <c r="Y2033" t="s">
        <v>73</v>
      </c>
      <c r="Z2033">
        <v>3</v>
      </c>
      <c r="AA2033">
        <v>650.08000000000004</v>
      </c>
      <c r="AB2033">
        <v>63</v>
      </c>
    </row>
    <row r="2034" spans="1:28" x14ac:dyDescent="0.2">
      <c r="A2034">
        <v>2556</v>
      </c>
      <c r="B2034" s="1">
        <v>44175</v>
      </c>
      <c r="C2034" t="s">
        <v>146</v>
      </c>
      <c r="D2034" t="s">
        <v>29</v>
      </c>
      <c r="E2034" t="s">
        <v>30</v>
      </c>
      <c r="F2034" t="s">
        <v>46</v>
      </c>
      <c r="G2034" t="s">
        <v>45</v>
      </c>
      <c r="H2034" t="s">
        <v>55</v>
      </c>
      <c r="I2034" t="s">
        <v>57</v>
      </c>
      <c r="J2034" t="s">
        <v>99</v>
      </c>
      <c r="K2034" s="2">
        <v>35180</v>
      </c>
      <c r="L2034" t="s">
        <v>36</v>
      </c>
      <c r="M2034" t="s">
        <v>48</v>
      </c>
      <c r="N2034" t="s">
        <v>38</v>
      </c>
      <c r="O2034" t="s">
        <v>67</v>
      </c>
      <c r="P2034" t="s">
        <v>40</v>
      </c>
      <c r="Q2034">
        <v>2</v>
      </c>
      <c r="R2034" s="2">
        <v>44958</v>
      </c>
      <c r="S2034">
        <v>4</v>
      </c>
      <c r="T2034">
        <v>1</v>
      </c>
      <c r="U2034">
        <v>3</v>
      </c>
      <c r="V2034" s="1">
        <v>44792</v>
      </c>
      <c r="W2034" t="s">
        <v>50</v>
      </c>
      <c r="X2034" t="s">
        <v>42</v>
      </c>
      <c r="Y2034" t="s">
        <v>73</v>
      </c>
      <c r="Z2034">
        <v>5</v>
      </c>
      <c r="AA2034">
        <v>283.57</v>
      </c>
      <c r="AB2034">
        <v>24</v>
      </c>
    </row>
    <row r="2035" spans="1:28" x14ac:dyDescent="0.2">
      <c r="A2035">
        <v>2557</v>
      </c>
      <c r="B2035" s="1">
        <v>43728</v>
      </c>
      <c r="C2035" t="s">
        <v>139</v>
      </c>
      <c r="D2035" t="s">
        <v>87</v>
      </c>
      <c r="E2035" t="s">
        <v>30</v>
      </c>
      <c r="F2035" t="s">
        <v>55</v>
      </c>
      <c r="G2035" t="s">
        <v>56</v>
      </c>
      <c r="H2035" t="s">
        <v>33</v>
      </c>
      <c r="I2035" t="s">
        <v>95</v>
      </c>
      <c r="J2035" t="s">
        <v>79</v>
      </c>
      <c r="K2035" s="2">
        <v>23545</v>
      </c>
      <c r="L2035" t="s">
        <v>36</v>
      </c>
      <c r="M2035" t="s">
        <v>37</v>
      </c>
      <c r="N2035" t="s">
        <v>72</v>
      </c>
      <c r="O2035" t="s">
        <v>67</v>
      </c>
      <c r="P2035" t="s">
        <v>40</v>
      </c>
      <c r="Q2035">
        <v>2</v>
      </c>
      <c r="R2035" s="2">
        <v>44808</v>
      </c>
      <c r="S2035">
        <v>1</v>
      </c>
      <c r="T2035">
        <v>3</v>
      </c>
      <c r="U2035">
        <v>1</v>
      </c>
      <c r="V2035" s="1">
        <v>44793</v>
      </c>
      <c r="W2035" t="s">
        <v>68</v>
      </c>
      <c r="X2035" t="s">
        <v>42</v>
      </c>
      <c r="Y2035" t="s">
        <v>63</v>
      </c>
      <c r="Z2035">
        <v>1</v>
      </c>
      <c r="AA2035">
        <v>908.5</v>
      </c>
      <c r="AB2035">
        <v>55</v>
      </c>
    </row>
    <row r="2036" spans="1:28" x14ac:dyDescent="0.2">
      <c r="A2036">
        <v>2558</v>
      </c>
      <c r="B2036" s="1">
        <v>44519</v>
      </c>
      <c r="C2036" t="s">
        <v>127</v>
      </c>
      <c r="D2036" t="s">
        <v>74</v>
      </c>
      <c r="E2036" t="s">
        <v>30</v>
      </c>
      <c r="F2036" t="s">
        <v>55</v>
      </c>
      <c r="G2036" t="s">
        <v>56</v>
      </c>
      <c r="H2036" t="s">
        <v>55</v>
      </c>
      <c r="I2036" t="s">
        <v>129</v>
      </c>
      <c r="J2036" t="s">
        <v>70</v>
      </c>
      <c r="K2036" s="2">
        <v>24071</v>
      </c>
      <c r="L2036" t="s">
        <v>36</v>
      </c>
      <c r="M2036" t="s">
        <v>37</v>
      </c>
      <c r="N2036" t="s">
        <v>84</v>
      </c>
      <c r="O2036" t="s">
        <v>39</v>
      </c>
      <c r="P2036" t="s">
        <v>40</v>
      </c>
      <c r="Q2036">
        <v>4</v>
      </c>
      <c r="R2036" s="2">
        <v>44910</v>
      </c>
      <c r="S2036">
        <v>2</v>
      </c>
      <c r="T2036">
        <v>4</v>
      </c>
      <c r="U2036">
        <v>5</v>
      </c>
      <c r="V2036" s="1">
        <v>44872</v>
      </c>
      <c r="W2036" t="s">
        <v>68</v>
      </c>
      <c r="X2036" t="s">
        <v>42</v>
      </c>
      <c r="Y2036" t="s">
        <v>43</v>
      </c>
      <c r="Z2036">
        <v>2</v>
      </c>
      <c r="AA2036">
        <v>900.85</v>
      </c>
      <c r="AB2036">
        <v>56</v>
      </c>
    </row>
    <row r="2037" spans="1:28" x14ac:dyDescent="0.2">
      <c r="A2037">
        <v>2559</v>
      </c>
      <c r="B2037" s="1">
        <v>44680</v>
      </c>
      <c r="C2037" t="s">
        <v>128</v>
      </c>
      <c r="D2037" t="s">
        <v>81</v>
      </c>
      <c r="E2037" t="s">
        <v>30</v>
      </c>
      <c r="F2037" t="s">
        <v>46</v>
      </c>
      <c r="G2037" t="s">
        <v>56</v>
      </c>
      <c r="H2037" t="s">
        <v>55</v>
      </c>
      <c r="I2037" t="s">
        <v>129</v>
      </c>
      <c r="J2037" t="s">
        <v>70</v>
      </c>
      <c r="K2037" s="2">
        <v>21147</v>
      </c>
      <c r="L2037" t="s">
        <v>36</v>
      </c>
      <c r="M2037" t="s">
        <v>48</v>
      </c>
      <c r="N2037" t="s">
        <v>38</v>
      </c>
      <c r="O2037" t="s">
        <v>39</v>
      </c>
      <c r="P2037" t="s">
        <v>40</v>
      </c>
      <c r="Q2037">
        <v>1</v>
      </c>
      <c r="R2037" s="2">
        <v>45117</v>
      </c>
      <c r="S2037">
        <v>3</v>
      </c>
      <c r="T2037">
        <v>5</v>
      </c>
      <c r="U2037">
        <v>3</v>
      </c>
      <c r="V2037" s="1">
        <v>44823</v>
      </c>
      <c r="W2037" t="s">
        <v>92</v>
      </c>
      <c r="X2037" t="s">
        <v>51</v>
      </c>
      <c r="Y2037" t="s">
        <v>73</v>
      </c>
      <c r="Z2037">
        <v>3</v>
      </c>
      <c r="AA2037">
        <v>449.84</v>
      </c>
      <c r="AB2037">
        <v>65</v>
      </c>
    </row>
    <row r="2038" spans="1:28" x14ac:dyDescent="0.2">
      <c r="A2038">
        <v>2560</v>
      </c>
      <c r="B2038" s="1">
        <v>44377</v>
      </c>
      <c r="C2038" t="s">
        <v>144</v>
      </c>
      <c r="D2038" t="s">
        <v>74</v>
      </c>
      <c r="E2038" t="s">
        <v>30</v>
      </c>
      <c r="F2038" t="s">
        <v>46</v>
      </c>
      <c r="G2038" t="s">
        <v>45</v>
      </c>
      <c r="H2038" t="s">
        <v>46</v>
      </c>
      <c r="I2038" t="s">
        <v>95</v>
      </c>
      <c r="J2038" t="s">
        <v>70</v>
      </c>
      <c r="K2038" s="2">
        <v>28130</v>
      </c>
      <c r="L2038" t="s">
        <v>36</v>
      </c>
      <c r="M2038" t="s">
        <v>48</v>
      </c>
      <c r="N2038" t="s">
        <v>72</v>
      </c>
      <c r="O2038" t="s">
        <v>39</v>
      </c>
      <c r="P2038" t="s">
        <v>40</v>
      </c>
      <c r="Q2038">
        <v>4</v>
      </c>
      <c r="R2038" s="2">
        <v>44853</v>
      </c>
      <c r="S2038">
        <v>5</v>
      </c>
      <c r="T2038">
        <v>1</v>
      </c>
      <c r="U2038">
        <v>5</v>
      </c>
      <c r="V2038" s="1">
        <v>45141</v>
      </c>
      <c r="W2038" t="s">
        <v>92</v>
      </c>
      <c r="X2038" t="s">
        <v>51</v>
      </c>
      <c r="Y2038" t="s">
        <v>43</v>
      </c>
      <c r="Z2038">
        <v>5</v>
      </c>
      <c r="AA2038">
        <v>981.9</v>
      </c>
      <c r="AB2038">
        <v>44</v>
      </c>
    </row>
    <row r="2039" spans="1:28" x14ac:dyDescent="0.2">
      <c r="A2039">
        <v>2561</v>
      </c>
      <c r="B2039" s="1">
        <v>44392</v>
      </c>
      <c r="C2039" t="s">
        <v>145</v>
      </c>
      <c r="D2039" t="s">
        <v>81</v>
      </c>
      <c r="E2039" t="s">
        <v>30</v>
      </c>
      <c r="F2039" t="s">
        <v>31</v>
      </c>
      <c r="G2039" t="s">
        <v>56</v>
      </c>
      <c r="H2039" t="s">
        <v>33</v>
      </c>
      <c r="I2039" t="s">
        <v>95</v>
      </c>
      <c r="J2039" t="s">
        <v>65</v>
      </c>
      <c r="K2039" s="2">
        <v>20617</v>
      </c>
      <c r="L2039" t="s">
        <v>36</v>
      </c>
      <c r="M2039" t="s">
        <v>48</v>
      </c>
      <c r="N2039" t="s">
        <v>49</v>
      </c>
      <c r="O2039" t="s">
        <v>67</v>
      </c>
      <c r="P2039" t="s">
        <v>40</v>
      </c>
      <c r="Q2039">
        <v>2</v>
      </c>
      <c r="R2039" s="2">
        <v>45031</v>
      </c>
      <c r="S2039">
        <v>3</v>
      </c>
      <c r="T2039">
        <v>5</v>
      </c>
      <c r="U2039">
        <v>4</v>
      </c>
      <c r="V2039" s="1">
        <v>44914</v>
      </c>
      <c r="W2039" t="s">
        <v>68</v>
      </c>
      <c r="X2039" t="s">
        <v>51</v>
      </c>
      <c r="Y2039" t="s">
        <v>43</v>
      </c>
      <c r="Z2039">
        <v>4</v>
      </c>
      <c r="AA2039">
        <v>289.37</v>
      </c>
      <c r="AB2039">
        <v>65</v>
      </c>
    </row>
    <row r="2040" spans="1:28" x14ac:dyDescent="0.2">
      <c r="A2040">
        <v>2562</v>
      </c>
      <c r="B2040" s="1">
        <v>44298</v>
      </c>
      <c r="C2040" t="s">
        <v>145</v>
      </c>
      <c r="D2040" t="s">
        <v>54</v>
      </c>
      <c r="E2040" t="s">
        <v>30</v>
      </c>
      <c r="F2040" t="s">
        <v>31</v>
      </c>
      <c r="G2040" t="s">
        <v>56</v>
      </c>
      <c r="H2040" t="s">
        <v>55</v>
      </c>
      <c r="I2040" t="s">
        <v>95</v>
      </c>
      <c r="J2040" t="s">
        <v>70</v>
      </c>
      <c r="K2040" s="2">
        <v>24794</v>
      </c>
      <c r="L2040" t="s">
        <v>36</v>
      </c>
      <c r="M2040" t="s">
        <v>48</v>
      </c>
      <c r="N2040" t="s">
        <v>60</v>
      </c>
      <c r="O2040" t="s">
        <v>67</v>
      </c>
      <c r="P2040" t="s">
        <v>40</v>
      </c>
      <c r="Q2040">
        <v>4</v>
      </c>
      <c r="R2040" s="2">
        <v>45033</v>
      </c>
      <c r="S2040">
        <v>1</v>
      </c>
      <c r="T2040">
        <v>4</v>
      </c>
      <c r="U2040">
        <v>3</v>
      </c>
      <c r="V2040" s="1">
        <v>45116</v>
      </c>
      <c r="W2040" t="s">
        <v>50</v>
      </c>
      <c r="X2040" t="s">
        <v>42</v>
      </c>
      <c r="Y2040" t="s">
        <v>43</v>
      </c>
      <c r="Z2040">
        <v>1</v>
      </c>
      <c r="AA2040">
        <v>657.23</v>
      </c>
      <c r="AB2040">
        <v>54</v>
      </c>
    </row>
    <row r="2041" spans="1:28" x14ac:dyDescent="0.2">
      <c r="A2041">
        <v>2563</v>
      </c>
      <c r="B2041" s="1">
        <v>44173</v>
      </c>
      <c r="C2041" t="s">
        <v>150</v>
      </c>
      <c r="D2041" t="s">
        <v>69</v>
      </c>
      <c r="E2041" t="s">
        <v>30</v>
      </c>
      <c r="F2041" t="s">
        <v>31</v>
      </c>
      <c r="G2041" t="s">
        <v>56</v>
      </c>
      <c r="H2041" t="s">
        <v>33</v>
      </c>
      <c r="I2041" t="s">
        <v>95</v>
      </c>
      <c r="J2041" t="s">
        <v>97</v>
      </c>
      <c r="K2041" s="2">
        <v>19680</v>
      </c>
      <c r="L2041" t="s">
        <v>36</v>
      </c>
      <c r="M2041" t="s">
        <v>48</v>
      </c>
      <c r="N2041" t="s">
        <v>60</v>
      </c>
      <c r="O2041" t="s">
        <v>39</v>
      </c>
      <c r="P2041" t="s">
        <v>40</v>
      </c>
      <c r="Q2041">
        <v>2</v>
      </c>
      <c r="R2041" s="2">
        <v>44828</v>
      </c>
      <c r="S2041">
        <v>2</v>
      </c>
      <c r="T2041">
        <v>2</v>
      </c>
      <c r="U2041">
        <v>4</v>
      </c>
      <c r="V2041" s="1">
        <v>45141</v>
      </c>
      <c r="W2041" t="s">
        <v>50</v>
      </c>
      <c r="X2041" t="s">
        <v>51</v>
      </c>
      <c r="Y2041" t="s">
        <v>73</v>
      </c>
      <c r="Z2041">
        <v>5</v>
      </c>
      <c r="AA2041">
        <v>416.37</v>
      </c>
      <c r="AB2041">
        <v>67</v>
      </c>
    </row>
    <row r="2042" spans="1:28" x14ac:dyDescent="0.2">
      <c r="A2042">
        <v>2564</v>
      </c>
      <c r="B2042" s="1">
        <v>43769</v>
      </c>
      <c r="C2042" t="s">
        <v>146</v>
      </c>
      <c r="D2042" t="s">
        <v>29</v>
      </c>
      <c r="E2042" t="s">
        <v>30</v>
      </c>
      <c r="F2042" t="s">
        <v>31</v>
      </c>
      <c r="G2042" t="s">
        <v>56</v>
      </c>
      <c r="H2042" t="s">
        <v>55</v>
      </c>
      <c r="I2042" t="s">
        <v>57</v>
      </c>
      <c r="J2042" t="s">
        <v>65</v>
      </c>
      <c r="K2042" s="2">
        <v>34891</v>
      </c>
      <c r="L2042" t="s">
        <v>36</v>
      </c>
      <c r="M2042" t="s">
        <v>48</v>
      </c>
      <c r="N2042" t="s">
        <v>49</v>
      </c>
      <c r="O2042" t="s">
        <v>67</v>
      </c>
      <c r="P2042" t="s">
        <v>40</v>
      </c>
      <c r="Q2042">
        <v>1</v>
      </c>
      <c r="R2042" s="2">
        <v>44906</v>
      </c>
      <c r="S2042">
        <v>1</v>
      </c>
      <c r="T2042">
        <v>4</v>
      </c>
      <c r="U2042">
        <v>4</v>
      </c>
      <c r="V2042" s="1">
        <v>45125</v>
      </c>
      <c r="W2042" t="s">
        <v>41</v>
      </c>
      <c r="X2042" t="s">
        <v>42</v>
      </c>
      <c r="Y2042" t="s">
        <v>63</v>
      </c>
      <c r="Z2042">
        <v>4</v>
      </c>
      <c r="AA2042">
        <v>624.9</v>
      </c>
      <c r="AB2042">
        <v>24</v>
      </c>
    </row>
    <row r="2043" spans="1:28" x14ac:dyDescent="0.2">
      <c r="A2043">
        <v>2565</v>
      </c>
      <c r="B2043" s="1">
        <v>43852</v>
      </c>
      <c r="C2043" t="s">
        <v>139</v>
      </c>
      <c r="D2043" t="s">
        <v>54</v>
      </c>
      <c r="E2043" t="s">
        <v>30</v>
      </c>
      <c r="F2043" t="s">
        <v>31</v>
      </c>
      <c r="G2043" t="s">
        <v>32</v>
      </c>
      <c r="H2043" t="s">
        <v>33</v>
      </c>
      <c r="I2043" t="s">
        <v>95</v>
      </c>
      <c r="J2043" t="s">
        <v>70</v>
      </c>
      <c r="K2043" s="2">
        <v>31365</v>
      </c>
      <c r="L2043" t="s">
        <v>36</v>
      </c>
      <c r="M2043" t="s">
        <v>37</v>
      </c>
      <c r="N2043" t="s">
        <v>38</v>
      </c>
      <c r="O2043" t="s">
        <v>67</v>
      </c>
      <c r="P2043" t="s">
        <v>40</v>
      </c>
      <c r="Q2043">
        <v>2</v>
      </c>
      <c r="R2043" s="2">
        <v>44790</v>
      </c>
      <c r="S2043">
        <v>2</v>
      </c>
      <c r="T2043">
        <v>5</v>
      </c>
      <c r="U2043">
        <v>4</v>
      </c>
      <c r="V2043" s="1">
        <v>44815</v>
      </c>
      <c r="W2043" t="s">
        <v>92</v>
      </c>
      <c r="X2043" t="s">
        <v>42</v>
      </c>
      <c r="Y2043" t="s">
        <v>73</v>
      </c>
      <c r="Z2043">
        <v>2</v>
      </c>
      <c r="AA2043">
        <v>559.05999999999995</v>
      </c>
      <c r="AB2043">
        <v>35</v>
      </c>
    </row>
    <row r="2044" spans="1:28" x14ac:dyDescent="0.2">
      <c r="A2044">
        <v>2566</v>
      </c>
      <c r="B2044" s="1">
        <v>44824</v>
      </c>
      <c r="C2044" t="s">
        <v>127</v>
      </c>
      <c r="D2044" t="s">
        <v>29</v>
      </c>
      <c r="E2044" t="s">
        <v>30</v>
      </c>
      <c r="F2044" t="s">
        <v>55</v>
      </c>
      <c r="G2044" t="s">
        <v>56</v>
      </c>
      <c r="H2044" t="s">
        <v>55</v>
      </c>
      <c r="I2044" t="s">
        <v>129</v>
      </c>
      <c r="J2044" t="s">
        <v>65</v>
      </c>
      <c r="K2044" s="2">
        <v>24380</v>
      </c>
      <c r="L2044" t="s">
        <v>36</v>
      </c>
      <c r="M2044" t="s">
        <v>48</v>
      </c>
      <c r="N2044" t="s">
        <v>60</v>
      </c>
      <c r="O2044" t="s">
        <v>67</v>
      </c>
      <c r="P2044" t="s">
        <v>40</v>
      </c>
      <c r="Q2044">
        <v>2</v>
      </c>
      <c r="R2044" s="2">
        <v>45065</v>
      </c>
      <c r="S2044">
        <v>3</v>
      </c>
      <c r="T2044">
        <v>2</v>
      </c>
      <c r="U2044">
        <v>2</v>
      </c>
      <c r="V2044" s="1">
        <v>45136</v>
      </c>
      <c r="W2044" t="s">
        <v>62</v>
      </c>
      <c r="X2044" t="s">
        <v>51</v>
      </c>
      <c r="Y2044" t="s">
        <v>52</v>
      </c>
      <c r="Z2044">
        <v>5</v>
      </c>
      <c r="AA2044">
        <v>327.37</v>
      </c>
      <c r="AB2044">
        <v>56</v>
      </c>
    </row>
    <row r="2045" spans="1:28" x14ac:dyDescent="0.2">
      <c r="A2045">
        <v>2567</v>
      </c>
      <c r="B2045" s="1">
        <v>44917</v>
      </c>
      <c r="C2045" t="s">
        <v>144</v>
      </c>
      <c r="D2045" t="s">
        <v>29</v>
      </c>
      <c r="E2045" t="s">
        <v>30</v>
      </c>
      <c r="F2045" t="s">
        <v>55</v>
      </c>
      <c r="G2045" t="s">
        <v>56</v>
      </c>
      <c r="H2045" t="s">
        <v>46</v>
      </c>
      <c r="I2045" t="s">
        <v>95</v>
      </c>
      <c r="J2045" t="s">
        <v>70</v>
      </c>
      <c r="K2045" s="2">
        <v>21838</v>
      </c>
      <c r="L2045" t="s">
        <v>36</v>
      </c>
      <c r="M2045" t="s">
        <v>48</v>
      </c>
      <c r="N2045" t="s">
        <v>72</v>
      </c>
      <c r="O2045" t="s">
        <v>39</v>
      </c>
      <c r="P2045" t="s">
        <v>40</v>
      </c>
      <c r="Q2045">
        <v>5</v>
      </c>
      <c r="R2045" s="2">
        <v>44790</v>
      </c>
      <c r="S2045">
        <v>4</v>
      </c>
      <c r="T2045">
        <v>3</v>
      </c>
      <c r="U2045">
        <v>5</v>
      </c>
      <c r="V2045" s="1">
        <v>44858</v>
      </c>
      <c r="W2045" t="s">
        <v>92</v>
      </c>
      <c r="X2045" t="s">
        <v>42</v>
      </c>
      <c r="Y2045" t="s">
        <v>43</v>
      </c>
      <c r="Z2045">
        <v>2</v>
      </c>
      <c r="AA2045">
        <v>660.4</v>
      </c>
      <c r="AB2045">
        <v>63</v>
      </c>
    </row>
    <row r="2046" spans="1:28" x14ac:dyDescent="0.2">
      <c r="A2046">
        <v>2568</v>
      </c>
      <c r="B2046" s="1">
        <v>43536</v>
      </c>
      <c r="C2046" t="s">
        <v>145</v>
      </c>
      <c r="D2046" t="s">
        <v>44</v>
      </c>
      <c r="E2046" t="s">
        <v>30</v>
      </c>
      <c r="F2046" t="s">
        <v>55</v>
      </c>
      <c r="G2046" t="s">
        <v>32</v>
      </c>
      <c r="H2046" t="s">
        <v>55</v>
      </c>
      <c r="I2046" t="s">
        <v>95</v>
      </c>
      <c r="J2046" t="s">
        <v>47</v>
      </c>
      <c r="K2046" s="2">
        <v>32990</v>
      </c>
      <c r="L2046" t="s">
        <v>36</v>
      </c>
      <c r="M2046" t="s">
        <v>48</v>
      </c>
      <c r="N2046" t="s">
        <v>84</v>
      </c>
      <c r="O2046" t="s">
        <v>39</v>
      </c>
      <c r="P2046" t="s">
        <v>40</v>
      </c>
      <c r="Q2046">
        <v>4</v>
      </c>
      <c r="R2046" s="2">
        <v>45099</v>
      </c>
      <c r="S2046">
        <v>3</v>
      </c>
      <c r="T2046">
        <v>5</v>
      </c>
      <c r="U2046">
        <v>2</v>
      </c>
      <c r="V2046" s="1">
        <v>44910</v>
      </c>
      <c r="W2046" t="s">
        <v>41</v>
      </c>
      <c r="X2046" t="s">
        <v>51</v>
      </c>
      <c r="Y2046" t="s">
        <v>73</v>
      </c>
      <c r="Z2046">
        <v>5</v>
      </c>
      <c r="AA2046">
        <v>477.46</v>
      </c>
      <c r="AB2046">
        <v>29</v>
      </c>
    </row>
    <row r="2047" spans="1:28" x14ac:dyDescent="0.2">
      <c r="A2047">
        <v>2569</v>
      </c>
      <c r="B2047" s="1">
        <v>44476</v>
      </c>
      <c r="C2047" t="s">
        <v>145</v>
      </c>
      <c r="D2047" t="s">
        <v>87</v>
      </c>
      <c r="E2047" t="s">
        <v>30</v>
      </c>
      <c r="F2047" t="s">
        <v>55</v>
      </c>
      <c r="G2047" t="s">
        <v>32</v>
      </c>
      <c r="H2047" t="s">
        <v>33</v>
      </c>
      <c r="I2047" t="s">
        <v>95</v>
      </c>
      <c r="J2047" t="s">
        <v>65</v>
      </c>
      <c r="K2047" s="2">
        <v>34786</v>
      </c>
      <c r="L2047" t="s">
        <v>36</v>
      </c>
      <c r="M2047" t="s">
        <v>48</v>
      </c>
      <c r="N2047" t="s">
        <v>72</v>
      </c>
      <c r="O2047" t="s">
        <v>61</v>
      </c>
      <c r="P2047" t="s">
        <v>40</v>
      </c>
      <c r="Q2047">
        <v>2</v>
      </c>
      <c r="R2047" s="2">
        <v>45074</v>
      </c>
      <c r="S2047">
        <v>3</v>
      </c>
      <c r="T2047">
        <v>4</v>
      </c>
      <c r="U2047">
        <v>3</v>
      </c>
      <c r="V2047" s="1">
        <v>44941</v>
      </c>
      <c r="W2047" t="s">
        <v>62</v>
      </c>
      <c r="X2047" t="s">
        <v>42</v>
      </c>
      <c r="Y2047" t="s">
        <v>63</v>
      </c>
      <c r="Z2047">
        <v>2</v>
      </c>
      <c r="AA2047">
        <v>694.21</v>
      </c>
      <c r="AB2047">
        <v>26</v>
      </c>
    </row>
    <row r="2048" spans="1:28" x14ac:dyDescent="0.2">
      <c r="A2048">
        <v>2570</v>
      </c>
      <c r="B2048" s="1">
        <v>43632</v>
      </c>
      <c r="C2048" t="s">
        <v>150</v>
      </c>
      <c r="D2048" t="s">
        <v>81</v>
      </c>
      <c r="E2048" t="s">
        <v>30</v>
      </c>
      <c r="F2048" t="s">
        <v>31</v>
      </c>
      <c r="G2048" t="s">
        <v>45</v>
      </c>
      <c r="H2048" t="s">
        <v>55</v>
      </c>
      <c r="I2048" t="s">
        <v>95</v>
      </c>
      <c r="J2048" t="s">
        <v>70</v>
      </c>
      <c r="K2048" s="2">
        <v>33560</v>
      </c>
      <c r="L2048" t="s">
        <v>36</v>
      </c>
      <c r="M2048" t="s">
        <v>48</v>
      </c>
      <c r="N2048" t="s">
        <v>72</v>
      </c>
      <c r="O2048" t="s">
        <v>61</v>
      </c>
      <c r="P2048" t="s">
        <v>40</v>
      </c>
      <c r="Q2048">
        <v>4</v>
      </c>
      <c r="R2048" s="2">
        <v>45031</v>
      </c>
      <c r="S2048">
        <v>3</v>
      </c>
      <c r="T2048">
        <v>3</v>
      </c>
      <c r="U2048">
        <v>1</v>
      </c>
      <c r="V2048" s="1">
        <v>45069</v>
      </c>
      <c r="W2048" t="s">
        <v>50</v>
      </c>
      <c r="X2048" t="s">
        <v>42</v>
      </c>
      <c r="Y2048" t="s">
        <v>52</v>
      </c>
      <c r="Z2048">
        <v>2</v>
      </c>
      <c r="AA2048">
        <v>737.84</v>
      </c>
      <c r="AB2048">
        <v>28</v>
      </c>
    </row>
    <row r="2049" spans="1:28" x14ac:dyDescent="0.2">
      <c r="A2049">
        <v>2571</v>
      </c>
      <c r="B2049" s="1">
        <v>44272</v>
      </c>
      <c r="C2049" t="s">
        <v>125</v>
      </c>
      <c r="D2049" t="s">
        <v>85</v>
      </c>
      <c r="E2049" t="s">
        <v>30</v>
      </c>
      <c r="F2049" t="s">
        <v>46</v>
      </c>
      <c r="G2049" t="s">
        <v>45</v>
      </c>
      <c r="H2049" t="s">
        <v>55</v>
      </c>
      <c r="I2049" t="s">
        <v>95</v>
      </c>
      <c r="J2049" t="s">
        <v>70</v>
      </c>
      <c r="K2049" s="2">
        <v>32550</v>
      </c>
      <c r="L2049" t="s">
        <v>36</v>
      </c>
      <c r="M2049" t="s">
        <v>37</v>
      </c>
      <c r="N2049" t="s">
        <v>84</v>
      </c>
      <c r="O2049" t="s">
        <v>77</v>
      </c>
      <c r="P2049" t="s">
        <v>40</v>
      </c>
      <c r="Q2049">
        <v>2</v>
      </c>
      <c r="R2049" s="2">
        <v>45096</v>
      </c>
      <c r="S2049">
        <v>3</v>
      </c>
      <c r="T2049">
        <v>3</v>
      </c>
      <c r="U2049">
        <v>5</v>
      </c>
      <c r="V2049" s="1">
        <v>44788</v>
      </c>
      <c r="W2049" t="s">
        <v>68</v>
      </c>
      <c r="X2049" t="s">
        <v>42</v>
      </c>
      <c r="Y2049" t="s">
        <v>43</v>
      </c>
      <c r="Z2049">
        <v>2</v>
      </c>
      <c r="AA2049">
        <v>919.95</v>
      </c>
      <c r="AB2049">
        <v>32</v>
      </c>
    </row>
    <row r="2050" spans="1:28" x14ac:dyDescent="0.2">
      <c r="A2050">
        <v>2572</v>
      </c>
      <c r="B2050" s="1">
        <v>44780</v>
      </c>
      <c r="C2050" t="s">
        <v>139</v>
      </c>
      <c r="D2050" t="s">
        <v>94</v>
      </c>
      <c r="E2050" t="s">
        <v>30</v>
      </c>
      <c r="F2050" t="s">
        <v>31</v>
      </c>
      <c r="G2050" t="s">
        <v>45</v>
      </c>
      <c r="H2050" t="s">
        <v>33</v>
      </c>
      <c r="I2050" t="s">
        <v>95</v>
      </c>
      <c r="J2050" t="s">
        <v>79</v>
      </c>
      <c r="K2050" s="2">
        <v>34474</v>
      </c>
      <c r="L2050" t="s">
        <v>36</v>
      </c>
      <c r="M2050" t="s">
        <v>48</v>
      </c>
      <c r="N2050" t="s">
        <v>84</v>
      </c>
      <c r="O2050" t="s">
        <v>39</v>
      </c>
      <c r="P2050" t="s">
        <v>40</v>
      </c>
      <c r="Q2050">
        <v>4</v>
      </c>
      <c r="R2050" s="2">
        <v>44853</v>
      </c>
      <c r="S2050">
        <v>1</v>
      </c>
      <c r="T2050">
        <v>1</v>
      </c>
      <c r="U2050">
        <v>2</v>
      </c>
      <c r="V2050" s="1">
        <v>44806</v>
      </c>
      <c r="W2050" t="s">
        <v>68</v>
      </c>
      <c r="X2050" t="s">
        <v>42</v>
      </c>
      <c r="Y2050" t="s">
        <v>63</v>
      </c>
      <c r="Z2050">
        <v>5</v>
      </c>
      <c r="AA2050">
        <v>797.82</v>
      </c>
      <c r="AB2050">
        <v>28</v>
      </c>
    </row>
    <row r="2051" spans="1:28" x14ac:dyDescent="0.2">
      <c r="A2051">
        <v>2573</v>
      </c>
      <c r="B2051" s="1">
        <v>43847</v>
      </c>
      <c r="C2051" t="s">
        <v>53</v>
      </c>
      <c r="D2051" t="s">
        <v>81</v>
      </c>
      <c r="E2051" t="s">
        <v>108</v>
      </c>
      <c r="F2051" t="s">
        <v>31</v>
      </c>
      <c r="G2051" t="s">
        <v>45</v>
      </c>
      <c r="H2051" t="s">
        <v>33</v>
      </c>
      <c r="I2051" t="s">
        <v>57</v>
      </c>
      <c r="J2051" t="s">
        <v>70</v>
      </c>
      <c r="K2051" s="2">
        <v>31779</v>
      </c>
      <c r="L2051" t="s">
        <v>151</v>
      </c>
      <c r="M2051" t="s">
        <v>37</v>
      </c>
      <c r="N2051" t="s">
        <v>72</v>
      </c>
      <c r="O2051" t="s">
        <v>77</v>
      </c>
      <c r="P2051" t="s">
        <v>40</v>
      </c>
      <c r="Q2051">
        <v>4</v>
      </c>
      <c r="R2051" s="2">
        <v>45040</v>
      </c>
      <c r="S2051">
        <v>1</v>
      </c>
      <c r="T2051">
        <v>4</v>
      </c>
      <c r="U2051">
        <v>3</v>
      </c>
      <c r="V2051" s="1">
        <v>44831</v>
      </c>
      <c r="W2051" t="s">
        <v>50</v>
      </c>
      <c r="X2051" t="s">
        <v>42</v>
      </c>
      <c r="Y2051" t="s">
        <v>73</v>
      </c>
      <c r="Z2051">
        <v>2</v>
      </c>
      <c r="AA2051">
        <v>806.47</v>
      </c>
      <c r="AB2051">
        <v>33</v>
      </c>
    </row>
    <row r="2052" spans="1:28" x14ac:dyDescent="0.2">
      <c r="A2052">
        <v>2574</v>
      </c>
      <c r="B2052" s="1">
        <v>44723</v>
      </c>
      <c r="C2052" t="s">
        <v>53</v>
      </c>
      <c r="D2052" t="s">
        <v>44</v>
      </c>
      <c r="E2052" t="s">
        <v>30</v>
      </c>
      <c r="F2052" t="s">
        <v>55</v>
      </c>
      <c r="G2052" t="s">
        <v>32</v>
      </c>
      <c r="H2052" t="s">
        <v>55</v>
      </c>
      <c r="I2052" t="s">
        <v>57</v>
      </c>
      <c r="J2052" t="s">
        <v>109</v>
      </c>
      <c r="K2052" s="2">
        <v>26255</v>
      </c>
      <c r="L2052" t="s">
        <v>152</v>
      </c>
      <c r="M2052" t="s">
        <v>48</v>
      </c>
      <c r="N2052" t="s">
        <v>49</v>
      </c>
      <c r="O2052" t="s">
        <v>39</v>
      </c>
      <c r="P2052" t="s">
        <v>40</v>
      </c>
      <c r="Q2052">
        <v>2</v>
      </c>
      <c r="R2052" s="2">
        <v>45005</v>
      </c>
      <c r="S2052">
        <v>3</v>
      </c>
      <c r="T2052">
        <v>1</v>
      </c>
      <c r="U2052">
        <v>4</v>
      </c>
      <c r="V2052" s="1">
        <v>45125</v>
      </c>
      <c r="W2052" t="s">
        <v>68</v>
      </c>
      <c r="X2052" t="s">
        <v>51</v>
      </c>
      <c r="Y2052" t="s">
        <v>43</v>
      </c>
      <c r="Z2052">
        <v>1</v>
      </c>
      <c r="AA2052">
        <v>376.59</v>
      </c>
      <c r="AB2052">
        <v>51</v>
      </c>
    </row>
    <row r="2053" spans="1:28" x14ac:dyDescent="0.2">
      <c r="A2053">
        <v>2575</v>
      </c>
      <c r="B2053" s="1">
        <v>44258</v>
      </c>
      <c r="C2053" t="s">
        <v>53</v>
      </c>
      <c r="D2053" t="s">
        <v>94</v>
      </c>
      <c r="E2053" t="s">
        <v>30</v>
      </c>
      <c r="F2053" t="s">
        <v>31</v>
      </c>
      <c r="G2053" t="s">
        <v>32</v>
      </c>
      <c r="H2053" t="s">
        <v>33</v>
      </c>
      <c r="I2053" t="s">
        <v>57</v>
      </c>
      <c r="J2053" t="s">
        <v>89</v>
      </c>
      <c r="K2053" s="2">
        <v>18800</v>
      </c>
      <c r="L2053" t="s">
        <v>153</v>
      </c>
      <c r="M2053" t="s">
        <v>48</v>
      </c>
      <c r="N2053" t="s">
        <v>60</v>
      </c>
      <c r="O2053" t="s">
        <v>39</v>
      </c>
      <c r="P2053" t="s">
        <v>40</v>
      </c>
      <c r="Q2053">
        <v>4</v>
      </c>
      <c r="R2053" s="2">
        <v>45072</v>
      </c>
      <c r="S2053">
        <v>4</v>
      </c>
      <c r="T2053">
        <v>3</v>
      </c>
      <c r="U2053">
        <v>4</v>
      </c>
      <c r="V2053" s="1">
        <v>44983</v>
      </c>
      <c r="W2053" t="s">
        <v>92</v>
      </c>
      <c r="X2053" t="s">
        <v>42</v>
      </c>
      <c r="Y2053" t="s">
        <v>52</v>
      </c>
      <c r="Z2053">
        <v>2</v>
      </c>
      <c r="AA2053">
        <v>157.16999999999999</v>
      </c>
      <c r="AB2053">
        <v>70</v>
      </c>
    </row>
    <row r="2054" spans="1:28" x14ac:dyDescent="0.2">
      <c r="A2054">
        <v>2576</v>
      </c>
      <c r="B2054" s="1">
        <v>43937</v>
      </c>
      <c r="C2054" t="s">
        <v>53</v>
      </c>
      <c r="D2054" t="s">
        <v>29</v>
      </c>
      <c r="E2054" t="s">
        <v>30</v>
      </c>
      <c r="F2054" t="s">
        <v>31</v>
      </c>
      <c r="G2054" t="s">
        <v>56</v>
      </c>
      <c r="H2054" t="s">
        <v>46</v>
      </c>
      <c r="I2054" t="s">
        <v>57</v>
      </c>
      <c r="J2054" t="s">
        <v>58</v>
      </c>
      <c r="K2054" s="2">
        <v>25564</v>
      </c>
      <c r="L2054" t="s">
        <v>154</v>
      </c>
      <c r="M2054" t="s">
        <v>37</v>
      </c>
      <c r="N2054" t="s">
        <v>84</v>
      </c>
      <c r="O2054" t="s">
        <v>39</v>
      </c>
      <c r="P2054" t="s">
        <v>40</v>
      </c>
      <c r="Q2054">
        <v>1</v>
      </c>
      <c r="R2054" s="2">
        <v>44884</v>
      </c>
      <c r="S2054">
        <v>2</v>
      </c>
      <c r="T2054">
        <v>4</v>
      </c>
      <c r="U2054">
        <v>1</v>
      </c>
      <c r="V2054" s="1">
        <v>44980</v>
      </c>
      <c r="W2054" t="s">
        <v>41</v>
      </c>
      <c r="X2054" t="s">
        <v>51</v>
      </c>
      <c r="Y2054" t="s">
        <v>52</v>
      </c>
      <c r="Z2054">
        <v>2</v>
      </c>
      <c r="AA2054">
        <v>608.82000000000005</v>
      </c>
      <c r="AB2054">
        <v>51</v>
      </c>
    </row>
    <row r="2055" spans="1:28" x14ac:dyDescent="0.2">
      <c r="A2055">
        <v>2577</v>
      </c>
      <c r="B2055" s="1">
        <v>44826</v>
      </c>
      <c r="C2055" t="s">
        <v>53</v>
      </c>
      <c r="D2055" t="s">
        <v>94</v>
      </c>
      <c r="E2055" t="s">
        <v>30</v>
      </c>
      <c r="F2055" t="s">
        <v>55</v>
      </c>
      <c r="G2055" t="s">
        <v>45</v>
      </c>
      <c r="H2055" t="s">
        <v>33</v>
      </c>
      <c r="I2055" t="s">
        <v>57</v>
      </c>
      <c r="J2055" t="s">
        <v>101</v>
      </c>
      <c r="K2055" s="2">
        <v>23220</v>
      </c>
      <c r="L2055" t="s">
        <v>155</v>
      </c>
      <c r="M2055" t="s">
        <v>37</v>
      </c>
      <c r="N2055" t="s">
        <v>60</v>
      </c>
      <c r="O2055" t="s">
        <v>67</v>
      </c>
      <c r="P2055" t="s">
        <v>40</v>
      </c>
      <c r="Q2055">
        <v>2</v>
      </c>
      <c r="R2055" s="2">
        <v>44822</v>
      </c>
      <c r="S2055">
        <v>5</v>
      </c>
      <c r="T2055">
        <v>2</v>
      </c>
      <c r="U2055">
        <v>4</v>
      </c>
      <c r="V2055" s="1">
        <v>45111</v>
      </c>
      <c r="W2055" t="s">
        <v>92</v>
      </c>
      <c r="X2055" t="s">
        <v>42</v>
      </c>
      <c r="Y2055" t="s">
        <v>43</v>
      </c>
      <c r="Z2055">
        <v>5</v>
      </c>
      <c r="AA2055">
        <v>928.48</v>
      </c>
      <c r="AB2055">
        <v>59</v>
      </c>
    </row>
    <row r="2056" spans="1:28" x14ac:dyDescent="0.2">
      <c r="A2056">
        <v>2578</v>
      </c>
      <c r="B2056" s="1">
        <v>45076</v>
      </c>
      <c r="C2056" t="s">
        <v>53</v>
      </c>
      <c r="D2056" t="s">
        <v>87</v>
      </c>
      <c r="E2056" t="s">
        <v>30</v>
      </c>
      <c r="F2056" t="s">
        <v>46</v>
      </c>
      <c r="G2056" t="s">
        <v>45</v>
      </c>
      <c r="H2056" t="s">
        <v>55</v>
      </c>
      <c r="I2056" t="s">
        <v>57</v>
      </c>
      <c r="J2056" t="s">
        <v>100</v>
      </c>
      <c r="K2056" s="2">
        <v>35092</v>
      </c>
      <c r="L2056" t="s">
        <v>141</v>
      </c>
      <c r="M2056" t="s">
        <v>37</v>
      </c>
      <c r="N2056" t="s">
        <v>72</v>
      </c>
      <c r="O2056" t="s">
        <v>61</v>
      </c>
      <c r="P2056" t="s">
        <v>40</v>
      </c>
      <c r="Q2056">
        <v>5</v>
      </c>
      <c r="R2056" s="2">
        <v>45094</v>
      </c>
      <c r="S2056">
        <v>4</v>
      </c>
      <c r="T2056">
        <v>5</v>
      </c>
      <c r="U2056">
        <v>3</v>
      </c>
      <c r="V2056" s="1">
        <v>44844</v>
      </c>
      <c r="W2056" t="s">
        <v>50</v>
      </c>
      <c r="X2056" t="s">
        <v>51</v>
      </c>
      <c r="Y2056" t="s">
        <v>52</v>
      </c>
      <c r="Z2056">
        <v>1</v>
      </c>
      <c r="AA2056">
        <v>812.01</v>
      </c>
      <c r="AB2056">
        <v>27</v>
      </c>
    </row>
    <row r="2057" spans="1:28" x14ac:dyDescent="0.2">
      <c r="A2057">
        <v>2579</v>
      </c>
      <c r="B2057" s="1">
        <v>44210</v>
      </c>
      <c r="C2057" t="s">
        <v>53</v>
      </c>
      <c r="D2057" t="s">
        <v>87</v>
      </c>
      <c r="E2057" t="s">
        <v>30</v>
      </c>
      <c r="F2057" t="s">
        <v>55</v>
      </c>
      <c r="G2057" t="s">
        <v>32</v>
      </c>
      <c r="H2057" t="s">
        <v>55</v>
      </c>
      <c r="I2057" t="s">
        <v>57</v>
      </c>
      <c r="J2057" t="s">
        <v>75</v>
      </c>
      <c r="K2057" s="2">
        <v>28305</v>
      </c>
      <c r="L2057" t="s">
        <v>156</v>
      </c>
      <c r="M2057" t="s">
        <v>37</v>
      </c>
      <c r="N2057" t="s">
        <v>38</v>
      </c>
      <c r="O2057" t="s">
        <v>67</v>
      </c>
      <c r="P2057" t="s">
        <v>40</v>
      </c>
      <c r="Q2057">
        <v>2</v>
      </c>
      <c r="R2057" s="2">
        <v>45143</v>
      </c>
      <c r="S2057">
        <v>3</v>
      </c>
      <c r="T2057">
        <v>4</v>
      </c>
      <c r="U2057">
        <v>4</v>
      </c>
      <c r="V2057" s="1">
        <v>44836</v>
      </c>
      <c r="W2057" t="s">
        <v>62</v>
      </c>
      <c r="X2057" t="s">
        <v>51</v>
      </c>
      <c r="Y2057" t="s">
        <v>52</v>
      </c>
      <c r="Z2057">
        <v>4</v>
      </c>
      <c r="AA2057">
        <v>941.61</v>
      </c>
      <c r="AB2057">
        <v>44</v>
      </c>
    </row>
    <row r="2058" spans="1:28" x14ac:dyDescent="0.2">
      <c r="A2058">
        <v>2580</v>
      </c>
      <c r="B2058" s="1">
        <v>43950</v>
      </c>
      <c r="C2058" t="s">
        <v>53</v>
      </c>
      <c r="D2058" t="s">
        <v>69</v>
      </c>
      <c r="E2058" t="s">
        <v>30</v>
      </c>
      <c r="F2058" t="s">
        <v>55</v>
      </c>
      <c r="G2058" t="s">
        <v>45</v>
      </c>
      <c r="H2058" t="s">
        <v>46</v>
      </c>
      <c r="I2058" t="s">
        <v>57</v>
      </c>
      <c r="J2058" t="s">
        <v>35</v>
      </c>
      <c r="K2058" s="2">
        <v>19821</v>
      </c>
      <c r="L2058" t="s">
        <v>157</v>
      </c>
      <c r="M2058" t="s">
        <v>48</v>
      </c>
      <c r="N2058" t="s">
        <v>38</v>
      </c>
      <c r="O2058" t="s">
        <v>61</v>
      </c>
      <c r="P2058" t="s">
        <v>40</v>
      </c>
      <c r="Q2058">
        <v>2</v>
      </c>
      <c r="R2058" s="2">
        <v>44862</v>
      </c>
      <c r="S2058">
        <v>1</v>
      </c>
      <c r="T2058">
        <v>2</v>
      </c>
      <c r="U2058">
        <v>4</v>
      </c>
      <c r="V2058" s="1">
        <v>44992</v>
      </c>
      <c r="W2058" t="s">
        <v>92</v>
      </c>
      <c r="X2058" t="s">
        <v>42</v>
      </c>
      <c r="Y2058" t="s">
        <v>52</v>
      </c>
      <c r="Z2058">
        <v>1</v>
      </c>
      <c r="AA2058">
        <v>227.13</v>
      </c>
      <c r="AB2058">
        <v>66</v>
      </c>
    </row>
    <row r="2059" spans="1:28" x14ac:dyDescent="0.2">
      <c r="A2059">
        <v>2581</v>
      </c>
      <c r="B2059" s="1">
        <v>44384</v>
      </c>
      <c r="C2059" t="s">
        <v>53</v>
      </c>
      <c r="D2059" t="s">
        <v>87</v>
      </c>
      <c r="E2059" t="s">
        <v>30</v>
      </c>
      <c r="F2059" t="s">
        <v>55</v>
      </c>
      <c r="G2059" t="s">
        <v>45</v>
      </c>
      <c r="H2059" t="s">
        <v>55</v>
      </c>
      <c r="I2059" t="s">
        <v>57</v>
      </c>
      <c r="J2059" t="s">
        <v>70</v>
      </c>
      <c r="K2059" s="2">
        <v>25884</v>
      </c>
      <c r="L2059" t="s">
        <v>158</v>
      </c>
      <c r="M2059" t="s">
        <v>48</v>
      </c>
      <c r="N2059" t="s">
        <v>60</v>
      </c>
      <c r="O2059" t="s">
        <v>77</v>
      </c>
      <c r="P2059" t="s">
        <v>40</v>
      </c>
      <c r="Q2059">
        <v>1</v>
      </c>
      <c r="R2059" s="2">
        <v>44977</v>
      </c>
      <c r="S2059">
        <v>2</v>
      </c>
      <c r="T2059">
        <v>3</v>
      </c>
      <c r="U2059">
        <v>4</v>
      </c>
      <c r="V2059" s="1">
        <v>45059</v>
      </c>
      <c r="W2059" t="s">
        <v>62</v>
      </c>
      <c r="X2059" t="s">
        <v>51</v>
      </c>
      <c r="Y2059" t="s">
        <v>73</v>
      </c>
      <c r="Z2059">
        <v>1</v>
      </c>
      <c r="AA2059">
        <v>257.39999999999998</v>
      </c>
      <c r="AB2059">
        <v>51</v>
      </c>
    </row>
    <row r="2060" spans="1:28" x14ac:dyDescent="0.2">
      <c r="A2060">
        <v>2582</v>
      </c>
      <c r="B2060" s="1">
        <v>44040</v>
      </c>
      <c r="C2060" t="s">
        <v>53</v>
      </c>
      <c r="D2060" t="s">
        <v>87</v>
      </c>
      <c r="E2060" t="s">
        <v>30</v>
      </c>
      <c r="F2060" t="s">
        <v>46</v>
      </c>
      <c r="G2060" t="s">
        <v>32</v>
      </c>
      <c r="H2060" t="s">
        <v>33</v>
      </c>
      <c r="I2060" t="s">
        <v>57</v>
      </c>
      <c r="J2060" t="s">
        <v>101</v>
      </c>
      <c r="K2060" s="2">
        <v>33847</v>
      </c>
      <c r="L2060" t="s">
        <v>159</v>
      </c>
      <c r="M2060" t="s">
        <v>37</v>
      </c>
      <c r="N2060" t="s">
        <v>49</v>
      </c>
      <c r="O2060" t="s">
        <v>61</v>
      </c>
      <c r="P2060" t="s">
        <v>40</v>
      </c>
      <c r="Q2060">
        <v>1</v>
      </c>
      <c r="R2060" s="2">
        <v>44824</v>
      </c>
      <c r="S2060">
        <v>3</v>
      </c>
      <c r="T2060">
        <v>2</v>
      </c>
      <c r="U2060">
        <v>5</v>
      </c>
      <c r="V2060" s="1">
        <v>45002</v>
      </c>
      <c r="W2060" t="s">
        <v>41</v>
      </c>
      <c r="X2060" t="s">
        <v>42</v>
      </c>
      <c r="Y2060" t="s">
        <v>52</v>
      </c>
      <c r="Z2060">
        <v>2</v>
      </c>
      <c r="AA2060">
        <v>360.65</v>
      </c>
      <c r="AB2060">
        <v>28</v>
      </c>
    </row>
    <row r="2061" spans="1:28" x14ac:dyDescent="0.2">
      <c r="A2061">
        <v>2583</v>
      </c>
      <c r="B2061" s="1">
        <v>44090</v>
      </c>
      <c r="C2061" t="s">
        <v>53</v>
      </c>
      <c r="D2061" t="s">
        <v>94</v>
      </c>
      <c r="E2061" t="s">
        <v>30</v>
      </c>
      <c r="F2061" t="s">
        <v>31</v>
      </c>
      <c r="G2061" t="s">
        <v>56</v>
      </c>
      <c r="H2061" t="s">
        <v>33</v>
      </c>
      <c r="I2061" t="s">
        <v>57</v>
      </c>
      <c r="J2061" t="s">
        <v>79</v>
      </c>
      <c r="K2061" s="2">
        <v>35124</v>
      </c>
      <c r="L2061" t="s">
        <v>160</v>
      </c>
      <c r="M2061" t="s">
        <v>48</v>
      </c>
      <c r="N2061" t="s">
        <v>72</v>
      </c>
      <c r="O2061" t="s">
        <v>67</v>
      </c>
      <c r="P2061" t="s">
        <v>40</v>
      </c>
      <c r="Q2061">
        <v>5</v>
      </c>
      <c r="R2061" s="2">
        <v>45066</v>
      </c>
      <c r="S2061">
        <v>5</v>
      </c>
      <c r="T2061">
        <v>5</v>
      </c>
      <c r="U2061">
        <v>3</v>
      </c>
      <c r="V2061" s="1">
        <v>45071</v>
      </c>
      <c r="W2061" t="s">
        <v>50</v>
      </c>
      <c r="X2061" t="s">
        <v>51</v>
      </c>
      <c r="Y2061" t="s">
        <v>63</v>
      </c>
      <c r="Z2061">
        <v>5</v>
      </c>
      <c r="AA2061">
        <v>892.97</v>
      </c>
      <c r="AB2061">
        <v>24</v>
      </c>
    </row>
    <row r="2062" spans="1:28" x14ac:dyDescent="0.2">
      <c r="A2062">
        <v>2584</v>
      </c>
      <c r="B2062" s="1">
        <v>45039</v>
      </c>
      <c r="C2062" t="s">
        <v>53</v>
      </c>
      <c r="D2062" t="s">
        <v>64</v>
      </c>
      <c r="E2062" t="s">
        <v>30</v>
      </c>
      <c r="F2062" t="s">
        <v>46</v>
      </c>
      <c r="G2062" t="s">
        <v>32</v>
      </c>
      <c r="H2062" t="s">
        <v>46</v>
      </c>
      <c r="I2062" t="s">
        <v>57</v>
      </c>
      <c r="J2062" t="s">
        <v>79</v>
      </c>
      <c r="K2062" s="2">
        <v>20725</v>
      </c>
      <c r="L2062" t="s">
        <v>161</v>
      </c>
      <c r="M2062" t="s">
        <v>48</v>
      </c>
      <c r="N2062" t="s">
        <v>38</v>
      </c>
      <c r="O2062" t="s">
        <v>61</v>
      </c>
      <c r="P2062" t="s">
        <v>40</v>
      </c>
      <c r="Q2062">
        <v>4</v>
      </c>
      <c r="R2062" s="2">
        <v>45127</v>
      </c>
      <c r="S2062">
        <v>4</v>
      </c>
      <c r="T2062">
        <v>4</v>
      </c>
      <c r="U2062">
        <v>5</v>
      </c>
      <c r="V2062" s="1">
        <v>45001</v>
      </c>
      <c r="W2062" t="s">
        <v>68</v>
      </c>
      <c r="X2062" t="s">
        <v>42</v>
      </c>
      <c r="Y2062" t="s">
        <v>52</v>
      </c>
      <c r="Z2062">
        <v>4</v>
      </c>
      <c r="AA2062">
        <v>746.93</v>
      </c>
      <c r="AB2062">
        <v>67</v>
      </c>
    </row>
    <row r="2063" spans="1:28" x14ac:dyDescent="0.2">
      <c r="A2063">
        <v>2585</v>
      </c>
      <c r="B2063" s="1">
        <v>44351</v>
      </c>
      <c r="C2063" t="s">
        <v>53</v>
      </c>
      <c r="D2063" t="s">
        <v>94</v>
      </c>
      <c r="E2063" t="s">
        <v>30</v>
      </c>
      <c r="F2063" t="s">
        <v>31</v>
      </c>
      <c r="G2063" t="s">
        <v>45</v>
      </c>
      <c r="H2063" t="s">
        <v>33</v>
      </c>
      <c r="I2063" t="s">
        <v>57</v>
      </c>
      <c r="J2063" t="s">
        <v>65</v>
      </c>
      <c r="K2063" s="2">
        <v>37032</v>
      </c>
      <c r="L2063" t="s">
        <v>162</v>
      </c>
      <c r="M2063" t="s">
        <v>48</v>
      </c>
      <c r="N2063" t="s">
        <v>84</v>
      </c>
      <c r="O2063" t="s">
        <v>77</v>
      </c>
      <c r="P2063" t="s">
        <v>40</v>
      </c>
      <c r="Q2063">
        <v>2</v>
      </c>
      <c r="R2063" s="2">
        <v>45049</v>
      </c>
      <c r="S2063">
        <v>5</v>
      </c>
      <c r="T2063">
        <v>1</v>
      </c>
      <c r="U2063">
        <v>4</v>
      </c>
      <c r="V2063" s="1">
        <v>44975</v>
      </c>
      <c r="W2063" t="s">
        <v>50</v>
      </c>
      <c r="X2063" t="s">
        <v>51</v>
      </c>
      <c r="Y2063" t="s">
        <v>52</v>
      </c>
      <c r="Z2063">
        <v>1</v>
      </c>
      <c r="AA2063">
        <v>909.6</v>
      </c>
      <c r="AB2063">
        <v>20</v>
      </c>
    </row>
    <row r="2064" spans="1:28" x14ac:dyDescent="0.2">
      <c r="A2064">
        <v>2586</v>
      </c>
      <c r="B2064" s="1">
        <v>43936</v>
      </c>
      <c r="C2064" t="s">
        <v>53</v>
      </c>
      <c r="D2064" t="s">
        <v>29</v>
      </c>
      <c r="E2064" t="s">
        <v>30</v>
      </c>
      <c r="F2064" t="s">
        <v>55</v>
      </c>
      <c r="G2064" t="s">
        <v>56</v>
      </c>
      <c r="H2064" t="s">
        <v>33</v>
      </c>
      <c r="I2064" t="s">
        <v>57</v>
      </c>
      <c r="J2064" t="s">
        <v>70</v>
      </c>
      <c r="K2064" s="2">
        <v>29336</v>
      </c>
      <c r="L2064" t="s">
        <v>163</v>
      </c>
      <c r="M2064" t="s">
        <v>48</v>
      </c>
      <c r="N2064" t="s">
        <v>84</v>
      </c>
      <c r="O2064" t="s">
        <v>77</v>
      </c>
      <c r="P2064" t="s">
        <v>40</v>
      </c>
      <c r="Q2064">
        <v>4</v>
      </c>
      <c r="R2064" s="2">
        <v>44869</v>
      </c>
      <c r="S2064">
        <v>2</v>
      </c>
      <c r="T2064">
        <v>4</v>
      </c>
      <c r="U2064">
        <v>2</v>
      </c>
      <c r="V2064" s="1">
        <v>44778</v>
      </c>
      <c r="W2064" t="s">
        <v>50</v>
      </c>
      <c r="X2064" t="s">
        <v>42</v>
      </c>
      <c r="Y2064" t="s">
        <v>63</v>
      </c>
      <c r="Z2064">
        <v>5</v>
      </c>
      <c r="AA2064">
        <v>222.04</v>
      </c>
      <c r="AB2064">
        <v>40</v>
      </c>
    </row>
    <row r="2065" spans="1:28" x14ac:dyDescent="0.2">
      <c r="A2065">
        <v>2587</v>
      </c>
      <c r="B2065" s="1">
        <v>43712</v>
      </c>
      <c r="C2065" t="s">
        <v>53</v>
      </c>
      <c r="D2065" t="s">
        <v>81</v>
      </c>
      <c r="E2065" t="s">
        <v>30</v>
      </c>
      <c r="F2065" t="s">
        <v>55</v>
      </c>
      <c r="G2065" t="s">
        <v>45</v>
      </c>
      <c r="H2065" t="s">
        <v>46</v>
      </c>
      <c r="I2065" t="s">
        <v>57</v>
      </c>
      <c r="J2065" t="s">
        <v>70</v>
      </c>
      <c r="K2065" s="2">
        <v>36738</v>
      </c>
      <c r="L2065" t="s">
        <v>36</v>
      </c>
      <c r="M2065" t="s">
        <v>48</v>
      </c>
      <c r="N2065" t="s">
        <v>60</v>
      </c>
      <c r="O2065" t="s">
        <v>39</v>
      </c>
      <c r="P2065" t="s">
        <v>40</v>
      </c>
      <c r="Q2065">
        <v>5</v>
      </c>
      <c r="R2065" s="2">
        <v>44889</v>
      </c>
      <c r="S2065">
        <v>4</v>
      </c>
      <c r="T2065">
        <v>4</v>
      </c>
      <c r="U2065">
        <v>4</v>
      </c>
      <c r="V2065" s="1">
        <v>44953</v>
      </c>
      <c r="W2065" t="s">
        <v>62</v>
      </c>
      <c r="X2065" t="s">
        <v>42</v>
      </c>
      <c r="Y2065" t="s">
        <v>43</v>
      </c>
      <c r="Z2065">
        <v>3</v>
      </c>
      <c r="AA2065">
        <v>583.69000000000005</v>
      </c>
      <c r="AB2065">
        <v>19</v>
      </c>
    </row>
    <row r="2066" spans="1:28" x14ac:dyDescent="0.2">
      <c r="A2066">
        <v>2588</v>
      </c>
      <c r="B2066" s="1">
        <v>44061</v>
      </c>
      <c r="C2066" t="s">
        <v>53</v>
      </c>
      <c r="D2066" t="s">
        <v>54</v>
      </c>
      <c r="E2066" t="s">
        <v>30</v>
      </c>
      <c r="F2066" t="s">
        <v>55</v>
      </c>
      <c r="G2066" t="s">
        <v>32</v>
      </c>
      <c r="H2066" t="s">
        <v>55</v>
      </c>
      <c r="I2066" t="s">
        <v>57</v>
      </c>
      <c r="J2066" t="s">
        <v>70</v>
      </c>
      <c r="K2066" s="2">
        <v>32348</v>
      </c>
      <c r="L2066" t="s">
        <v>36</v>
      </c>
      <c r="M2066" t="s">
        <v>48</v>
      </c>
      <c r="N2066" t="s">
        <v>60</v>
      </c>
      <c r="O2066" t="s">
        <v>61</v>
      </c>
      <c r="P2066" t="s">
        <v>40</v>
      </c>
      <c r="Q2066">
        <v>5</v>
      </c>
      <c r="R2066" s="2">
        <v>44907</v>
      </c>
      <c r="S2066">
        <v>5</v>
      </c>
      <c r="T2066">
        <v>1</v>
      </c>
      <c r="U2066">
        <v>5</v>
      </c>
      <c r="V2066" s="1">
        <v>45116</v>
      </c>
      <c r="W2066" t="s">
        <v>92</v>
      </c>
      <c r="X2066" t="s">
        <v>42</v>
      </c>
      <c r="Y2066" t="s">
        <v>73</v>
      </c>
      <c r="Z2066">
        <v>3</v>
      </c>
      <c r="AA2066">
        <v>856.44</v>
      </c>
      <c r="AB2066">
        <v>32</v>
      </c>
    </row>
    <row r="2067" spans="1:28" x14ac:dyDescent="0.2">
      <c r="A2067">
        <v>2589</v>
      </c>
      <c r="B2067" s="1">
        <v>44170</v>
      </c>
      <c r="C2067" t="s">
        <v>53</v>
      </c>
      <c r="D2067" t="s">
        <v>69</v>
      </c>
      <c r="E2067" t="s">
        <v>30</v>
      </c>
      <c r="F2067" t="s">
        <v>31</v>
      </c>
      <c r="G2067" t="s">
        <v>45</v>
      </c>
      <c r="H2067" t="s">
        <v>33</v>
      </c>
      <c r="I2067" t="s">
        <v>57</v>
      </c>
      <c r="J2067" t="s">
        <v>97</v>
      </c>
      <c r="K2067" s="2">
        <v>18623</v>
      </c>
      <c r="L2067" t="s">
        <v>156</v>
      </c>
      <c r="M2067" t="s">
        <v>48</v>
      </c>
      <c r="N2067" t="s">
        <v>84</v>
      </c>
      <c r="O2067" t="s">
        <v>61</v>
      </c>
      <c r="P2067" t="s">
        <v>40</v>
      </c>
      <c r="Q2067">
        <v>5</v>
      </c>
      <c r="R2067" s="2">
        <v>44890</v>
      </c>
      <c r="S2067">
        <v>2</v>
      </c>
      <c r="T2067">
        <v>5</v>
      </c>
      <c r="U2067">
        <v>1</v>
      </c>
      <c r="V2067" s="1">
        <v>45019</v>
      </c>
      <c r="W2067" t="s">
        <v>92</v>
      </c>
      <c r="X2067" t="s">
        <v>51</v>
      </c>
      <c r="Y2067" t="s">
        <v>63</v>
      </c>
      <c r="Z2067">
        <v>4</v>
      </c>
      <c r="AA2067">
        <v>919.1</v>
      </c>
      <c r="AB2067">
        <v>70</v>
      </c>
    </row>
    <row r="2068" spans="1:28" x14ac:dyDescent="0.2">
      <c r="A2068">
        <v>2590</v>
      </c>
      <c r="B2068" s="1">
        <v>44939</v>
      </c>
      <c r="C2068" t="s">
        <v>53</v>
      </c>
      <c r="D2068" t="s">
        <v>29</v>
      </c>
      <c r="E2068" t="s">
        <v>30</v>
      </c>
      <c r="F2068" t="s">
        <v>46</v>
      </c>
      <c r="G2068" t="s">
        <v>45</v>
      </c>
      <c r="H2068" t="s">
        <v>55</v>
      </c>
      <c r="I2068" t="s">
        <v>57</v>
      </c>
      <c r="J2068" t="s">
        <v>79</v>
      </c>
      <c r="K2068" s="2">
        <v>35833</v>
      </c>
      <c r="L2068" t="s">
        <v>156</v>
      </c>
      <c r="M2068" t="s">
        <v>48</v>
      </c>
      <c r="N2068" t="s">
        <v>84</v>
      </c>
      <c r="O2068" t="s">
        <v>67</v>
      </c>
      <c r="P2068" t="s">
        <v>40</v>
      </c>
      <c r="Q2068">
        <v>5</v>
      </c>
      <c r="R2068" s="2">
        <v>44801</v>
      </c>
      <c r="S2068">
        <v>1</v>
      </c>
      <c r="T2068">
        <v>1</v>
      </c>
      <c r="U2068">
        <v>4</v>
      </c>
      <c r="V2068" s="1">
        <v>45091</v>
      </c>
      <c r="W2068" t="s">
        <v>41</v>
      </c>
      <c r="X2068" t="s">
        <v>51</v>
      </c>
      <c r="Y2068" t="s">
        <v>52</v>
      </c>
      <c r="Z2068">
        <v>3</v>
      </c>
      <c r="AA2068">
        <v>606.76</v>
      </c>
      <c r="AB2068">
        <v>25</v>
      </c>
    </row>
    <row r="2069" spans="1:28" x14ac:dyDescent="0.2">
      <c r="A2069">
        <v>2591</v>
      </c>
      <c r="B2069" s="1">
        <v>43725</v>
      </c>
      <c r="C2069" t="s">
        <v>53</v>
      </c>
      <c r="D2069" t="s">
        <v>85</v>
      </c>
      <c r="E2069" t="s">
        <v>30</v>
      </c>
      <c r="F2069" t="s">
        <v>55</v>
      </c>
      <c r="G2069" t="s">
        <v>56</v>
      </c>
      <c r="H2069" t="s">
        <v>55</v>
      </c>
      <c r="I2069" t="s">
        <v>57</v>
      </c>
      <c r="J2069" t="s">
        <v>65</v>
      </c>
      <c r="K2069" s="2">
        <v>34189</v>
      </c>
      <c r="L2069" t="s">
        <v>156</v>
      </c>
      <c r="M2069" t="s">
        <v>48</v>
      </c>
      <c r="N2069" t="s">
        <v>84</v>
      </c>
      <c r="O2069" t="s">
        <v>61</v>
      </c>
      <c r="P2069" t="s">
        <v>40</v>
      </c>
      <c r="Q2069">
        <v>4</v>
      </c>
      <c r="R2069" s="2">
        <v>45135</v>
      </c>
      <c r="S2069">
        <v>4</v>
      </c>
      <c r="T2069">
        <v>5</v>
      </c>
      <c r="U2069">
        <v>5</v>
      </c>
      <c r="V2069" s="1">
        <v>44840</v>
      </c>
      <c r="W2069" t="s">
        <v>50</v>
      </c>
      <c r="X2069" t="s">
        <v>42</v>
      </c>
      <c r="Y2069" t="s">
        <v>63</v>
      </c>
      <c r="Z2069">
        <v>2</v>
      </c>
      <c r="AA2069">
        <v>745.31</v>
      </c>
      <c r="AB2069">
        <v>26</v>
      </c>
    </row>
    <row r="2070" spans="1:28" x14ac:dyDescent="0.2">
      <c r="A2070">
        <v>2592</v>
      </c>
      <c r="B2070" s="1">
        <v>44119</v>
      </c>
      <c r="C2070" t="s">
        <v>53</v>
      </c>
      <c r="D2070" t="s">
        <v>44</v>
      </c>
      <c r="E2070" t="s">
        <v>30</v>
      </c>
      <c r="F2070" t="s">
        <v>31</v>
      </c>
      <c r="G2070" t="s">
        <v>56</v>
      </c>
      <c r="H2070" t="s">
        <v>46</v>
      </c>
      <c r="I2070" t="s">
        <v>57</v>
      </c>
      <c r="J2070" t="s">
        <v>70</v>
      </c>
      <c r="K2070" s="2">
        <v>18061</v>
      </c>
      <c r="L2070" t="s">
        <v>162</v>
      </c>
      <c r="M2070" t="s">
        <v>48</v>
      </c>
      <c r="N2070" t="s">
        <v>84</v>
      </c>
      <c r="O2070" t="s">
        <v>61</v>
      </c>
      <c r="P2070" t="s">
        <v>40</v>
      </c>
      <c r="Q2070">
        <v>2</v>
      </c>
      <c r="R2070" s="2">
        <v>45104</v>
      </c>
      <c r="S2070">
        <v>5</v>
      </c>
      <c r="T2070">
        <v>1</v>
      </c>
      <c r="U2070">
        <v>2</v>
      </c>
      <c r="V2070" s="1">
        <v>44967</v>
      </c>
      <c r="W2070" t="s">
        <v>68</v>
      </c>
      <c r="X2070" t="s">
        <v>42</v>
      </c>
      <c r="Y2070" t="s">
        <v>52</v>
      </c>
      <c r="Z2070">
        <v>3</v>
      </c>
      <c r="AA2070">
        <v>240.57</v>
      </c>
      <c r="AB2070">
        <v>71</v>
      </c>
    </row>
    <row r="2071" spans="1:28" x14ac:dyDescent="0.2">
      <c r="A2071">
        <v>2593</v>
      </c>
      <c r="B2071" s="1">
        <v>43435</v>
      </c>
      <c r="C2071" t="s">
        <v>53</v>
      </c>
      <c r="D2071" t="s">
        <v>87</v>
      </c>
      <c r="E2071" t="s">
        <v>30</v>
      </c>
      <c r="F2071" t="s">
        <v>31</v>
      </c>
      <c r="G2071" t="s">
        <v>45</v>
      </c>
      <c r="H2071" t="s">
        <v>33</v>
      </c>
      <c r="I2071" t="s">
        <v>57</v>
      </c>
      <c r="J2071" t="s">
        <v>65</v>
      </c>
      <c r="K2071" s="2">
        <v>26337</v>
      </c>
      <c r="L2071" t="s">
        <v>162</v>
      </c>
      <c r="M2071" t="s">
        <v>48</v>
      </c>
      <c r="N2071" t="s">
        <v>60</v>
      </c>
      <c r="O2071" t="s">
        <v>39</v>
      </c>
      <c r="P2071" t="s">
        <v>40</v>
      </c>
      <c r="Q2071">
        <v>1</v>
      </c>
      <c r="R2071" s="2">
        <v>45020</v>
      </c>
      <c r="S2071">
        <v>3</v>
      </c>
      <c r="T2071">
        <v>1</v>
      </c>
      <c r="U2071">
        <v>2</v>
      </c>
      <c r="V2071" s="1">
        <v>44789</v>
      </c>
      <c r="W2071" t="s">
        <v>92</v>
      </c>
      <c r="X2071" t="s">
        <v>42</v>
      </c>
      <c r="Y2071" t="s">
        <v>43</v>
      </c>
      <c r="Z2071">
        <v>3</v>
      </c>
      <c r="AA2071">
        <v>659.82</v>
      </c>
      <c r="AB2071">
        <v>46</v>
      </c>
    </row>
    <row r="2072" spans="1:28" x14ac:dyDescent="0.2">
      <c r="A2072">
        <v>2594</v>
      </c>
      <c r="B2072" s="1">
        <v>45131</v>
      </c>
      <c r="C2072" t="s">
        <v>53</v>
      </c>
      <c r="D2072" t="s">
        <v>64</v>
      </c>
      <c r="E2072" t="s">
        <v>30</v>
      </c>
      <c r="F2072" t="s">
        <v>46</v>
      </c>
      <c r="G2072" t="s">
        <v>32</v>
      </c>
      <c r="H2072" t="s">
        <v>33</v>
      </c>
      <c r="I2072" t="s">
        <v>57</v>
      </c>
      <c r="J2072" t="s">
        <v>97</v>
      </c>
      <c r="K2072" s="2">
        <v>20541</v>
      </c>
      <c r="L2072" t="s">
        <v>162</v>
      </c>
      <c r="M2072" t="s">
        <v>48</v>
      </c>
      <c r="N2072" t="s">
        <v>60</v>
      </c>
      <c r="O2072" t="s">
        <v>77</v>
      </c>
      <c r="P2072" t="s">
        <v>40</v>
      </c>
      <c r="Q2072">
        <v>1</v>
      </c>
      <c r="R2072" s="2">
        <v>44899</v>
      </c>
      <c r="S2072">
        <v>1</v>
      </c>
      <c r="T2072">
        <v>5</v>
      </c>
      <c r="U2072">
        <v>3</v>
      </c>
      <c r="V2072" s="1">
        <v>44896</v>
      </c>
      <c r="W2072" t="s">
        <v>92</v>
      </c>
      <c r="X2072" t="s">
        <v>42</v>
      </c>
      <c r="Y2072" t="s">
        <v>43</v>
      </c>
      <c r="Z2072">
        <v>3</v>
      </c>
      <c r="AA2072">
        <v>273.94</v>
      </c>
      <c r="AB2072">
        <v>67</v>
      </c>
    </row>
    <row r="2073" spans="1:28" x14ac:dyDescent="0.2">
      <c r="A2073">
        <v>2595</v>
      </c>
      <c r="B2073" s="1">
        <v>43746</v>
      </c>
      <c r="C2073" t="s">
        <v>53</v>
      </c>
      <c r="D2073" t="s">
        <v>94</v>
      </c>
      <c r="E2073" t="s">
        <v>30</v>
      </c>
      <c r="F2073" t="s">
        <v>46</v>
      </c>
      <c r="G2073" t="s">
        <v>45</v>
      </c>
      <c r="H2073" t="s">
        <v>55</v>
      </c>
      <c r="I2073" t="s">
        <v>57</v>
      </c>
      <c r="J2073" t="s">
        <v>47</v>
      </c>
      <c r="K2073" s="2">
        <v>35879</v>
      </c>
      <c r="L2073" t="s">
        <v>162</v>
      </c>
      <c r="M2073" t="s">
        <v>48</v>
      </c>
      <c r="N2073" t="s">
        <v>84</v>
      </c>
      <c r="O2073" t="s">
        <v>77</v>
      </c>
      <c r="P2073" t="s">
        <v>40</v>
      </c>
      <c r="Q2073">
        <v>4</v>
      </c>
      <c r="R2073" s="2">
        <v>44913</v>
      </c>
      <c r="S2073">
        <v>3</v>
      </c>
      <c r="T2073">
        <v>5</v>
      </c>
      <c r="U2073">
        <v>4</v>
      </c>
      <c r="V2073" s="1">
        <v>44785</v>
      </c>
      <c r="W2073" t="s">
        <v>50</v>
      </c>
      <c r="X2073" t="s">
        <v>51</v>
      </c>
      <c r="Y2073" t="s">
        <v>43</v>
      </c>
      <c r="Z2073">
        <v>4</v>
      </c>
      <c r="AA2073">
        <v>920.91</v>
      </c>
      <c r="AB2073">
        <v>21</v>
      </c>
    </row>
    <row r="2074" spans="1:28" x14ac:dyDescent="0.2">
      <c r="A2074">
        <v>2596</v>
      </c>
      <c r="B2074" s="1">
        <v>44485</v>
      </c>
      <c r="C2074" t="s">
        <v>53</v>
      </c>
      <c r="D2074" t="s">
        <v>74</v>
      </c>
      <c r="E2074" t="s">
        <v>30</v>
      </c>
      <c r="F2074" t="s">
        <v>31</v>
      </c>
      <c r="G2074" t="s">
        <v>45</v>
      </c>
      <c r="H2074" t="s">
        <v>55</v>
      </c>
      <c r="I2074" t="s">
        <v>57</v>
      </c>
      <c r="J2074" t="s">
        <v>149</v>
      </c>
      <c r="K2074" s="2">
        <v>28265</v>
      </c>
      <c r="L2074" t="s">
        <v>153</v>
      </c>
      <c r="M2074" t="s">
        <v>48</v>
      </c>
      <c r="N2074" t="s">
        <v>72</v>
      </c>
      <c r="O2074" t="s">
        <v>77</v>
      </c>
      <c r="P2074" t="s">
        <v>40</v>
      </c>
      <c r="Q2074">
        <v>2</v>
      </c>
      <c r="R2074" s="2">
        <v>45083</v>
      </c>
      <c r="S2074">
        <v>4</v>
      </c>
      <c r="T2074">
        <v>1</v>
      </c>
      <c r="U2074">
        <v>2</v>
      </c>
      <c r="V2074" s="1">
        <v>44979</v>
      </c>
      <c r="W2074" t="s">
        <v>92</v>
      </c>
      <c r="X2074" t="s">
        <v>51</v>
      </c>
      <c r="Y2074" t="s">
        <v>52</v>
      </c>
      <c r="Z2074">
        <v>2</v>
      </c>
      <c r="AA2074">
        <v>114.28</v>
      </c>
      <c r="AB2074">
        <v>44</v>
      </c>
    </row>
    <row r="2075" spans="1:28" x14ac:dyDescent="0.2">
      <c r="A2075">
        <v>2597</v>
      </c>
      <c r="B2075" s="1">
        <v>43924</v>
      </c>
      <c r="C2075" t="s">
        <v>53</v>
      </c>
      <c r="D2075" t="s">
        <v>81</v>
      </c>
      <c r="E2075" t="s">
        <v>30</v>
      </c>
      <c r="F2075" t="s">
        <v>31</v>
      </c>
      <c r="G2075" t="s">
        <v>45</v>
      </c>
      <c r="H2075" t="s">
        <v>55</v>
      </c>
      <c r="I2075" t="s">
        <v>57</v>
      </c>
      <c r="J2075" t="s">
        <v>70</v>
      </c>
      <c r="K2075" s="2">
        <v>16340</v>
      </c>
      <c r="L2075" t="s">
        <v>153</v>
      </c>
      <c r="M2075" t="s">
        <v>48</v>
      </c>
      <c r="N2075" t="s">
        <v>84</v>
      </c>
      <c r="O2075" t="s">
        <v>77</v>
      </c>
      <c r="P2075" t="s">
        <v>40</v>
      </c>
      <c r="Q2075">
        <v>2</v>
      </c>
      <c r="R2075" s="2">
        <v>45054</v>
      </c>
      <c r="S2075">
        <v>4</v>
      </c>
      <c r="T2075">
        <v>5</v>
      </c>
      <c r="U2075">
        <v>4</v>
      </c>
      <c r="V2075" s="1">
        <v>44856</v>
      </c>
      <c r="W2075" t="s">
        <v>92</v>
      </c>
      <c r="X2075" t="s">
        <v>51</v>
      </c>
      <c r="Y2075" t="s">
        <v>73</v>
      </c>
      <c r="Z2075">
        <v>3</v>
      </c>
      <c r="AA2075">
        <v>242.28</v>
      </c>
      <c r="AB2075">
        <v>76</v>
      </c>
    </row>
    <row r="2076" spans="1:28" x14ac:dyDescent="0.2">
      <c r="A2076">
        <v>2598</v>
      </c>
      <c r="B2076" s="1">
        <v>43838</v>
      </c>
      <c r="C2076" t="s">
        <v>53</v>
      </c>
      <c r="D2076" t="s">
        <v>54</v>
      </c>
      <c r="E2076" t="s">
        <v>30</v>
      </c>
      <c r="F2076" t="s">
        <v>46</v>
      </c>
      <c r="G2076" t="s">
        <v>45</v>
      </c>
      <c r="H2076" t="s">
        <v>33</v>
      </c>
      <c r="I2076" t="s">
        <v>57</v>
      </c>
      <c r="J2076" t="s">
        <v>65</v>
      </c>
      <c r="K2076" s="2">
        <v>23625</v>
      </c>
      <c r="L2076" t="s">
        <v>153</v>
      </c>
      <c r="M2076" t="s">
        <v>48</v>
      </c>
      <c r="N2076" t="s">
        <v>84</v>
      </c>
      <c r="O2076" t="s">
        <v>77</v>
      </c>
      <c r="P2076" t="s">
        <v>40</v>
      </c>
      <c r="Q2076">
        <v>4</v>
      </c>
      <c r="R2076" s="2">
        <v>45067</v>
      </c>
      <c r="S2076">
        <v>5</v>
      </c>
      <c r="T2076">
        <v>3</v>
      </c>
      <c r="U2076">
        <v>2</v>
      </c>
      <c r="V2076" s="1">
        <v>44909</v>
      </c>
      <c r="W2076" t="s">
        <v>50</v>
      </c>
      <c r="X2076" t="s">
        <v>51</v>
      </c>
      <c r="Y2076" t="s">
        <v>63</v>
      </c>
      <c r="Z2076">
        <v>3</v>
      </c>
      <c r="AA2076">
        <v>420.06</v>
      </c>
      <c r="AB2076">
        <v>56</v>
      </c>
    </row>
    <row r="2077" spans="1:28" x14ac:dyDescent="0.2">
      <c r="A2077">
        <v>2599</v>
      </c>
      <c r="B2077" s="1">
        <v>44647</v>
      </c>
      <c r="C2077" t="s">
        <v>137</v>
      </c>
      <c r="D2077" t="s">
        <v>69</v>
      </c>
      <c r="E2077" t="s">
        <v>30</v>
      </c>
      <c r="F2077" t="s">
        <v>31</v>
      </c>
      <c r="G2077" t="s">
        <v>45</v>
      </c>
      <c r="H2077" t="s">
        <v>33</v>
      </c>
      <c r="I2077" t="s">
        <v>57</v>
      </c>
      <c r="J2077" t="s">
        <v>105</v>
      </c>
      <c r="K2077" s="2">
        <v>15533</v>
      </c>
      <c r="L2077" t="s">
        <v>153</v>
      </c>
      <c r="M2077" t="s">
        <v>37</v>
      </c>
      <c r="N2077" t="s">
        <v>72</v>
      </c>
      <c r="O2077" t="s">
        <v>39</v>
      </c>
      <c r="P2077" t="s">
        <v>40</v>
      </c>
      <c r="Q2077">
        <v>2</v>
      </c>
      <c r="R2077" s="2">
        <v>45016</v>
      </c>
      <c r="S2077">
        <v>1</v>
      </c>
      <c r="T2077">
        <v>4</v>
      </c>
      <c r="U2077">
        <v>2</v>
      </c>
      <c r="V2077" s="1">
        <v>44970</v>
      </c>
      <c r="W2077" t="s">
        <v>50</v>
      </c>
      <c r="X2077" t="s">
        <v>51</v>
      </c>
      <c r="Y2077" t="s">
        <v>43</v>
      </c>
      <c r="Z2077">
        <v>2</v>
      </c>
      <c r="AA2077">
        <v>288.93</v>
      </c>
      <c r="AB2077">
        <v>80</v>
      </c>
    </row>
    <row r="2078" spans="1:28" x14ac:dyDescent="0.2">
      <c r="A2078">
        <v>2600</v>
      </c>
      <c r="B2078" s="1">
        <v>43361</v>
      </c>
      <c r="C2078" t="s">
        <v>137</v>
      </c>
      <c r="D2078" t="s">
        <v>29</v>
      </c>
      <c r="E2078" t="s">
        <v>30</v>
      </c>
      <c r="F2078" t="s">
        <v>55</v>
      </c>
      <c r="G2078" t="s">
        <v>32</v>
      </c>
      <c r="H2078" t="s">
        <v>33</v>
      </c>
      <c r="I2078" t="s">
        <v>57</v>
      </c>
      <c r="J2078" t="s">
        <v>47</v>
      </c>
      <c r="K2078" s="2">
        <v>23758</v>
      </c>
      <c r="L2078" t="s">
        <v>155</v>
      </c>
      <c r="M2078" t="s">
        <v>37</v>
      </c>
      <c r="N2078" t="s">
        <v>84</v>
      </c>
      <c r="O2078" t="s">
        <v>39</v>
      </c>
      <c r="P2078" t="s">
        <v>40</v>
      </c>
      <c r="Q2078">
        <v>2</v>
      </c>
      <c r="R2078" s="2">
        <v>44832</v>
      </c>
      <c r="S2078">
        <v>5</v>
      </c>
      <c r="T2078">
        <v>2</v>
      </c>
      <c r="U2078">
        <v>4</v>
      </c>
      <c r="V2078" s="1">
        <v>45060</v>
      </c>
      <c r="W2078" t="s">
        <v>62</v>
      </c>
      <c r="X2078" t="s">
        <v>42</v>
      </c>
      <c r="Y2078" t="s">
        <v>63</v>
      </c>
      <c r="Z2078">
        <v>3</v>
      </c>
      <c r="AA2078">
        <v>637.45000000000005</v>
      </c>
      <c r="AB2078">
        <v>53</v>
      </c>
    </row>
    <row r="2079" spans="1:28" x14ac:dyDescent="0.2">
      <c r="A2079">
        <v>2601</v>
      </c>
      <c r="B2079" s="1">
        <v>43798</v>
      </c>
      <c r="C2079" t="s">
        <v>137</v>
      </c>
      <c r="D2079" t="s">
        <v>85</v>
      </c>
      <c r="E2079" t="s">
        <v>30</v>
      </c>
      <c r="F2079" t="s">
        <v>55</v>
      </c>
      <c r="G2079" t="s">
        <v>32</v>
      </c>
      <c r="H2079" t="s">
        <v>46</v>
      </c>
      <c r="I2079" t="s">
        <v>57</v>
      </c>
      <c r="J2079" t="s">
        <v>65</v>
      </c>
      <c r="K2079" s="2">
        <v>36952</v>
      </c>
      <c r="L2079" t="s">
        <v>155</v>
      </c>
      <c r="M2079" t="s">
        <v>37</v>
      </c>
      <c r="N2079" t="s">
        <v>49</v>
      </c>
      <c r="O2079" t="s">
        <v>39</v>
      </c>
      <c r="P2079" t="s">
        <v>40</v>
      </c>
      <c r="Q2079">
        <v>1</v>
      </c>
      <c r="R2079" s="2">
        <v>44840</v>
      </c>
      <c r="S2079">
        <v>3</v>
      </c>
      <c r="T2079">
        <v>5</v>
      </c>
      <c r="U2079">
        <v>5</v>
      </c>
      <c r="V2079" s="1">
        <v>45106</v>
      </c>
      <c r="W2079" t="s">
        <v>92</v>
      </c>
      <c r="X2079" t="s">
        <v>51</v>
      </c>
      <c r="Y2079" t="s">
        <v>43</v>
      </c>
      <c r="Z2079">
        <v>5</v>
      </c>
      <c r="AA2079">
        <v>944.24</v>
      </c>
      <c r="AB2079">
        <v>18</v>
      </c>
    </row>
    <row r="2080" spans="1:28" x14ac:dyDescent="0.2">
      <c r="A2080">
        <v>2602</v>
      </c>
      <c r="B2080" s="1">
        <v>43571</v>
      </c>
      <c r="C2080" t="s">
        <v>138</v>
      </c>
      <c r="D2080" t="s">
        <v>44</v>
      </c>
      <c r="E2080" t="s">
        <v>30</v>
      </c>
      <c r="F2080" t="s">
        <v>55</v>
      </c>
      <c r="G2080" t="s">
        <v>32</v>
      </c>
      <c r="H2080" t="s">
        <v>55</v>
      </c>
      <c r="I2080" t="s">
        <v>132</v>
      </c>
      <c r="J2080" t="s">
        <v>101</v>
      </c>
      <c r="K2080" s="2">
        <v>30170</v>
      </c>
      <c r="L2080" t="s">
        <v>36</v>
      </c>
      <c r="M2080" t="s">
        <v>37</v>
      </c>
      <c r="N2080" t="s">
        <v>60</v>
      </c>
      <c r="O2080" t="s">
        <v>39</v>
      </c>
      <c r="P2080" t="s">
        <v>40</v>
      </c>
      <c r="Q2080">
        <v>2</v>
      </c>
      <c r="R2080" s="2">
        <v>44967</v>
      </c>
      <c r="S2080">
        <v>5</v>
      </c>
      <c r="T2080">
        <v>5</v>
      </c>
      <c r="U2080">
        <v>2</v>
      </c>
      <c r="V2080" s="1">
        <v>44920</v>
      </c>
      <c r="W2080" t="s">
        <v>41</v>
      </c>
      <c r="X2080" t="s">
        <v>42</v>
      </c>
      <c r="Y2080" t="s">
        <v>43</v>
      </c>
      <c r="Z2080">
        <v>4</v>
      </c>
      <c r="AA2080">
        <v>364.41</v>
      </c>
      <c r="AB2080">
        <v>37</v>
      </c>
    </row>
    <row r="2081" spans="1:28" x14ac:dyDescent="0.2">
      <c r="A2081">
        <v>2603</v>
      </c>
      <c r="B2081" s="1">
        <v>43529</v>
      </c>
      <c r="C2081" t="s">
        <v>53</v>
      </c>
      <c r="D2081" t="s">
        <v>81</v>
      </c>
      <c r="E2081" t="s">
        <v>30</v>
      </c>
      <c r="F2081" t="s">
        <v>46</v>
      </c>
      <c r="G2081" t="s">
        <v>45</v>
      </c>
      <c r="H2081" t="s">
        <v>55</v>
      </c>
      <c r="I2081" t="s">
        <v>57</v>
      </c>
      <c r="J2081" t="s">
        <v>89</v>
      </c>
      <c r="K2081" s="2">
        <v>36319</v>
      </c>
      <c r="L2081" t="s">
        <v>36</v>
      </c>
      <c r="M2081" t="s">
        <v>48</v>
      </c>
      <c r="N2081" t="s">
        <v>60</v>
      </c>
      <c r="O2081" t="s">
        <v>77</v>
      </c>
      <c r="P2081" t="s">
        <v>40</v>
      </c>
      <c r="Q2081">
        <v>2</v>
      </c>
      <c r="R2081" s="2">
        <v>44899</v>
      </c>
      <c r="S2081">
        <v>4</v>
      </c>
      <c r="T2081">
        <v>1</v>
      </c>
      <c r="U2081">
        <v>4</v>
      </c>
      <c r="V2081" s="1">
        <v>44854</v>
      </c>
      <c r="W2081" t="s">
        <v>92</v>
      </c>
      <c r="X2081" t="s">
        <v>42</v>
      </c>
      <c r="Y2081" t="s">
        <v>73</v>
      </c>
      <c r="Z2081">
        <v>5</v>
      </c>
      <c r="AA2081">
        <v>605.84</v>
      </c>
      <c r="AB2081">
        <v>20</v>
      </c>
    </row>
    <row r="2082" spans="1:28" x14ac:dyDescent="0.2">
      <c r="A2082">
        <v>2604</v>
      </c>
      <c r="B2082" s="1">
        <v>43454</v>
      </c>
      <c r="C2082" t="s">
        <v>53</v>
      </c>
      <c r="D2082" t="s">
        <v>54</v>
      </c>
      <c r="E2082" t="s">
        <v>30</v>
      </c>
      <c r="F2082" t="s">
        <v>31</v>
      </c>
      <c r="G2082" t="s">
        <v>32</v>
      </c>
      <c r="H2082" t="s">
        <v>55</v>
      </c>
      <c r="I2082" t="s">
        <v>57</v>
      </c>
      <c r="J2082" t="s">
        <v>47</v>
      </c>
      <c r="K2082" s="2">
        <v>31846</v>
      </c>
      <c r="L2082" t="s">
        <v>36</v>
      </c>
      <c r="M2082" t="s">
        <v>48</v>
      </c>
      <c r="N2082" t="s">
        <v>60</v>
      </c>
      <c r="O2082" t="s">
        <v>77</v>
      </c>
      <c r="P2082" t="s">
        <v>40</v>
      </c>
      <c r="Q2082">
        <v>5</v>
      </c>
      <c r="R2082" s="2">
        <v>44949</v>
      </c>
      <c r="S2082">
        <v>1</v>
      </c>
      <c r="T2082">
        <v>1</v>
      </c>
      <c r="U2082">
        <v>2</v>
      </c>
      <c r="V2082" s="1">
        <v>44866</v>
      </c>
      <c r="W2082" t="s">
        <v>41</v>
      </c>
      <c r="X2082" t="s">
        <v>42</v>
      </c>
      <c r="Y2082" t="s">
        <v>43</v>
      </c>
      <c r="Z2082">
        <v>5</v>
      </c>
      <c r="AA2082">
        <v>990.59</v>
      </c>
      <c r="AB2082">
        <v>31</v>
      </c>
    </row>
    <row r="2083" spans="1:28" x14ac:dyDescent="0.2">
      <c r="A2083">
        <v>2605</v>
      </c>
      <c r="B2083" s="1">
        <v>44263</v>
      </c>
      <c r="C2083" t="s">
        <v>53</v>
      </c>
      <c r="D2083" t="s">
        <v>69</v>
      </c>
      <c r="E2083" t="s">
        <v>30</v>
      </c>
      <c r="F2083" t="s">
        <v>55</v>
      </c>
      <c r="G2083" t="s">
        <v>32</v>
      </c>
      <c r="H2083" t="s">
        <v>46</v>
      </c>
      <c r="I2083" t="s">
        <v>57</v>
      </c>
      <c r="J2083" t="s">
        <v>101</v>
      </c>
      <c r="K2083" s="2">
        <v>25061</v>
      </c>
      <c r="L2083" t="s">
        <v>156</v>
      </c>
      <c r="M2083" t="s">
        <v>48</v>
      </c>
      <c r="N2083" t="s">
        <v>72</v>
      </c>
      <c r="O2083" t="s">
        <v>67</v>
      </c>
      <c r="P2083" t="s">
        <v>40</v>
      </c>
      <c r="Q2083">
        <v>4</v>
      </c>
      <c r="R2083" s="2">
        <v>44982</v>
      </c>
      <c r="S2083">
        <v>3</v>
      </c>
      <c r="T2083">
        <v>4</v>
      </c>
      <c r="U2083">
        <v>3</v>
      </c>
      <c r="V2083" s="1">
        <v>44879</v>
      </c>
      <c r="W2083" t="s">
        <v>62</v>
      </c>
      <c r="X2083" t="s">
        <v>51</v>
      </c>
      <c r="Y2083" t="s">
        <v>63</v>
      </c>
      <c r="Z2083">
        <v>4</v>
      </c>
      <c r="AA2083">
        <v>549.19000000000005</v>
      </c>
      <c r="AB2083">
        <v>53</v>
      </c>
    </row>
    <row r="2084" spans="1:28" x14ac:dyDescent="0.2">
      <c r="A2084">
        <v>2606</v>
      </c>
      <c r="B2084" s="1">
        <v>44127</v>
      </c>
      <c r="C2084" t="s">
        <v>53</v>
      </c>
      <c r="D2084" t="s">
        <v>29</v>
      </c>
      <c r="E2084" t="s">
        <v>30</v>
      </c>
      <c r="F2084" t="s">
        <v>55</v>
      </c>
      <c r="G2084" t="s">
        <v>32</v>
      </c>
      <c r="H2084" t="s">
        <v>46</v>
      </c>
      <c r="I2084" t="s">
        <v>57</v>
      </c>
      <c r="J2084" t="s">
        <v>96</v>
      </c>
      <c r="K2084" s="2">
        <v>18842</v>
      </c>
      <c r="L2084" t="s">
        <v>156</v>
      </c>
      <c r="M2084" t="s">
        <v>48</v>
      </c>
      <c r="N2084" t="s">
        <v>38</v>
      </c>
      <c r="O2084" t="s">
        <v>61</v>
      </c>
      <c r="P2084" t="s">
        <v>40</v>
      </c>
      <c r="Q2084">
        <v>2</v>
      </c>
      <c r="R2084" s="2">
        <v>44918</v>
      </c>
      <c r="S2084">
        <v>1</v>
      </c>
      <c r="T2084">
        <v>5</v>
      </c>
      <c r="U2084">
        <v>1</v>
      </c>
      <c r="V2084" s="1">
        <v>44880</v>
      </c>
      <c r="W2084" t="s">
        <v>41</v>
      </c>
      <c r="X2084" t="s">
        <v>51</v>
      </c>
      <c r="Y2084" t="s">
        <v>52</v>
      </c>
      <c r="Z2084">
        <v>1</v>
      </c>
      <c r="AA2084">
        <v>587.34</v>
      </c>
      <c r="AB2084">
        <v>69</v>
      </c>
    </row>
    <row r="2085" spans="1:28" x14ac:dyDescent="0.2">
      <c r="A2085">
        <v>2607</v>
      </c>
      <c r="B2085" s="1">
        <v>43553</v>
      </c>
      <c r="C2085" t="s">
        <v>53</v>
      </c>
      <c r="D2085" t="s">
        <v>85</v>
      </c>
      <c r="E2085" t="s">
        <v>30</v>
      </c>
      <c r="F2085" t="s">
        <v>31</v>
      </c>
      <c r="G2085" t="s">
        <v>56</v>
      </c>
      <c r="H2085" t="s">
        <v>46</v>
      </c>
      <c r="I2085" t="s">
        <v>57</v>
      </c>
      <c r="J2085" t="s">
        <v>97</v>
      </c>
      <c r="K2085" s="2">
        <v>28047</v>
      </c>
      <c r="L2085" t="s">
        <v>158</v>
      </c>
      <c r="M2085" t="s">
        <v>48</v>
      </c>
      <c r="N2085" t="s">
        <v>38</v>
      </c>
      <c r="O2085" t="s">
        <v>67</v>
      </c>
      <c r="P2085" t="s">
        <v>40</v>
      </c>
      <c r="Q2085">
        <v>2</v>
      </c>
      <c r="R2085" s="2">
        <v>44983</v>
      </c>
      <c r="S2085">
        <v>3</v>
      </c>
      <c r="T2085">
        <v>1</v>
      </c>
      <c r="U2085">
        <v>2</v>
      </c>
      <c r="V2085" s="1">
        <v>44921</v>
      </c>
      <c r="W2085" t="s">
        <v>68</v>
      </c>
      <c r="X2085" t="s">
        <v>51</v>
      </c>
      <c r="Y2085" t="s">
        <v>63</v>
      </c>
      <c r="Z2085">
        <v>3</v>
      </c>
      <c r="AA2085">
        <v>918.96</v>
      </c>
      <c r="AB2085">
        <v>43</v>
      </c>
    </row>
    <row r="2086" spans="1:28" x14ac:dyDescent="0.2">
      <c r="A2086">
        <v>2608</v>
      </c>
      <c r="B2086" s="1">
        <v>44129</v>
      </c>
      <c r="C2086" t="s">
        <v>53</v>
      </c>
      <c r="D2086" t="s">
        <v>44</v>
      </c>
      <c r="E2086" t="s">
        <v>30</v>
      </c>
      <c r="F2086" t="s">
        <v>31</v>
      </c>
      <c r="G2086" t="s">
        <v>45</v>
      </c>
      <c r="H2086" t="s">
        <v>55</v>
      </c>
      <c r="I2086" t="s">
        <v>57</v>
      </c>
      <c r="J2086" t="s">
        <v>70</v>
      </c>
      <c r="K2086" s="2">
        <v>28460</v>
      </c>
      <c r="L2086" t="s">
        <v>162</v>
      </c>
      <c r="M2086" t="s">
        <v>48</v>
      </c>
      <c r="N2086" t="s">
        <v>84</v>
      </c>
      <c r="O2086" t="s">
        <v>67</v>
      </c>
      <c r="P2086" t="s">
        <v>40</v>
      </c>
      <c r="Q2086">
        <v>4</v>
      </c>
      <c r="R2086" s="2">
        <v>44780</v>
      </c>
      <c r="S2086">
        <v>1</v>
      </c>
      <c r="T2086">
        <v>4</v>
      </c>
      <c r="U2086">
        <v>5</v>
      </c>
      <c r="V2086" s="1">
        <v>44947</v>
      </c>
      <c r="W2086" t="s">
        <v>62</v>
      </c>
      <c r="X2086" t="s">
        <v>42</v>
      </c>
      <c r="Y2086" t="s">
        <v>52</v>
      </c>
      <c r="Z2086">
        <v>2</v>
      </c>
      <c r="AA2086">
        <v>525.41</v>
      </c>
      <c r="AB2086">
        <v>43</v>
      </c>
    </row>
    <row r="2087" spans="1:28" x14ac:dyDescent="0.2">
      <c r="A2087">
        <v>2609</v>
      </c>
      <c r="B2087" s="1">
        <v>43805</v>
      </c>
      <c r="C2087" t="s">
        <v>53</v>
      </c>
      <c r="D2087" t="s">
        <v>87</v>
      </c>
      <c r="E2087" t="s">
        <v>30</v>
      </c>
      <c r="F2087" t="s">
        <v>46</v>
      </c>
      <c r="G2087" t="s">
        <v>56</v>
      </c>
      <c r="H2087" t="s">
        <v>33</v>
      </c>
      <c r="I2087" t="s">
        <v>57</v>
      </c>
      <c r="J2087" t="s">
        <v>58</v>
      </c>
      <c r="K2087" s="2">
        <v>26158</v>
      </c>
      <c r="L2087" t="s">
        <v>162</v>
      </c>
      <c r="M2087" t="s">
        <v>48</v>
      </c>
      <c r="N2087" t="s">
        <v>84</v>
      </c>
      <c r="O2087" t="s">
        <v>39</v>
      </c>
      <c r="P2087" t="s">
        <v>40</v>
      </c>
      <c r="Q2087">
        <v>2</v>
      </c>
      <c r="R2087" s="2">
        <v>45045</v>
      </c>
      <c r="S2087">
        <v>3</v>
      </c>
      <c r="T2087">
        <v>3</v>
      </c>
      <c r="U2087">
        <v>4</v>
      </c>
      <c r="V2087" s="1">
        <v>44808</v>
      </c>
      <c r="W2087" t="s">
        <v>92</v>
      </c>
      <c r="X2087" t="s">
        <v>51</v>
      </c>
      <c r="Y2087" t="s">
        <v>73</v>
      </c>
      <c r="Z2087">
        <v>1</v>
      </c>
      <c r="AA2087">
        <v>484.08</v>
      </c>
      <c r="AB2087">
        <v>48</v>
      </c>
    </row>
    <row r="2088" spans="1:28" x14ac:dyDescent="0.2">
      <c r="A2088">
        <v>2610</v>
      </c>
      <c r="B2088" s="1">
        <v>44827</v>
      </c>
      <c r="C2088" t="s">
        <v>53</v>
      </c>
      <c r="D2088" t="s">
        <v>64</v>
      </c>
      <c r="E2088" t="s">
        <v>30</v>
      </c>
      <c r="F2088" t="s">
        <v>55</v>
      </c>
      <c r="G2088" t="s">
        <v>56</v>
      </c>
      <c r="H2088" t="s">
        <v>55</v>
      </c>
      <c r="I2088" t="s">
        <v>57</v>
      </c>
      <c r="J2088" t="s">
        <v>65</v>
      </c>
      <c r="K2088" s="2">
        <v>17531</v>
      </c>
      <c r="L2088" t="s">
        <v>162</v>
      </c>
      <c r="M2088" t="s">
        <v>48</v>
      </c>
      <c r="N2088" t="s">
        <v>38</v>
      </c>
      <c r="O2088" t="s">
        <v>39</v>
      </c>
      <c r="P2088" t="s">
        <v>40</v>
      </c>
      <c r="Q2088">
        <v>2</v>
      </c>
      <c r="R2088" s="2">
        <v>44869</v>
      </c>
      <c r="S2088">
        <v>5</v>
      </c>
      <c r="T2088">
        <v>1</v>
      </c>
      <c r="U2088">
        <v>2</v>
      </c>
      <c r="V2088" s="1">
        <v>45102</v>
      </c>
      <c r="W2088" t="s">
        <v>50</v>
      </c>
      <c r="X2088" t="s">
        <v>51</v>
      </c>
      <c r="Y2088" t="s">
        <v>73</v>
      </c>
      <c r="Z2088">
        <v>5</v>
      </c>
      <c r="AA2088">
        <v>184.63</v>
      </c>
      <c r="AB2088">
        <v>75</v>
      </c>
    </row>
    <row r="2089" spans="1:28" x14ac:dyDescent="0.2">
      <c r="A2089">
        <v>2611</v>
      </c>
      <c r="B2089" s="1">
        <v>43825</v>
      </c>
      <c r="C2089" t="s">
        <v>53</v>
      </c>
      <c r="D2089" t="s">
        <v>94</v>
      </c>
      <c r="E2089" t="s">
        <v>30</v>
      </c>
      <c r="F2089" t="s">
        <v>46</v>
      </c>
      <c r="G2089" t="s">
        <v>45</v>
      </c>
      <c r="H2089" t="s">
        <v>33</v>
      </c>
      <c r="I2089" t="s">
        <v>57</v>
      </c>
      <c r="J2089" t="s">
        <v>101</v>
      </c>
      <c r="K2089" s="2">
        <v>20720</v>
      </c>
      <c r="L2089" t="s">
        <v>162</v>
      </c>
      <c r="M2089" t="s">
        <v>48</v>
      </c>
      <c r="N2089" t="s">
        <v>72</v>
      </c>
      <c r="O2089" t="s">
        <v>39</v>
      </c>
      <c r="P2089" t="s">
        <v>40</v>
      </c>
      <c r="Q2089">
        <v>2</v>
      </c>
      <c r="R2089" s="2">
        <v>45102</v>
      </c>
      <c r="S2089">
        <v>5</v>
      </c>
      <c r="T2089">
        <v>3</v>
      </c>
      <c r="U2089">
        <v>1</v>
      </c>
      <c r="V2089" s="1">
        <v>44863</v>
      </c>
      <c r="W2089" t="s">
        <v>50</v>
      </c>
      <c r="X2089" t="s">
        <v>42</v>
      </c>
      <c r="Y2089" t="s">
        <v>43</v>
      </c>
      <c r="Z2089">
        <v>3</v>
      </c>
      <c r="AA2089">
        <v>793.77</v>
      </c>
      <c r="AB2089">
        <v>63</v>
      </c>
    </row>
    <row r="2090" spans="1:28" x14ac:dyDescent="0.2">
      <c r="A2090">
        <v>2612</v>
      </c>
      <c r="B2090" s="1">
        <v>43339</v>
      </c>
      <c r="C2090" t="s">
        <v>53</v>
      </c>
      <c r="D2090" t="s">
        <v>74</v>
      </c>
      <c r="E2090" t="s">
        <v>30</v>
      </c>
      <c r="F2090" t="s">
        <v>46</v>
      </c>
      <c r="G2090" t="s">
        <v>56</v>
      </c>
      <c r="H2090" t="s">
        <v>46</v>
      </c>
      <c r="I2090" t="s">
        <v>57</v>
      </c>
      <c r="J2090" t="s">
        <v>70</v>
      </c>
      <c r="K2090" s="2">
        <v>23193</v>
      </c>
      <c r="L2090" t="s">
        <v>153</v>
      </c>
      <c r="M2090" t="s">
        <v>48</v>
      </c>
      <c r="N2090" t="s">
        <v>38</v>
      </c>
      <c r="O2090" t="s">
        <v>67</v>
      </c>
      <c r="P2090" t="s">
        <v>40</v>
      </c>
      <c r="Q2090">
        <v>4</v>
      </c>
      <c r="R2090" s="2">
        <v>45011</v>
      </c>
      <c r="S2090">
        <v>2</v>
      </c>
      <c r="T2090">
        <v>2</v>
      </c>
      <c r="U2090">
        <v>5</v>
      </c>
      <c r="V2090" s="1">
        <v>45039</v>
      </c>
      <c r="W2090" t="s">
        <v>50</v>
      </c>
      <c r="X2090" t="s">
        <v>42</v>
      </c>
      <c r="Y2090" t="s">
        <v>63</v>
      </c>
      <c r="Z2090">
        <v>3</v>
      </c>
      <c r="AA2090">
        <v>301.02</v>
      </c>
      <c r="AB2090">
        <v>55</v>
      </c>
    </row>
    <row r="2091" spans="1:28" x14ac:dyDescent="0.2">
      <c r="A2091">
        <v>2613</v>
      </c>
      <c r="B2091" s="1">
        <v>44907</v>
      </c>
      <c r="C2091" t="s">
        <v>53</v>
      </c>
      <c r="D2091" t="s">
        <v>81</v>
      </c>
      <c r="E2091" t="s">
        <v>30</v>
      </c>
      <c r="F2091" t="s">
        <v>46</v>
      </c>
      <c r="G2091" t="s">
        <v>56</v>
      </c>
      <c r="H2091" t="s">
        <v>55</v>
      </c>
      <c r="I2091" t="s">
        <v>57</v>
      </c>
      <c r="J2091" t="s">
        <v>99</v>
      </c>
      <c r="K2091" s="2">
        <v>16269</v>
      </c>
      <c r="L2091" t="s">
        <v>153</v>
      </c>
      <c r="M2091" t="s">
        <v>48</v>
      </c>
      <c r="N2091" t="s">
        <v>72</v>
      </c>
      <c r="O2091" t="s">
        <v>61</v>
      </c>
      <c r="P2091" t="s">
        <v>40</v>
      </c>
      <c r="Q2091">
        <v>5</v>
      </c>
      <c r="R2091" s="2">
        <v>44989</v>
      </c>
      <c r="S2091">
        <v>2</v>
      </c>
      <c r="T2091">
        <v>1</v>
      </c>
      <c r="U2091">
        <v>2</v>
      </c>
      <c r="V2091" s="1">
        <v>44862</v>
      </c>
      <c r="W2091" t="s">
        <v>41</v>
      </c>
      <c r="X2091" t="s">
        <v>42</v>
      </c>
      <c r="Y2091" t="s">
        <v>43</v>
      </c>
      <c r="Z2091">
        <v>3</v>
      </c>
      <c r="AA2091">
        <v>253.86</v>
      </c>
      <c r="AB2091">
        <v>78</v>
      </c>
    </row>
    <row r="2092" spans="1:28" x14ac:dyDescent="0.2">
      <c r="A2092">
        <v>2614</v>
      </c>
      <c r="B2092" s="1">
        <v>44329</v>
      </c>
      <c r="C2092" t="s">
        <v>53</v>
      </c>
      <c r="D2092" t="s">
        <v>54</v>
      </c>
      <c r="E2092" t="s">
        <v>30</v>
      </c>
      <c r="F2092" t="s">
        <v>46</v>
      </c>
      <c r="G2092" t="s">
        <v>45</v>
      </c>
      <c r="H2092" t="s">
        <v>55</v>
      </c>
      <c r="I2092" t="s">
        <v>57</v>
      </c>
      <c r="J2092" t="s">
        <v>70</v>
      </c>
      <c r="K2092" s="2">
        <v>31850</v>
      </c>
      <c r="L2092" t="s">
        <v>153</v>
      </c>
      <c r="M2092" t="s">
        <v>48</v>
      </c>
      <c r="N2092" t="s">
        <v>72</v>
      </c>
      <c r="O2092" t="s">
        <v>77</v>
      </c>
      <c r="P2092" t="s">
        <v>40</v>
      </c>
      <c r="Q2092">
        <v>5</v>
      </c>
      <c r="R2092" s="2">
        <v>44884</v>
      </c>
      <c r="S2092">
        <v>5</v>
      </c>
      <c r="T2092">
        <v>1</v>
      </c>
      <c r="U2092">
        <v>1</v>
      </c>
      <c r="V2092" s="1">
        <v>44874</v>
      </c>
      <c r="W2092" t="s">
        <v>62</v>
      </c>
      <c r="X2092" t="s">
        <v>51</v>
      </c>
      <c r="Y2092" t="s">
        <v>63</v>
      </c>
      <c r="Z2092">
        <v>2</v>
      </c>
      <c r="AA2092">
        <v>468.59</v>
      </c>
      <c r="AB2092">
        <v>34</v>
      </c>
    </row>
    <row r="2093" spans="1:28" x14ac:dyDescent="0.2">
      <c r="A2093">
        <v>2615</v>
      </c>
      <c r="B2093" s="1">
        <v>44286</v>
      </c>
      <c r="C2093" t="s">
        <v>137</v>
      </c>
      <c r="D2093" t="s">
        <v>69</v>
      </c>
      <c r="E2093" t="s">
        <v>30</v>
      </c>
      <c r="F2093" t="s">
        <v>31</v>
      </c>
      <c r="G2093" t="s">
        <v>56</v>
      </c>
      <c r="H2093" t="s">
        <v>46</v>
      </c>
      <c r="I2093" t="s">
        <v>57</v>
      </c>
      <c r="J2093" t="s">
        <v>35</v>
      </c>
      <c r="K2093" s="2">
        <v>22791</v>
      </c>
      <c r="L2093" t="s">
        <v>155</v>
      </c>
      <c r="M2093" t="s">
        <v>37</v>
      </c>
      <c r="N2093" t="s">
        <v>72</v>
      </c>
      <c r="O2093" t="s">
        <v>61</v>
      </c>
      <c r="P2093" t="s">
        <v>40</v>
      </c>
      <c r="Q2093">
        <v>4</v>
      </c>
      <c r="R2093" s="2">
        <v>44900</v>
      </c>
      <c r="S2093">
        <v>5</v>
      </c>
      <c r="T2093">
        <v>1</v>
      </c>
      <c r="U2093">
        <v>3</v>
      </c>
      <c r="V2093" s="1">
        <v>44995</v>
      </c>
      <c r="W2093" t="s">
        <v>41</v>
      </c>
      <c r="X2093" t="s">
        <v>42</v>
      </c>
      <c r="Y2093" t="s">
        <v>63</v>
      </c>
      <c r="Z2093">
        <v>5</v>
      </c>
      <c r="AA2093">
        <v>689.87</v>
      </c>
      <c r="AB2093">
        <v>59</v>
      </c>
    </row>
    <row r="2094" spans="1:28" x14ac:dyDescent="0.2">
      <c r="A2094">
        <v>2616</v>
      </c>
      <c r="B2094" s="1">
        <v>43691</v>
      </c>
      <c r="C2094" t="s">
        <v>137</v>
      </c>
      <c r="D2094" t="s">
        <v>29</v>
      </c>
      <c r="E2094" t="s">
        <v>30</v>
      </c>
      <c r="F2094" t="s">
        <v>55</v>
      </c>
      <c r="G2094" t="s">
        <v>45</v>
      </c>
      <c r="H2094" t="s">
        <v>46</v>
      </c>
      <c r="I2094" t="s">
        <v>57</v>
      </c>
      <c r="J2094" t="s">
        <v>79</v>
      </c>
      <c r="K2094" s="2">
        <v>26651</v>
      </c>
      <c r="L2094" t="s">
        <v>155</v>
      </c>
      <c r="M2094" t="s">
        <v>37</v>
      </c>
      <c r="N2094" t="s">
        <v>72</v>
      </c>
      <c r="O2094" t="s">
        <v>67</v>
      </c>
      <c r="P2094" t="s">
        <v>40</v>
      </c>
      <c r="Q2094">
        <v>1</v>
      </c>
      <c r="R2094" s="2">
        <v>44816</v>
      </c>
      <c r="S2094">
        <v>3</v>
      </c>
      <c r="T2094">
        <v>1</v>
      </c>
      <c r="U2094">
        <v>3</v>
      </c>
      <c r="V2094" s="1">
        <v>45032</v>
      </c>
      <c r="W2094" t="s">
        <v>50</v>
      </c>
      <c r="X2094" t="s">
        <v>51</v>
      </c>
      <c r="Y2094" t="s">
        <v>43</v>
      </c>
      <c r="Z2094">
        <v>5</v>
      </c>
      <c r="AA2094">
        <v>428.33</v>
      </c>
      <c r="AB2094">
        <v>47</v>
      </c>
    </row>
    <row r="2095" spans="1:28" x14ac:dyDescent="0.2">
      <c r="A2095">
        <v>2617</v>
      </c>
      <c r="B2095" s="1">
        <v>44045</v>
      </c>
      <c r="C2095" t="s">
        <v>137</v>
      </c>
      <c r="D2095" t="s">
        <v>85</v>
      </c>
      <c r="E2095" t="s">
        <v>30</v>
      </c>
      <c r="F2095" t="s">
        <v>55</v>
      </c>
      <c r="G2095" t="s">
        <v>32</v>
      </c>
      <c r="H2095" t="s">
        <v>55</v>
      </c>
      <c r="I2095" t="s">
        <v>57</v>
      </c>
      <c r="J2095" t="s">
        <v>102</v>
      </c>
      <c r="K2095" s="2">
        <v>34815</v>
      </c>
      <c r="L2095" t="s">
        <v>155</v>
      </c>
      <c r="M2095" t="s">
        <v>37</v>
      </c>
      <c r="N2095" t="s">
        <v>49</v>
      </c>
      <c r="O2095" t="s">
        <v>61</v>
      </c>
      <c r="P2095" t="s">
        <v>40</v>
      </c>
      <c r="Q2095">
        <v>4</v>
      </c>
      <c r="R2095" s="2">
        <v>44918</v>
      </c>
      <c r="S2095">
        <v>4</v>
      </c>
      <c r="T2095">
        <v>4</v>
      </c>
      <c r="U2095">
        <v>2</v>
      </c>
      <c r="V2095" s="1">
        <v>45131</v>
      </c>
      <c r="W2095" t="s">
        <v>62</v>
      </c>
      <c r="X2095" t="s">
        <v>51</v>
      </c>
      <c r="Y2095" t="s">
        <v>63</v>
      </c>
      <c r="Z2095">
        <v>2</v>
      </c>
      <c r="AA2095">
        <v>806.47</v>
      </c>
      <c r="AB2095">
        <v>25</v>
      </c>
    </row>
    <row r="2096" spans="1:28" x14ac:dyDescent="0.2">
      <c r="A2096">
        <v>2618</v>
      </c>
      <c r="B2096" s="1">
        <v>43620</v>
      </c>
      <c r="C2096" t="s">
        <v>138</v>
      </c>
      <c r="D2096" t="s">
        <v>44</v>
      </c>
      <c r="E2096" t="s">
        <v>30</v>
      </c>
      <c r="F2096" t="s">
        <v>46</v>
      </c>
      <c r="G2096" t="s">
        <v>45</v>
      </c>
      <c r="H2096" t="s">
        <v>55</v>
      </c>
      <c r="I2096" t="s">
        <v>132</v>
      </c>
      <c r="J2096" t="s">
        <v>101</v>
      </c>
      <c r="K2096" s="2">
        <v>34658</v>
      </c>
      <c r="L2096" t="s">
        <v>36</v>
      </c>
      <c r="M2096" t="s">
        <v>37</v>
      </c>
      <c r="N2096" t="s">
        <v>38</v>
      </c>
      <c r="O2096" t="s">
        <v>67</v>
      </c>
      <c r="P2096" t="s">
        <v>40</v>
      </c>
      <c r="Q2096">
        <v>4</v>
      </c>
      <c r="R2096" s="2">
        <v>45139</v>
      </c>
      <c r="S2096">
        <v>5</v>
      </c>
      <c r="T2096">
        <v>3</v>
      </c>
      <c r="U2096">
        <v>3</v>
      </c>
      <c r="V2096" s="1">
        <v>44949</v>
      </c>
      <c r="W2096" t="s">
        <v>92</v>
      </c>
      <c r="X2096" t="s">
        <v>42</v>
      </c>
      <c r="Y2096" t="s">
        <v>73</v>
      </c>
      <c r="Z2096">
        <v>3</v>
      </c>
      <c r="AA2096">
        <v>399.63</v>
      </c>
      <c r="AB2096">
        <v>25</v>
      </c>
    </row>
    <row r="2097" spans="1:28" x14ac:dyDescent="0.2">
      <c r="A2097">
        <v>2619</v>
      </c>
      <c r="B2097" s="1">
        <v>43999</v>
      </c>
      <c r="C2097" t="s">
        <v>53</v>
      </c>
      <c r="D2097" t="s">
        <v>74</v>
      </c>
      <c r="E2097" t="s">
        <v>30</v>
      </c>
      <c r="F2097" t="s">
        <v>31</v>
      </c>
      <c r="G2097" t="s">
        <v>45</v>
      </c>
      <c r="H2097" t="s">
        <v>33</v>
      </c>
      <c r="I2097" t="s">
        <v>57</v>
      </c>
      <c r="J2097" t="s">
        <v>70</v>
      </c>
      <c r="K2097" s="2">
        <v>16898</v>
      </c>
      <c r="L2097" t="s">
        <v>36</v>
      </c>
      <c r="M2097" t="s">
        <v>48</v>
      </c>
      <c r="N2097" t="s">
        <v>49</v>
      </c>
      <c r="O2097" t="s">
        <v>77</v>
      </c>
      <c r="P2097" t="s">
        <v>40</v>
      </c>
      <c r="Q2097">
        <v>5</v>
      </c>
      <c r="R2097" s="2">
        <v>45006</v>
      </c>
      <c r="S2097">
        <v>1</v>
      </c>
      <c r="T2097">
        <v>2</v>
      </c>
      <c r="U2097">
        <v>1</v>
      </c>
      <c r="V2097" s="1">
        <v>44925</v>
      </c>
      <c r="W2097" t="s">
        <v>68</v>
      </c>
      <c r="X2097" t="s">
        <v>42</v>
      </c>
      <c r="Y2097" t="s">
        <v>63</v>
      </c>
      <c r="Z2097">
        <v>3</v>
      </c>
      <c r="AA2097">
        <v>440.24</v>
      </c>
      <c r="AB2097">
        <v>74</v>
      </c>
    </row>
    <row r="2098" spans="1:28" x14ac:dyDescent="0.2">
      <c r="A2098">
        <v>2620</v>
      </c>
      <c r="B2098" s="1">
        <v>44259</v>
      </c>
      <c r="C2098" t="s">
        <v>53</v>
      </c>
      <c r="D2098" t="s">
        <v>81</v>
      </c>
      <c r="E2098" t="s">
        <v>30</v>
      </c>
      <c r="F2098" t="s">
        <v>55</v>
      </c>
      <c r="G2098" t="s">
        <v>56</v>
      </c>
      <c r="H2098" t="s">
        <v>55</v>
      </c>
      <c r="I2098" t="s">
        <v>57</v>
      </c>
      <c r="J2098" t="s">
        <v>65</v>
      </c>
      <c r="K2098" s="2">
        <v>26939</v>
      </c>
      <c r="L2098" t="s">
        <v>36</v>
      </c>
      <c r="M2098" t="s">
        <v>48</v>
      </c>
      <c r="N2098" t="s">
        <v>84</v>
      </c>
      <c r="O2098" t="s">
        <v>67</v>
      </c>
      <c r="P2098" t="s">
        <v>40</v>
      </c>
      <c r="Q2098">
        <v>1</v>
      </c>
      <c r="R2098" s="2">
        <v>44961</v>
      </c>
      <c r="S2098">
        <v>4</v>
      </c>
      <c r="T2098">
        <v>3</v>
      </c>
      <c r="U2098">
        <v>4</v>
      </c>
      <c r="V2098" s="1">
        <v>44950</v>
      </c>
      <c r="W2098" t="s">
        <v>92</v>
      </c>
      <c r="X2098" t="s">
        <v>51</v>
      </c>
      <c r="Y2098" t="s">
        <v>73</v>
      </c>
      <c r="Z2098">
        <v>1</v>
      </c>
      <c r="AA2098">
        <v>485.2</v>
      </c>
      <c r="AB2098">
        <v>48</v>
      </c>
    </row>
    <row r="2099" spans="1:28" x14ac:dyDescent="0.2">
      <c r="A2099">
        <v>2621</v>
      </c>
      <c r="B2099" s="1">
        <v>43357</v>
      </c>
      <c r="C2099" t="s">
        <v>53</v>
      </c>
      <c r="D2099" t="s">
        <v>54</v>
      </c>
      <c r="E2099" t="s">
        <v>30</v>
      </c>
      <c r="F2099" t="s">
        <v>46</v>
      </c>
      <c r="G2099" t="s">
        <v>56</v>
      </c>
      <c r="H2099" t="s">
        <v>33</v>
      </c>
      <c r="I2099" t="s">
        <v>57</v>
      </c>
      <c r="J2099" t="s">
        <v>110</v>
      </c>
      <c r="K2099" s="2">
        <v>15559</v>
      </c>
      <c r="L2099" t="s">
        <v>156</v>
      </c>
      <c r="M2099" t="s">
        <v>48</v>
      </c>
      <c r="N2099" t="s">
        <v>38</v>
      </c>
      <c r="O2099" t="s">
        <v>61</v>
      </c>
      <c r="P2099" t="s">
        <v>40</v>
      </c>
      <c r="Q2099">
        <v>2</v>
      </c>
      <c r="R2099" s="2">
        <v>44928</v>
      </c>
      <c r="S2099">
        <v>3</v>
      </c>
      <c r="T2099">
        <v>5</v>
      </c>
      <c r="U2099">
        <v>4</v>
      </c>
      <c r="V2099" s="1">
        <v>44988</v>
      </c>
      <c r="W2099" t="s">
        <v>62</v>
      </c>
      <c r="X2099" t="s">
        <v>42</v>
      </c>
      <c r="Y2099" t="s">
        <v>52</v>
      </c>
      <c r="Z2099">
        <v>2</v>
      </c>
      <c r="AA2099">
        <v>451.56</v>
      </c>
      <c r="AB2099">
        <v>76</v>
      </c>
    </row>
    <row r="2100" spans="1:28" x14ac:dyDescent="0.2">
      <c r="A2100">
        <v>2622</v>
      </c>
      <c r="B2100" s="1">
        <v>44032</v>
      </c>
      <c r="C2100" t="s">
        <v>53</v>
      </c>
      <c r="D2100" t="s">
        <v>69</v>
      </c>
      <c r="E2100" t="s">
        <v>30</v>
      </c>
      <c r="F2100" t="s">
        <v>31</v>
      </c>
      <c r="G2100" t="s">
        <v>56</v>
      </c>
      <c r="H2100" t="s">
        <v>55</v>
      </c>
      <c r="I2100" t="s">
        <v>57</v>
      </c>
      <c r="J2100" t="s">
        <v>82</v>
      </c>
      <c r="K2100" s="2">
        <v>33511</v>
      </c>
      <c r="L2100" t="s">
        <v>156</v>
      </c>
      <c r="M2100" t="s">
        <v>48</v>
      </c>
      <c r="N2100" t="s">
        <v>84</v>
      </c>
      <c r="O2100" t="s">
        <v>39</v>
      </c>
      <c r="P2100" t="s">
        <v>40</v>
      </c>
      <c r="Q2100">
        <v>4</v>
      </c>
      <c r="R2100" s="2">
        <v>44840</v>
      </c>
      <c r="S2100">
        <v>3</v>
      </c>
      <c r="T2100">
        <v>5</v>
      </c>
      <c r="U2100">
        <v>1</v>
      </c>
      <c r="V2100" s="1">
        <v>44903</v>
      </c>
      <c r="W2100" t="s">
        <v>41</v>
      </c>
      <c r="X2100" t="s">
        <v>51</v>
      </c>
      <c r="Y2100" t="s">
        <v>73</v>
      </c>
      <c r="Z2100">
        <v>5</v>
      </c>
      <c r="AA2100">
        <v>159.37</v>
      </c>
      <c r="AB2100">
        <v>29</v>
      </c>
    </row>
    <row r="2101" spans="1:28" x14ac:dyDescent="0.2">
      <c r="A2101">
        <v>2623</v>
      </c>
      <c r="B2101" s="1">
        <v>43972</v>
      </c>
      <c r="C2101" t="s">
        <v>53</v>
      </c>
      <c r="D2101" t="s">
        <v>29</v>
      </c>
      <c r="E2101" t="s">
        <v>30</v>
      </c>
      <c r="F2101" t="s">
        <v>31</v>
      </c>
      <c r="G2101" t="s">
        <v>32</v>
      </c>
      <c r="H2101" t="s">
        <v>55</v>
      </c>
      <c r="I2101" t="s">
        <v>57</v>
      </c>
      <c r="J2101" t="s">
        <v>70</v>
      </c>
      <c r="K2101" s="2">
        <v>19553</v>
      </c>
      <c r="L2101" t="s">
        <v>156</v>
      </c>
      <c r="M2101" t="s">
        <v>48</v>
      </c>
      <c r="N2101" t="s">
        <v>84</v>
      </c>
      <c r="O2101" t="s">
        <v>77</v>
      </c>
      <c r="P2101" t="s">
        <v>40</v>
      </c>
      <c r="Q2101">
        <v>2</v>
      </c>
      <c r="R2101" s="2">
        <v>44875</v>
      </c>
      <c r="S2101">
        <v>2</v>
      </c>
      <c r="T2101">
        <v>5</v>
      </c>
      <c r="U2101">
        <v>3</v>
      </c>
      <c r="V2101" s="1">
        <v>44801</v>
      </c>
      <c r="W2101" t="s">
        <v>41</v>
      </c>
      <c r="X2101" t="s">
        <v>42</v>
      </c>
      <c r="Y2101" t="s">
        <v>52</v>
      </c>
      <c r="Z2101">
        <v>4</v>
      </c>
      <c r="AA2101">
        <v>310.27999999999997</v>
      </c>
      <c r="AB2101">
        <v>67</v>
      </c>
    </row>
    <row r="2102" spans="1:28" x14ac:dyDescent="0.2">
      <c r="A2102">
        <v>2624</v>
      </c>
      <c r="B2102" s="1">
        <v>45088</v>
      </c>
      <c r="C2102" t="s">
        <v>53</v>
      </c>
      <c r="D2102" t="s">
        <v>85</v>
      </c>
      <c r="E2102" t="s">
        <v>30</v>
      </c>
      <c r="F2102" t="s">
        <v>46</v>
      </c>
      <c r="G2102" t="s">
        <v>32</v>
      </c>
      <c r="H2102" t="s">
        <v>33</v>
      </c>
      <c r="I2102" t="s">
        <v>57</v>
      </c>
      <c r="J2102" t="s">
        <v>101</v>
      </c>
      <c r="K2102" s="2">
        <v>30885</v>
      </c>
      <c r="L2102" t="s">
        <v>158</v>
      </c>
      <c r="M2102" t="s">
        <v>48</v>
      </c>
      <c r="N2102" t="s">
        <v>60</v>
      </c>
      <c r="O2102" t="s">
        <v>61</v>
      </c>
      <c r="P2102" t="s">
        <v>40</v>
      </c>
      <c r="Q2102">
        <v>2</v>
      </c>
      <c r="R2102" s="2">
        <v>44950</v>
      </c>
      <c r="S2102">
        <v>1</v>
      </c>
      <c r="T2102">
        <v>4</v>
      </c>
      <c r="U2102">
        <v>3</v>
      </c>
      <c r="V2102" s="1">
        <v>44869</v>
      </c>
      <c r="W2102" t="s">
        <v>50</v>
      </c>
      <c r="X2102" t="s">
        <v>42</v>
      </c>
      <c r="Y2102" t="s">
        <v>52</v>
      </c>
      <c r="Z2102">
        <v>2</v>
      </c>
      <c r="AA2102">
        <v>227.91</v>
      </c>
      <c r="AB2102">
        <v>39</v>
      </c>
    </row>
    <row r="2103" spans="1:28" x14ac:dyDescent="0.2">
      <c r="A2103">
        <v>2625</v>
      </c>
      <c r="B2103" s="1">
        <v>44892</v>
      </c>
      <c r="C2103" t="s">
        <v>53</v>
      </c>
      <c r="D2103" t="s">
        <v>44</v>
      </c>
      <c r="E2103" t="s">
        <v>30</v>
      </c>
      <c r="F2103" t="s">
        <v>55</v>
      </c>
      <c r="G2103" t="s">
        <v>56</v>
      </c>
      <c r="H2103" t="s">
        <v>55</v>
      </c>
      <c r="I2103" t="s">
        <v>57</v>
      </c>
      <c r="J2103" t="s">
        <v>89</v>
      </c>
      <c r="K2103" s="2">
        <v>16019</v>
      </c>
      <c r="L2103" t="s">
        <v>162</v>
      </c>
      <c r="M2103" t="s">
        <v>48</v>
      </c>
      <c r="N2103" t="s">
        <v>84</v>
      </c>
      <c r="O2103" t="s">
        <v>77</v>
      </c>
      <c r="P2103" t="s">
        <v>40</v>
      </c>
      <c r="Q2103">
        <v>2</v>
      </c>
      <c r="R2103" s="2">
        <v>44845</v>
      </c>
      <c r="S2103">
        <v>5</v>
      </c>
      <c r="T2103">
        <v>5</v>
      </c>
      <c r="U2103">
        <v>3</v>
      </c>
      <c r="V2103" s="1">
        <v>44835</v>
      </c>
      <c r="W2103" t="s">
        <v>68</v>
      </c>
      <c r="X2103" t="s">
        <v>42</v>
      </c>
      <c r="Y2103" t="s">
        <v>43</v>
      </c>
      <c r="Z2103">
        <v>3</v>
      </c>
      <c r="AA2103">
        <v>379.25</v>
      </c>
      <c r="AB2103">
        <v>79</v>
      </c>
    </row>
    <row r="2104" spans="1:28" x14ac:dyDescent="0.2">
      <c r="A2104">
        <v>2626</v>
      </c>
      <c r="B2104" s="1">
        <v>43892</v>
      </c>
      <c r="C2104" t="s">
        <v>53</v>
      </c>
      <c r="D2104" t="s">
        <v>87</v>
      </c>
      <c r="E2104" t="s">
        <v>30</v>
      </c>
      <c r="F2104" t="s">
        <v>55</v>
      </c>
      <c r="G2104" t="s">
        <v>32</v>
      </c>
      <c r="H2104" t="s">
        <v>33</v>
      </c>
      <c r="I2104" t="s">
        <v>57</v>
      </c>
      <c r="J2104" t="s">
        <v>96</v>
      </c>
      <c r="K2104" s="2">
        <v>28007</v>
      </c>
      <c r="L2104" t="s">
        <v>162</v>
      </c>
      <c r="M2104" t="s">
        <v>48</v>
      </c>
      <c r="N2104" t="s">
        <v>84</v>
      </c>
      <c r="O2104" t="s">
        <v>39</v>
      </c>
      <c r="P2104" t="s">
        <v>40</v>
      </c>
      <c r="Q2104">
        <v>4</v>
      </c>
      <c r="R2104" s="2">
        <v>44857</v>
      </c>
      <c r="S2104">
        <v>1</v>
      </c>
      <c r="T2104">
        <v>4</v>
      </c>
      <c r="U2104">
        <v>2</v>
      </c>
      <c r="V2104" s="1">
        <v>44931</v>
      </c>
      <c r="W2104" t="s">
        <v>68</v>
      </c>
      <c r="X2104" t="s">
        <v>42</v>
      </c>
      <c r="Y2104" t="s">
        <v>52</v>
      </c>
      <c r="Z2104">
        <v>3</v>
      </c>
      <c r="AA2104">
        <v>197.3</v>
      </c>
      <c r="AB2104">
        <v>44</v>
      </c>
    </row>
    <row r="2105" spans="1:28" x14ac:dyDescent="0.2">
      <c r="A2105">
        <v>2627</v>
      </c>
      <c r="B2105" s="1">
        <v>44955</v>
      </c>
      <c r="C2105" t="s">
        <v>53</v>
      </c>
      <c r="D2105" t="s">
        <v>64</v>
      </c>
      <c r="E2105" t="s">
        <v>30</v>
      </c>
      <c r="F2105" t="s">
        <v>55</v>
      </c>
      <c r="G2105" t="s">
        <v>32</v>
      </c>
      <c r="H2105" t="s">
        <v>46</v>
      </c>
      <c r="I2105" t="s">
        <v>57</v>
      </c>
      <c r="J2105" t="s">
        <v>101</v>
      </c>
      <c r="K2105" s="2">
        <v>33019</v>
      </c>
      <c r="L2105" t="s">
        <v>162</v>
      </c>
      <c r="M2105" t="s">
        <v>48</v>
      </c>
      <c r="N2105" t="s">
        <v>60</v>
      </c>
      <c r="O2105" t="s">
        <v>77</v>
      </c>
      <c r="P2105" t="s">
        <v>40</v>
      </c>
      <c r="Q2105">
        <v>4</v>
      </c>
      <c r="R2105" s="2">
        <v>44788</v>
      </c>
      <c r="S2105">
        <v>5</v>
      </c>
      <c r="T2105">
        <v>3</v>
      </c>
      <c r="U2105">
        <v>3</v>
      </c>
      <c r="V2105" s="1">
        <v>44791</v>
      </c>
      <c r="W2105" t="s">
        <v>50</v>
      </c>
      <c r="X2105" t="s">
        <v>42</v>
      </c>
      <c r="Y2105" t="s">
        <v>63</v>
      </c>
      <c r="Z2105">
        <v>4</v>
      </c>
      <c r="AA2105">
        <v>862.64</v>
      </c>
      <c r="AB2105">
        <v>33</v>
      </c>
    </row>
    <row r="2106" spans="1:28" x14ac:dyDescent="0.2">
      <c r="A2106">
        <v>2628</v>
      </c>
      <c r="B2106" s="1">
        <v>44537</v>
      </c>
      <c r="C2106" t="s">
        <v>53</v>
      </c>
      <c r="D2106" t="s">
        <v>69</v>
      </c>
      <c r="E2106" t="s">
        <v>30</v>
      </c>
      <c r="F2106" t="s">
        <v>46</v>
      </c>
      <c r="G2106" t="s">
        <v>45</v>
      </c>
      <c r="H2106" t="s">
        <v>33</v>
      </c>
      <c r="I2106" t="s">
        <v>57</v>
      </c>
      <c r="J2106" t="s">
        <v>118</v>
      </c>
      <c r="K2106" s="2">
        <v>33561</v>
      </c>
      <c r="L2106" t="s">
        <v>162</v>
      </c>
      <c r="M2106" t="s">
        <v>48</v>
      </c>
      <c r="N2106" t="s">
        <v>49</v>
      </c>
      <c r="O2106" t="s">
        <v>77</v>
      </c>
      <c r="P2106" t="s">
        <v>40</v>
      </c>
      <c r="Q2106">
        <v>2</v>
      </c>
      <c r="R2106" s="2">
        <v>44901</v>
      </c>
      <c r="S2106">
        <v>5</v>
      </c>
      <c r="T2106">
        <v>4</v>
      </c>
      <c r="U2106">
        <v>2</v>
      </c>
      <c r="V2106" s="1">
        <v>44809</v>
      </c>
      <c r="W2106" t="s">
        <v>68</v>
      </c>
      <c r="X2106" t="s">
        <v>42</v>
      </c>
      <c r="Y2106" t="s">
        <v>73</v>
      </c>
      <c r="Z2106">
        <v>1</v>
      </c>
      <c r="AA2106">
        <v>896.12</v>
      </c>
      <c r="AB2106">
        <v>30</v>
      </c>
    </row>
    <row r="2107" spans="1:28" x14ac:dyDescent="0.2">
      <c r="A2107">
        <v>2629</v>
      </c>
      <c r="B2107" s="1">
        <v>45004</v>
      </c>
      <c r="C2107" t="s">
        <v>53</v>
      </c>
      <c r="D2107" t="s">
        <v>29</v>
      </c>
      <c r="E2107" t="s">
        <v>30</v>
      </c>
      <c r="F2107" t="s">
        <v>31</v>
      </c>
      <c r="G2107" t="s">
        <v>56</v>
      </c>
      <c r="H2107" t="s">
        <v>33</v>
      </c>
      <c r="I2107" t="s">
        <v>57</v>
      </c>
      <c r="J2107" t="s">
        <v>111</v>
      </c>
      <c r="K2107" s="2">
        <v>27429</v>
      </c>
      <c r="L2107" t="s">
        <v>153</v>
      </c>
      <c r="M2107" t="s">
        <v>48</v>
      </c>
      <c r="N2107" t="s">
        <v>38</v>
      </c>
      <c r="O2107" t="s">
        <v>61</v>
      </c>
      <c r="P2107" t="s">
        <v>40</v>
      </c>
      <c r="Q2107">
        <v>1</v>
      </c>
      <c r="R2107" s="2">
        <v>44858</v>
      </c>
      <c r="S2107">
        <v>1</v>
      </c>
      <c r="T2107">
        <v>5</v>
      </c>
      <c r="U2107">
        <v>4</v>
      </c>
      <c r="V2107" s="1">
        <v>44931</v>
      </c>
      <c r="W2107" t="s">
        <v>92</v>
      </c>
      <c r="X2107" t="s">
        <v>51</v>
      </c>
      <c r="Y2107" t="s">
        <v>63</v>
      </c>
      <c r="Z2107">
        <v>4</v>
      </c>
      <c r="AA2107">
        <v>750.65</v>
      </c>
      <c r="AB2107">
        <v>48</v>
      </c>
    </row>
    <row r="2108" spans="1:28" x14ac:dyDescent="0.2">
      <c r="A2108">
        <v>2630</v>
      </c>
      <c r="B2108" s="1">
        <v>44722</v>
      </c>
      <c r="C2108" t="s">
        <v>53</v>
      </c>
      <c r="D2108" t="s">
        <v>44</v>
      </c>
      <c r="E2108" t="s">
        <v>30</v>
      </c>
      <c r="F2108" t="s">
        <v>46</v>
      </c>
      <c r="G2108" t="s">
        <v>56</v>
      </c>
      <c r="H2108" t="s">
        <v>55</v>
      </c>
      <c r="I2108" t="s">
        <v>57</v>
      </c>
      <c r="J2108" t="s">
        <v>70</v>
      </c>
      <c r="K2108" s="2">
        <v>34642</v>
      </c>
      <c r="L2108" t="s">
        <v>153</v>
      </c>
      <c r="M2108" t="s">
        <v>48</v>
      </c>
      <c r="N2108" t="s">
        <v>84</v>
      </c>
      <c r="O2108" t="s">
        <v>39</v>
      </c>
      <c r="P2108" t="s">
        <v>40</v>
      </c>
      <c r="Q2108">
        <v>5</v>
      </c>
      <c r="R2108" s="2">
        <v>44808</v>
      </c>
      <c r="S2108">
        <v>1</v>
      </c>
      <c r="T2108">
        <v>5</v>
      </c>
      <c r="U2108">
        <v>4</v>
      </c>
      <c r="V2108" s="1">
        <v>44811</v>
      </c>
      <c r="W2108" t="s">
        <v>68</v>
      </c>
      <c r="X2108" t="s">
        <v>51</v>
      </c>
      <c r="Y2108" t="s">
        <v>52</v>
      </c>
      <c r="Z2108">
        <v>4</v>
      </c>
      <c r="AA2108">
        <v>424.19</v>
      </c>
      <c r="AB2108">
        <v>28</v>
      </c>
    </row>
    <row r="2109" spans="1:28" x14ac:dyDescent="0.2">
      <c r="A2109">
        <v>2631</v>
      </c>
      <c r="B2109" s="1">
        <v>44258</v>
      </c>
      <c r="C2109" t="s">
        <v>53</v>
      </c>
      <c r="D2109" t="s">
        <v>87</v>
      </c>
      <c r="E2109" t="s">
        <v>30</v>
      </c>
      <c r="F2109" t="s">
        <v>55</v>
      </c>
      <c r="G2109" t="s">
        <v>32</v>
      </c>
      <c r="H2109" t="s">
        <v>55</v>
      </c>
      <c r="I2109" t="s">
        <v>57</v>
      </c>
      <c r="J2109" t="s">
        <v>102</v>
      </c>
      <c r="K2109" s="2">
        <v>35894</v>
      </c>
      <c r="L2109" t="s">
        <v>153</v>
      </c>
      <c r="M2109" t="s">
        <v>37</v>
      </c>
      <c r="N2109" t="s">
        <v>72</v>
      </c>
      <c r="O2109" t="s">
        <v>39</v>
      </c>
      <c r="P2109" t="s">
        <v>40</v>
      </c>
      <c r="Q2109">
        <v>2</v>
      </c>
      <c r="R2109" s="2">
        <v>44934</v>
      </c>
      <c r="S2109">
        <v>5</v>
      </c>
      <c r="T2109">
        <v>1</v>
      </c>
      <c r="U2109">
        <v>4</v>
      </c>
      <c r="V2109" s="1">
        <v>44845</v>
      </c>
      <c r="W2109" t="s">
        <v>50</v>
      </c>
      <c r="X2109" t="s">
        <v>51</v>
      </c>
      <c r="Y2109" t="s">
        <v>52</v>
      </c>
      <c r="Z2109">
        <v>4</v>
      </c>
      <c r="AA2109">
        <v>775.32</v>
      </c>
      <c r="AB2109">
        <v>23</v>
      </c>
    </row>
    <row r="2110" spans="1:28" x14ac:dyDescent="0.2">
      <c r="A2110">
        <v>2632</v>
      </c>
      <c r="B2110" s="1">
        <v>44626</v>
      </c>
      <c r="C2110" t="s">
        <v>137</v>
      </c>
      <c r="D2110" t="s">
        <v>81</v>
      </c>
      <c r="E2110" t="s">
        <v>30</v>
      </c>
      <c r="F2110" t="s">
        <v>31</v>
      </c>
      <c r="G2110" t="s">
        <v>32</v>
      </c>
      <c r="H2110" t="s">
        <v>46</v>
      </c>
      <c r="I2110" t="s">
        <v>57</v>
      </c>
      <c r="J2110" t="s">
        <v>70</v>
      </c>
      <c r="K2110" s="2">
        <v>27687</v>
      </c>
      <c r="L2110" t="s">
        <v>155</v>
      </c>
      <c r="M2110" t="s">
        <v>37</v>
      </c>
      <c r="N2110" t="s">
        <v>49</v>
      </c>
      <c r="O2110" t="s">
        <v>77</v>
      </c>
      <c r="P2110" t="s">
        <v>40</v>
      </c>
      <c r="Q2110">
        <v>4</v>
      </c>
      <c r="R2110" s="2">
        <v>45114</v>
      </c>
      <c r="S2110">
        <v>1</v>
      </c>
      <c r="T2110">
        <v>4</v>
      </c>
      <c r="U2110">
        <v>2</v>
      </c>
      <c r="V2110" s="1">
        <v>45035</v>
      </c>
      <c r="W2110" t="s">
        <v>50</v>
      </c>
      <c r="X2110" t="s">
        <v>51</v>
      </c>
      <c r="Y2110" t="s">
        <v>52</v>
      </c>
      <c r="Z2110">
        <v>2</v>
      </c>
      <c r="AA2110">
        <v>209.47</v>
      </c>
      <c r="AB2110">
        <v>47</v>
      </c>
    </row>
    <row r="2111" spans="1:28" x14ac:dyDescent="0.2">
      <c r="A2111">
        <v>2633</v>
      </c>
      <c r="B2111" s="1">
        <v>44781</v>
      </c>
      <c r="C2111" t="s">
        <v>137</v>
      </c>
      <c r="D2111" t="s">
        <v>54</v>
      </c>
      <c r="E2111" t="s">
        <v>30</v>
      </c>
      <c r="F2111" t="s">
        <v>46</v>
      </c>
      <c r="G2111" t="s">
        <v>32</v>
      </c>
      <c r="H2111" t="s">
        <v>55</v>
      </c>
      <c r="I2111" t="s">
        <v>57</v>
      </c>
      <c r="J2111" t="s">
        <v>96</v>
      </c>
      <c r="K2111" s="2">
        <v>31299</v>
      </c>
      <c r="L2111" t="s">
        <v>155</v>
      </c>
      <c r="M2111" t="s">
        <v>37</v>
      </c>
      <c r="N2111" t="s">
        <v>38</v>
      </c>
      <c r="O2111" t="s">
        <v>61</v>
      </c>
      <c r="P2111" t="s">
        <v>40</v>
      </c>
      <c r="Q2111">
        <v>5</v>
      </c>
      <c r="R2111" s="2">
        <v>45108</v>
      </c>
      <c r="S2111">
        <v>5</v>
      </c>
      <c r="T2111">
        <v>2</v>
      </c>
      <c r="U2111">
        <v>3</v>
      </c>
      <c r="V2111" s="1">
        <v>44966</v>
      </c>
      <c r="W2111" t="s">
        <v>62</v>
      </c>
      <c r="X2111" t="s">
        <v>42</v>
      </c>
      <c r="Y2111" t="s">
        <v>63</v>
      </c>
      <c r="Z2111">
        <v>2</v>
      </c>
      <c r="AA2111">
        <v>859.39</v>
      </c>
      <c r="AB2111">
        <v>37</v>
      </c>
    </row>
    <row r="2112" spans="1:28" x14ac:dyDescent="0.2">
      <c r="A2112">
        <v>2634</v>
      </c>
      <c r="B2112" s="1">
        <v>44997</v>
      </c>
      <c r="C2112" t="s">
        <v>137</v>
      </c>
      <c r="D2112" t="s">
        <v>94</v>
      </c>
      <c r="E2112" t="s">
        <v>30</v>
      </c>
      <c r="F2112" t="s">
        <v>46</v>
      </c>
      <c r="G2112" t="s">
        <v>56</v>
      </c>
      <c r="H2112" t="s">
        <v>33</v>
      </c>
      <c r="I2112" t="s">
        <v>57</v>
      </c>
      <c r="J2112" t="s">
        <v>70</v>
      </c>
      <c r="K2112" s="2">
        <v>15753</v>
      </c>
      <c r="L2112" t="s">
        <v>155</v>
      </c>
      <c r="M2112" t="s">
        <v>37</v>
      </c>
      <c r="N2112" t="s">
        <v>84</v>
      </c>
      <c r="O2112" t="s">
        <v>61</v>
      </c>
      <c r="P2112" t="s">
        <v>40</v>
      </c>
      <c r="Q2112">
        <v>4</v>
      </c>
      <c r="R2112" s="2">
        <v>44907</v>
      </c>
      <c r="S2112">
        <v>3</v>
      </c>
      <c r="T2112">
        <v>5</v>
      </c>
      <c r="U2112">
        <v>3</v>
      </c>
      <c r="V2112" s="1">
        <v>45072</v>
      </c>
      <c r="W2112" t="s">
        <v>62</v>
      </c>
      <c r="X2112" t="s">
        <v>51</v>
      </c>
      <c r="Y2112" t="s">
        <v>63</v>
      </c>
      <c r="Z2112">
        <v>1</v>
      </c>
      <c r="AA2112">
        <v>532.85</v>
      </c>
      <c r="AB2112">
        <v>80</v>
      </c>
    </row>
    <row r="2113" spans="1:28" x14ac:dyDescent="0.2">
      <c r="A2113">
        <v>2635</v>
      </c>
      <c r="B2113" s="1">
        <v>43586</v>
      </c>
      <c r="C2113" t="s">
        <v>138</v>
      </c>
      <c r="D2113" t="s">
        <v>85</v>
      </c>
      <c r="E2113" t="s">
        <v>30</v>
      </c>
      <c r="F2113" t="s">
        <v>55</v>
      </c>
      <c r="G2113" t="s">
        <v>56</v>
      </c>
      <c r="H2113" t="s">
        <v>33</v>
      </c>
      <c r="I2113" t="s">
        <v>132</v>
      </c>
      <c r="J2113" t="s">
        <v>65</v>
      </c>
      <c r="K2113" s="2">
        <v>21027</v>
      </c>
      <c r="L2113" t="s">
        <v>36</v>
      </c>
      <c r="M2113" t="s">
        <v>37</v>
      </c>
      <c r="N2113" t="s">
        <v>84</v>
      </c>
      <c r="O2113" t="s">
        <v>77</v>
      </c>
      <c r="P2113" t="s">
        <v>40</v>
      </c>
      <c r="Q2113">
        <v>1</v>
      </c>
      <c r="R2113" s="2">
        <v>45098</v>
      </c>
      <c r="S2113">
        <v>3</v>
      </c>
      <c r="T2113">
        <v>1</v>
      </c>
      <c r="U2113">
        <v>3</v>
      </c>
      <c r="V2113" s="1">
        <v>44960</v>
      </c>
      <c r="W2113" t="s">
        <v>92</v>
      </c>
      <c r="X2113" t="s">
        <v>51</v>
      </c>
      <c r="Y2113" t="s">
        <v>73</v>
      </c>
      <c r="Z2113">
        <v>2</v>
      </c>
      <c r="AA2113">
        <v>136.6</v>
      </c>
      <c r="AB2113">
        <v>62</v>
      </c>
    </row>
    <row r="2114" spans="1:28" x14ac:dyDescent="0.2">
      <c r="A2114">
        <v>2636</v>
      </c>
      <c r="B2114" s="1">
        <v>43356</v>
      </c>
      <c r="C2114" t="s">
        <v>53</v>
      </c>
      <c r="D2114" t="s">
        <v>94</v>
      </c>
      <c r="E2114" t="s">
        <v>30</v>
      </c>
      <c r="F2114" t="s">
        <v>55</v>
      </c>
      <c r="G2114" t="s">
        <v>56</v>
      </c>
      <c r="H2114" t="s">
        <v>33</v>
      </c>
      <c r="I2114" t="s">
        <v>57</v>
      </c>
      <c r="J2114" t="s">
        <v>75</v>
      </c>
      <c r="K2114" s="2">
        <v>25892</v>
      </c>
      <c r="L2114" t="s">
        <v>36</v>
      </c>
      <c r="M2114" t="s">
        <v>48</v>
      </c>
      <c r="N2114" t="s">
        <v>84</v>
      </c>
      <c r="O2114" t="s">
        <v>67</v>
      </c>
      <c r="P2114" t="s">
        <v>40</v>
      </c>
      <c r="Q2114">
        <v>5</v>
      </c>
      <c r="R2114" s="2">
        <v>44915</v>
      </c>
      <c r="S2114">
        <v>5</v>
      </c>
      <c r="T2114">
        <v>3</v>
      </c>
      <c r="U2114">
        <v>3</v>
      </c>
      <c r="V2114" s="1">
        <v>45121</v>
      </c>
      <c r="W2114" t="s">
        <v>92</v>
      </c>
      <c r="X2114" t="s">
        <v>42</v>
      </c>
      <c r="Y2114" t="s">
        <v>73</v>
      </c>
      <c r="Z2114">
        <v>4</v>
      </c>
      <c r="AA2114">
        <v>483.54</v>
      </c>
      <c r="AB2114">
        <v>48</v>
      </c>
    </row>
    <row r="2115" spans="1:28" x14ac:dyDescent="0.2">
      <c r="A2115">
        <v>2637</v>
      </c>
      <c r="B2115" s="1">
        <v>44881</v>
      </c>
      <c r="C2115" t="s">
        <v>53</v>
      </c>
      <c r="D2115" t="s">
        <v>74</v>
      </c>
      <c r="E2115" t="s">
        <v>30</v>
      </c>
      <c r="F2115" t="s">
        <v>31</v>
      </c>
      <c r="G2115" t="s">
        <v>45</v>
      </c>
      <c r="H2115" t="s">
        <v>33</v>
      </c>
      <c r="I2115" t="s">
        <v>57</v>
      </c>
      <c r="J2115" t="s">
        <v>96</v>
      </c>
      <c r="K2115" s="2">
        <v>24749</v>
      </c>
      <c r="L2115" t="s">
        <v>36</v>
      </c>
      <c r="M2115" t="s">
        <v>48</v>
      </c>
      <c r="N2115" t="s">
        <v>84</v>
      </c>
      <c r="O2115" t="s">
        <v>77</v>
      </c>
      <c r="P2115" t="s">
        <v>40</v>
      </c>
      <c r="Q2115">
        <v>5</v>
      </c>
      <c r="R2115" s="2">
        <v>45104</v>
      </c>
      <c r="S2115">
        <v>2</v>
      </c>
      <c r="T2115">
        <v>2</v>
      </c>
      <c r="U2115">
        <v>2</v>
      </c>
      <c r="V2115" s="1">
        <v>45040</v>
      </c>
      <c r="W2115" t="s">
        <v>92</v>
      </c>
      <c r="X2115" t="s">
        <v>42</v>
      </c>
      <c r="Y2115" t="s">
        <v>63</v>
      </c>
      <c r="Z2115">
        <v>1</v>
      </c>
      <c r="AA2115">
        <v>709.79</v>
      </c>
      <c r="AB2115">
        <v>55</v>
      </c>
    </row>
    <row r="2116" spans="1:28" x14ac:dyDescent="0.2">
      <c r="A2116">
        <v>2638</v>
      </c>
      <c r="B2116" s="1">
        <v>44520</v>
      </c>
      <c r="C2116" t="s">
        <v>53</v>
      </c>
      <c r="D2116" t="s">
        <v>81</v>
      </c>
      <c r="E2116" t="s">
        <v>30</v>
      </c>
      <c r="F2116" t="s">
        <v>31</v>
      </c>
      <c r="G2116" t="s">
        <v>56</v>
      </c>
      <c r="H2116" t="s">
        <v>55</v>
      </c>
      <c r="I2116" t="s">
        <v>57</v>
      </c>
      <c r="J2116" t="s">
        <v>102</v>
      </c>
      <c r="K2116" s="2">
        <v>20830</v>
      </c>
      <c r="L2116" t="s">
        <v>156</v>
      </c>
      <c r="M2116" t="s">
        <v>48</v>
      </c>
      <c r="N2116" t="s">
        <v>84</v>
      </c>
      <c r="O2116" t="s">
        <v>77</v>
      </c>
      <c r="P2116" t="s">
        <v>40</v>
      </c>
      <c r="Q2116">
        <v>2</v>
      </c>
      <c r="R2116" s="2">
        <v>45044</v>
      </c>
      <c r="S2116">
        <v>1</v>
      </c>
      <c r="T2116">
        <v>2</v>
      </c>
      <c r="U2116">
        <v>2</v>
      </c>
      <c r="V2116" s="1">
        <v>45074</v>
      </c>
      <c r="W2116" t="s">
        <v>68</v>
      </c>
      <c r="X2116" t="s">
        <v>51</v>
      </c>
      <c r="Y2116" t="s">
        <v>73</v>
      </c>
      <c r="Z2116">
        <v>2</v>
      </c>
      <c r="AA2116">
        <v>152.85</v>
      </c>
      <c r="AB2116">
        <v>64</v>
      </c>
    </row>
    <row r="2117" spans="1:28" x14ac:dyDescent="0.2">
      <c r="A2117">
        <v>2639</v>
      </c>
      <c r="B2117" s="1">
        <v>44103</v>
      </c>
      <c r="C2117" t="s">
        <v>53</v>
      </c>
      <c r="D2117" t="s">
        <v>54</v>
      </c>
      <c r="E2117" t="s">
        <v>30</v>
      </c>
      <c r="F2117" t="s">
        <v>46</v>
      </c>
      <c r="G2117" t="s">
        <v>32</v>
      </c>
      <c r="H2117" t="s">
        <v>33</v>
      </c>
      <c r="I2117" t="s">
        <v>57</v>
      </c>
      <c r="J2117" t="s">
        <v>96</v>
      </c>
      <c r="K2117" s="2">
        <v>27659</v>
      </c>
      <c r="L2117" t="s">
        <v>156</v>
      </c>
      <c r="M2117" t="s">
        <v>48</v>
      </c>
      <c r="N2117" t="s">
        <v>84</v>
      </c>
      <c r="O2117" t="s">
        <v>67</v>
      </c>
      <c r="P2117" t="s">
        <v>40</v>
      </c>
      <c r="Q2117">
        <v>2</v>
      </c>
      <c r="R2117" s="2">
        <v>44957</v>
      </c>
      <c r="S2117">
        <v>1</v>
      </c>
      <c r="T2117">
        <v>3</v>
      </c>
      <c r="U2117">
        <v>3</v>
      </c>
      <c r="V2117" s="1">
        <v>44976</v>
      </c>
      <c r="W2117" t="s">
        <v>62</v>
      </c>
      <c r="X2117" t="s">
        <v>42</v>
      </c>
      <c r="Y2117" t="s">
        <v>63</v>
      </c>
      <c r="Z2117">
        <v>4</v>
      </c>
      <c r="AA2117">
        <v>977.29</v>
      </c>
      <c r="AB2117">
        <v>45</v>
      </c>
    </row>
    <row r="2118" spans="1:28" x14ac:dyDescent="0.2">
      <c r="A2118">
        <v>2640</v>
      </c>
      <c r="B2118" s="1">
        <v>44436</v>
      </c>
      <c r="C2118" t="s">
        <v>53</v>
      </c>
      <c r="D2118" t="s">
        <v>69</v>
      </c>
      <c r="E2118" t="s">
        <v>30</v>
      </c>
      <c r="F2118" t="s">
        <v>31</v>
      </c>
      <c r="G2118" t="s">
        <v>56</v>
      </c>
      <c r="H2118" t="s">
        <v>55</v>
      </c>
      <c r="I2118" t="s">
        <v>57</v>
      </c>
      <c r="J2118" t="s">
        <v>101</v>
      </c>
      <c r="K2118" s="2">
        <v>22956</v>
      </c>
      <c r="L2118" t="s">
        <v>156</v>
      </c>
      <c r="M2118" t="s">
        <v>48</v>
      </c>
      <c r="N2118" t="s">
        <v>72</v>
      </c>
      <c r="O2118" t="s">
        <v>61</v>
      </c>
      <c r="P2118" t="s">
        <v>40</v>
      </c>
      <c r="Q2118">
        <v>4</v>
      </c>
      <c r="R2118" s="2">
        <v>45124</v>
      </c>
      <c r="S2118">
        <v>1</v>
      </c>
      <c r="T2118">
        <v>5</v>
      </c>
      <c r="U2118">
        <v>2</v>
      </c>
      <c r="V2118" s="1">
        <v>44977</v>
      </c>
      <c r="W2118" t="s">
        <v>62</v>
      </c>
      <c r="X2118" t="s">
        <v>42</v>
      </c>
      <c r="Y2118" t="s">
        <v>43</v>
      </c>
      <c r="Z2118">
        <v>4</v>
      </c>
      <c r="AA2118">
        <v>237.14</v>
      </c>
      <c r="AB2118">
        <v>59</v>
      </c>
    </row>
    <row r="2119" spans="1:28" x14ac:dyDescent="0.2">
      <c r="A2119">
        <v>2641</v>
      </c>
      <c r="B2119" s="1">
        <v>44314</v>
      </c>
      <c r="C2119" t="s">
        <v>53</v>
      </c>
      <c r="D2119" t="s">
        <v>29</v>
      </c>
      <c r="E2119" t="s">
        <v>30</v>
      </c>
      <c r="F2119" t="s">
        <v>55</v>
      </c>
      <c r="G2119" t="s">
        <v>45</v>
      </c>
      <c r="H2119" t="s">
        <v>55</v>
      </c>
      <c r="I2119" t="s">
        <v>57</v>
      </c>
      <c r="J2119" t="s">
        <v>47</v>
      </c>
      <c r="K2119" s="2">
        <v>27595</v>
      </c>
      <c r="L2119" t="s">
        <v>156</v>
      </c>
      <c r="M2119" t="s">
        <v>48</v>
      </c>
      <c r="N2119" t="s">
        <v>84</v>
      </c>
      <c r="O2119" t="s">
        <v>67</v>
      </c>
      <c r="P2119" t="s">
        <v>40</v>
      </c>
      <c r="Q2119">
        <v>2</v>
      </c>
      <c r="R2119" s="2">
        <v>44890</v>
      </c>
      <c r="S2119">
        <v>2</v>
      </c>
      <c r="T2119">
        <v>3</v>
      </c>
      <c r="U2119">
        <v>5</v>
      </c>
      <c r="V2119" s="1">
        <v>44798</v>
      </c>
      <c r="W2119" t="s">
        <v>68</v>
      </c>
      <c r="X2119" t="s">
        <v>42</v>
      </c>
      <c r="Y2119" t="s">
        <v>73</v>
      </c>
      <c r="Z2119">
        <v>5</v>
      </c>
      <c r="AA2119">
        <v>637.84</v>
      </c>
      <c r="AB2119">
        <v>46</v>
      </c>
    </row>
    <row r="2120" spans="1:28" x14ac:dyDescent="0.2">
      <c r="A2120">
        <v>2642</v>
      </c>
      <c r="B2120" s="1">
        <v>44727</v>
      </c>
      <c r="C2120" t="s">
        <v>53</v>
      </c>
      <c r="D2120" t="s">
        <v>85</v>
      </c>
      <c r="E2120" t="s">
        <v>30</v>
      </c>
      <c r="F2120" t="s">
        <v>55</v>
      </c>
      <c r="G2120" t="s">
        <v>32</v>
      </c>
      <c r="H2120" t="s">
        <v>55</v>
      </c>
      <c r="I2120" t="s">
        <v>57</v>
      </c>
      <c r="J2120" t="s">
        <v>70</v>
      </c>
      <c r="K2120" s="2">
        <v>18792</v>
      </c>
      <c r="L2120" t="s">
        <v>158</v>
      </c>
      <c r="M2120" t="s">
        <v>48</v>
      </c>
      <c r="N2120" t="s">
        <v>84</v>
      </c>
      <c r="O2120" t="s">
        <v>77</v>
      </c>
      <c r="P2120" t="s">
        <v>40</v>
      </c>
      <c r="Q2120">
        <v>4</v>
      </c>
      <c r="R2120" s="2">
        <v>44904</v>
      </c>
      <c r="S2120">
        <v>2</v>
      </c>
      <c r="T2120">
        <v>3</v>
      </c>
      <c r="U2120">
        <v>1</v>
      </c>
      <c r="V2120" s="1">
        <v>45108</v>
      </c>
      <c r="W2120" t="s">
        <v>62</v>
      </c>
      <c r="X2120" t="s">
        <v>42</v>
      </c>
      <c r="Y2120" t="s">
        <v>63</v>
      </c>
      <c r="Z2120">
        <v>1</v>
      </c>
      <c r="AA2120">
        <v>889.73</v>
      </c>
      <c r="AB2120">
        <v>71</v>
      </c>
    </row>
    <row r="2121" spans="1:28" x14ac:dyDescent="0.2">
      <c r="A2121">
        <v>2643</v>
      </c>
      <c r="B2121" s="1">
        <v>44666</v>
      </c>
      <c r="C2121" t="s">
        <v>53</v>
      </c>
      <c r="D2121" t="s">
        <v>44</v>
      </c>
      <c r="E2121" t="s">
        <v>30</v>
      </c>
      <c r="F2121" t="s">
        <v>55</v>
      </c>
      <c r="G2121" t="s">
        <v>45</v>
      </c>
      <c r="H2121" t="s">
        <v>33</v>
      </c>
      <c r="I2121" t="s">
        <v>57</v>
      </c>
      <c r="J2121" t="s">
        <v>101</v>
      </c>
      <c r="K2121" s="2">
        <v>24465</v>
      </c>
      <c r="L2121" t="s">
        <v>162</v>
      </c>
      <c r="M2121" t="s">
        <v>48</v>
      </c>
      <c r="N2121" t="s">
        <v>72</v>
      </c>
      <c r="O2121" t="s">
        <v>77</v>
      </c>
      <c r="P2121" t="s">
        <v>40</v>
      </c>
      <c r="Q2121">
        <v>5</v>
      </c>
      <c r="R2121" s="2">
        <v>45047</v>
      </c>
      <c r="S2121">
        <v>4</v>
      </c>
      <c r="T2121">
        <v>3</v>
      </c>
      <c r="U2121">
        <v>5</v>
      </c>
      <c r="V2121" s="1">
        <v>45092</v>
      </c>
      <c r="W2121" t="s">
        <v>62</v>
      </c>
      <c r="X2121" t="s">
        <v>42</v>
      </c>
      <c r="Y2121" t="s">
        <v>43</v>
      </c>
      <c r="Z2121">
        <v>2</v>
      </c>
      <c r="AA2121">
        <v>357.94</v>
      </c>
      <c r="AB2121">
        <v>56</v>
      </c>
    </row>
    <row r="2122" spans="1:28" x14ac:dyDescent="0.2">
      <c r="A2122">
        <v>2644</v>
      </c>
      <c r="B2122" s="1">
        <v>44031</v>
      </c>
      <c r="C2122" t="s">
        <v>53</v>
      </c>
      <c r="D2122" t="s">
        <v>87</v>
      </c>
      <c r="E2122" t="s">
        <v>30</v>
      </c>
      <c r="F2122" t="s">
        <v>55</v>
      </c>
      <c r="G2122" t="s">
        <v>32</v>
      </c>
      <c r="H2122" t="s">
        <v>46</v>
      </c>
      <c r="I2122" t="s">
        <v>57</v>
      </c>
      <c r="J2122" t="s">
        <v>47</v>
      </c>
      <c r="K2122" s="2">
        <v>36183</v>
      </c>
      <c r="L2122" t="s">
        <v>162</v>
      </c>
      <c r="M2122" t="s">
        <v>48</v>
      </c>
      <c r="N2122" t="s">
        <v>60</v>
      </c>
      <c r="O2122" t="s">
        <v>61</v>
      </c>
      <c r="P2122" t="s">
        <v>40</v>
      </c>
      <c r="Q2122">
        <v>5</v>
      </c>
      <c r="R2122" s="2">
        <v>44887</v>
      </c>
      <c r="S2122">
        <v>4</v>
      </c>
      <c r="T2122">
        <v>1</v>
      </c>
      <c r="U2122">
        <v>2</v>
      </c>
      <c r="V2122" s="1">
        <v>45017</v>
      </c>
      <c r="W2122" t="s">
        <v>50</v>
      </c>
      <c r="X2122" t="s">
        <v>42</v>
      </c>
      <c r="Y2122" t="s">
        <v>52</v>
      </c>
      <c r="Z2122">
        <v>1</v>
      </c>
      <c r="AA2122">
        <v>150.96</v>
      </c>
      <c r="AB2122">
        <v>21</v>
      </c>
    </row>
    <row r="2123" spans="1:28" x14ac:dyDescent="0.2">
      <c r="A2123">
        <v>2645</v>
      </c>
      <c r="B2123" s="1">
        <v>44014</v>
      </c>
      <c r="C2123" t="s">
        <v>53</v>
      </c>
      <c r="D2123" t="s">
        <v>64</v>
      </c>
      <c r="E2123" t="s">
        <v>30</v>
      </c>
      <c r="F2123" t="s">
        <v>31</v>
      </c>
      <c r="G2123" t="s">
        <v>32</v>
      </c>
      <c r="H2123" t="s">
        <v>33</v>
      </c>
      <c r="I2123" t="s">
        <v>57</v>
      </c>
      <c r="J2123" t="s">
        <v>101</v>
      </c>
      <c r="K2123" s="2">
        <v>17345</v>
      </c>
      <c r="L2123" t="s">
        <v>162</v>
      </c>
      <c r="M2123" t="s">
        <v>48</v>
      </c>
      <c r="N2123" t="s">
        <v>84</v>
      </c>
      <c r="O2123" t="s">
        <v>67</v>
      </c>
      <c r="P2123" t="s">
        <v>40</v>
      </c>
      <c r="Q2123">
        <v>4</v>
      </c>
      <c r="R2123" s="2">
        <v>44859</v>
      </c>
      <c r="S2123">
        <v>4</v>
      </c>
      <c r="T2123">
        <v>3</v>
      </c>
      <c r="U2123">
        <v>5</v>
      </c>
      <c r="V2123" s="1">
        <v>44867</v>
      </c>
      <c r="W2123" t="s">
        <v>68</v>
      </c>
      <c r="X2123" t="s">
        <v>42</v>
      </c>
      <c r="Y2123" t="s">
        <v>63</v>
      </c>
      <c r="Z2123">
        <v>2</v>
      </c>
      <c r="AA2123">
        <v>933.2</v>
      </c>
      <c r="AB2123">
        <v>73</v>
      </c>
    </row>
    <row r="2124" spans="1:28" x14ac:dyDescent="0.2">
      <c r="A2124">
        <v>2646</v>
      </c>
      <c r="B2124" s="1">
        <v>43681</v>
      </c>
      <c r="C2124" t="s">
        <v>53</v>
      </c>
      <c r="D2124" t="s">
        <v>94</v>
      </c>
      <c r="E2124" t="s">
        <v>30</v>
      </c>
      <c r="F2124" t="s">
        <v>31</v>
      </c>
      <c r="G2124" t="s">
        <v>45</v>
      </c>
      <c r="H2124" t="s">
        <v>46</v>
      </c>
      <c r="I2124" t="s">
        <v>57</v>
      </c>
      <c r="J2124" t="s">
        <v>96</v>
      </c>
      <c r="K2124" s="2">
        <v>37059</v>
      </c>
      <c r="L2124" t="s">
        <v>153</v>
      </c>
      <c r="M2124" t="s">
        <v>48</v>
      </c>
      <c r="N2124" t="s">
        <v>72</v>
      </c>
      <c r="O2124" t="s">
        <v>39</v>
      </c>
      <c r="P2124" t="s">
        <v>40</v>
      </c>
      <c r="Q2124">
        <v>1</v>
      </c>
      <c r="R2124" s="2">
        <v>44909</v>
      </c>
      <c r="S2124">
        <v>4</v>
      </c>
      <c r="T2124">
        <v>2</v>
      </c>
      <c r="U2124">
        <v>2</v>
      </c>
      <c r="V2124" s="1">
        <v>45122</v>
      </c>
      <c r="W2124" t="s">
        <v>62</v>
      </c>
      <c r="X2124" t="s">
        <v>51</v>
      </c>
      <c r="Y2124" t="s">
        <v>43</v>
      </c>
      <c r="Z2124">
        <v>3</v>
      </c>
      <c r="AA2124">
        <v>378.6</v>
      </c>
      <c r="AB2124">
        <v>18</v>
      </c>
    </row>
    <row r="2125" spans="1:28" x14ac:dyDescent="0.2">
      <c r="A2125">
        <v>2647</v>
      </c>
      <c r="B2125" s="1">
        <v>43474</v>
      </c>
      <c r="C2125" t="s">
        <v>53</v>
      </c>
      <c r="D2125" t="s">
        <v>74</v>
      </c>
      <c r="E2125" t="s">
        <v>30</v>
      </c>
      <c r="F2125" t="s">
        <v>31</v>
      </c>
      <c r="G2125" t="s">
        <v>45</v>
      </c>
      <c r="H2125" t="s">
        <v>33</v>
      </c>
      <c r="I2125" t="s">
        <v>57</v>
      </c>
      <c r="J2125" t="s">
        <v>96</v>
      </c>
      <c r="K2125" s="2">
        <v>18570</v>
      </c>
      <c r="L2125" t="s">
        <v>153</v>
      </c>
      <c r="M2125" t="s">
        <v>48</v>
      </c>
      <c r="N2125" t="s">
        <v>49</v>
      </c>
      <c r="O2125" t="s">
        <v>61</v>
      </c>
      <c r="P2125" t="s">
        <v>40</v>
      </c>
      <c r="Q2125">
        <v>5</v>
      </c>
      <c r="R2125" s="2">
        <v>44796</v>
      </c>
      <c r="S2125">
        <v>5</v>
      </c>
      <c r="T2125">
        <v>5</v>
      </c>
      <c r="U2125">
        <v>3</v>
      </c>
      <c r="V2125" s="1">
        <v>44954</v>
      </c>
      <c r="W2125" t="s">
        <v>62</v>
      </c>
      <c r="X2125" t="s">
        <v>42</v>
      </c>
      <c r="Y2125" t="s">
        <v>63</v>
      </c>
      <c r="Z2125">
        <v>5</v>
      </c>
      <c r="AA2125">
        <v>162.93</v>
      </c>
      <c r="AB2125">
        <v>69</v>
      </c>
    </row>
    <row r="2126" spans="1:28" x14ac:dyDescent="0.2">
      <c r="A2126">
        <v>2648</v>
      </c>
      <c r="B2126" s="1">
        <v>44835</v>
      </c>
      <c r="C2126" t="s">
        <v>53</v>
      </c>
      <c r="D2126" t="s">
        <v>81</v>
      </c>
      <c r="E2126" t="s">
        <v>30</v>
      </c>
      <c r="F2126" t="s">
        <v>46</v>
      </c>
      <c r="G2126" t="s">
        <v>45</v>
      </c>
      <c r="H2126" t="s">
        <v>46</v>
      </c>
      <c r="I2126" t="s">
        <v>57</v>
      </c>
      <c r="J2126" t="s">
        <v>97</v>
      </c>
      <c r="K2126" s="2">
        <v>34520</v>
      </c>
      <c r="L2126" t="s">
        <v>153</v>
      </c>
      <c r="M2126" t="s">
        <v>48</v>
      </c>
      <c r="N2126" t="s">
        <v>60</v>
      </c>
      <c r="O2126" t="s">
        <v>67</v>
      </c>
      <c r="P2126" t="s">
        <v>40</v>
      </c>
      <c r="Q2126">
        <v>2</v>
      </c>
      <c r="R2126" s="2">
        <v>45038</v>
      </c>
      <c r="S2126">
        <v>4</v>
      </c>
      <c r="T2126">
        <v>2</v>
      </c>
      <c r="U2126">
        <v>1</v>
      </c>
      <c r="V2126" s="1">
        <v>44992</v>
      </c>
      <c r="W2126" t="s">
        <v>62</v>
      </c>
      <c r="X2126" t="s">
        <v>51</v>
      </c>
      <c r="Y2126" t="s">
        <v>52</v>
      </c>
      <c r="Z2126">
        <v>3</v>
      </c>
      <c r="AA2126">
        <v>294.91000000000003</v>
      </c>
      <c r="AB2126">
        <v>28</v>
      </c>
    </row>
    <row r="2127" spans="1:28" x14ac:dyDescent="0.2">
      <c r="A2127">
        <v>2649</v>
      </c>
      <c r="B2127" s="1">
        <v>44102</v>
      </c>
      <c r="C2127" t="s">
        <v>53</v>
      </c>
      <c r="D2127" t="s">
        <v>54</v>
      </c>
      <c r="E2127" t="s">
        <v>30</v>
      </c>
      <c r="F2127" t="s">
        <v>46</v>
      </c>
      <c r="G2127" t="s">
        <v>45</v>
      </c>
      <c r="H2127" t="s">
        <v>55</v>
      </c>
      <c r="I2127" t="s">
        <v>57</v>
      </c>
      <c r="J2127" t="s">
        <v>96</v>
      </c>
      <c r="K2127" s="2">
        <v>26744</v>
      </c>
      <c r="L2127" t="s">
        <v>160</v>
      </c>
      <c r="M2127" t="s">
        <v>37</v>
      </c>
      <c r="N2127" t="s">
        <v>38</v>
      </c>
      <c r="O2127" t="s">
        <v>39</v>
      </c>
      <c r="P2127" t="s">
        <v>40</v>
      </c>
      <c r="Q2127">
        <v>4</v>
      </c>
      <c r="R2127" s="2">
        <v>44921</v>
      </c>
      <c r="S2127">
        <v>4</v>
      </c>
      <c r="T2127">
        <v>4</v>
      </c>
      <c r="U2127">
        <v>1</v>
      </c>
      <c r="V2127" s="1">
        <v>44829</v>
      </c>
      <c r="W2127" t="s">
        <v>92</v>
      </c>
      <c r="X2127" t="s">
        <v>42</v>
      </c>
      <c r="Y2127" t="s">
        <v>73</v>
      </c>
      <c r="Z2127">
        <v>1</v>
      </c>
      <c r="AA2127">
        <v>836.76</v>
      </c>
      <c r="AB2127">
        <v>47</v>
      </c>
    </row>
    <row r="2128" spans="1:28" x14ac:dyDescent="0.2">
      <c r="A2128">
        <v>2650</v>
      </c>
      <c r="B2128" s="1">
        <v>43419</v>
      </c>
      <c r="C2128" t="s">
        <v>137</v>
      </c>
      <c r="D2128" t="s">
        <v>69</v>
      </c>
      <c r="E2128" t="s">
        <v>30</v>
      </c>
      <c r="F2128" t="s">
        <v>46</v>
      </c>
      <c r="G2128" t="s">
        <v>56</v>
      </c>
      <c r="H2128" t="s">
        <v>55</v>
      </c>
      <c r="I2128" t="s">
        <v>57</v>
      </c>
      <c r="J2128" t="s">
        <v>96</v>
      </c>
      <c r="K2128" s="2">
        <v>23604</v>
      </c>
      <c r="L2128" t="s">
        <v>155</v>
      </c>
      <c r="M2128" t="s">
        <v>37</v>
      </c>
      <c r="N2128" t="s">
        <v>72</v>
      </c>
      <c r="O2128" t="s">
        <v>61</v>
      </c>
      <c r="P2128" t="s">
        <v>40</v>
      </c>
      <c r="Q2128">
        <v>1</v>
      </c>
      <c r="R2128" s="2">
        <v>45009</v>
      </c>
      <c r="S2128">
        <v>1</v>
      </c>
      <c r="T2128">
        <v>1</v>
      </c>
      <c r="U2128">
        <v>1</v>
      </c>
      <c r="V2128" s="1">
        <v>44802</v>
      </c>
      <c r="W2128" t="s">
        <v>92</v>
      </c>
      <c r="X2128" t="s">
        <v>42</v>
      </c>
      <c r="Y2128" t="s">
        <v>73</v>
      </c>
      <c r="Z2128">
        <v>1</v>
      </c>
      <c r="AA2128">
        <v>136.22999999999999</v>
      </c>
      <c r="AB2128">
        <v>54</v>
      </c>
    </row>
    <row r="2129" spans="1:28" x14ac:dyDescent="0.2">
      <c r="A2129">
        <v>2651</v>
      </c>
      <c r="B2129" s="1">
        <v>44159</v>
      </c>
      <c r="C2129" t="s">
        <v>137</v>
      </c>
      <c r="D2129" t="s">
        <v>29</v>
      </c>
      <c r="E2129" t="s">
        <v>30</v>
      </c>
      <c r="F2129" t="s">
        <v>31</v>
      </c>
      <c r="G2129" t="s">
        <v>32</v>
      </c>
      <c r="H2129" t="s">
        <v>55</v>
      </c>
      <c r="I2129" t="s">
        <v>57</v>
      </c>
      <c r="J2129" t="s">
        <v>96</v>
      </c>
      <c r="K2129" s="2">
        <v>33665</v>
      </c>
      <c r="L2129" t="s">
        <v>155</v>
      </c>
      <c r="M2129" t="s">
        <v>37</v>
      </c>
      <c r="N2129" t="s">
        <v>49</v>
      </c>
      <c r="O2129" t="s">
        <v>77</v>
      </c>
      <c r="P2129" t="s">
        <v>40</v>
      </c>
      <c r="Q2129">
        <v>2</v>
      </c>
      <c r="R2129" s="2">
        <v>45077</v>
      </c>
      <c r="S2129">
        <v>1</v>
      </c>
      <c r="T2129">
        <v>3</v>
      </c>
      <c r="U2129">
        <v>2</v>
      </c>
      <c r="V2129" s="1">
        <v>45089</v>
      </c>
      <c r="W2129" t="s">
        <v>50</v>
      </c>
      <c r="X2129" t="s">
        <v>51</v>
      </c>
      <c r="Y2129" t="s">
        <v>63</v>
      </c>
      <c r="Z2129">
        <v>3</v>
      </c>
      <c r="AA2129">
        <v>236.69</v>
      </c>
      <c r="AB2129">
        <v>28</v>
      </c>
    </row>
    <row r="2130" spans="1:28" x14ac:dyDescent="0.2">
      <c r="A2130">
        <v>2652</v>
      </c>
      <c r="B2130" s="1">
        <v>45116</v>
      </c>
      <c r="C2130" t="s">
        <v>137</v>
      </c>
      <c r="D2130" t="s">
        <v>85</v>
      </c>
      <c r="E2130" t="s">
        <v>30</v>
      </c>
      <c r="F2130" t="s">
        <v>31</v>
      </c>
      <c r="G2130" t="s">
        <v>32</v>
      </c>
      <c r="H2130" t="s">
        <v>33</v>
      </c>
      <c r="I2130" t="s">
        <v>57</v>
      </c>
      <c r="J2130" t="s">
        <v>58</v>
      </c>
      <c r="K2130" s="2">
        <v>19791</v>
      </c>
      <c r="L2130" t="s">
        <v>36</v>
      </c>
      <c r="M2130" t="s">
        <v>37</v>
      </c>
      <c r="N2130" t="s">
        <v>60</v>
      </c>
      <c r="O2130" t="s">
        <v>39</v>
      </c>
      <c r="P2130" t="s">
        <v>40</v>
      </c>
      <c r="Q2130">
        <v>4</v>
      </c>
      <c r="R2130" s="2">
        <v>44876</v>
      </c>
      <c r="S2130">
        <v>1</v>
      </c>
      <c r="T2130">
        <v>4</v>
      </c>
      <c r="U2130">
        <v>2</v>
      </c>
      <c r="V2130" s="1">
        <v>44857</v>
      </c>
      <c r="W2130" t="s">
        <v>50</v>
      </c>
      <c r="X2130" t="s">
        <v>51</v>
      </c>
      <c r="Y2130" t="s">
        <v>52</v>
      </c>
      <c r="Z2130">
        <v>1</v>
      </c>
      <c r="AA2130">
        <v>424.44</v>
      </c>
      <c r="AB2130">
        <v>69</v>
      </c>
    </row>
    <row r="2131" spans="1:28" x14ac:dyDescent="0.2">
      <c r="A2131">
        <v>2653</v>
      </c>
      <c r="B2131" s="1">
        <v>45036</v>
      </c>
      <c r="C2131" t="s">
        <v>53</v>
      </c>
      <c r="D2131" t="s">
        <v>94</v>
      </c>
      <c r="E2131" t="s">
        <v>30</v>
      </c>
      <c r="F2131" t="s">
        <v>55</v>
      </c>
      <c r="G2131" t="s">
        <v>32</v>
      </c>
      <c r="H2131" t="s">
        <v>46</v>
      </c>
      <c r="I2131" t="s">
        <v>57</v>
      </c>
      <c r="J2131" t="s">
        <v>101</v>
      </c>
      <c r="K2131" s="2">
        <v>16183</v>
      </c>
      <c r="L2131" t="s">
        <v>36</v>
      </c>
      <c r="M2131" t="s">
        <v>48</v>
      </c>
      <c r="N2131" t="s">
        <v>38</v>
      </c>
      <c r="O2131" t="s">
        <v>39</v>
      </c>
      <c r="P2131" t="s">
        <v>40</v>
      </c>
      <c r="Q2131">
        <v>1</v>
      </c>
      <c r="R2131" s="2">
        <v>44980</v>
      </c>
      <c r="S2131">
        <v>4</v>
      </c>
      <c r="T2131">
        <v>5</v>
      </c>
      <c r="U2131">
        <v>3</v>
      </c>
      <c r="V2131" s="1">
        <v>44950</v>
      </c>
      <c r="W2131" t="s">
        <v>68</v>
      </c>
      <c r="X2131" t="s">
        <v>42</v>
      </c>
      <c r="Y2131" t="s">
        <v>52</v>
      </c>
      <c r="Z2131">
        <v>3</v>
      </c>
      <c r="AA2131">
        <v>139.71</v>
      </c>
      <c r="AB2131">
        <v>79</v>
      </c>
    </row>
    <row r="2132" spans="1:28" x14ac:dyDescent="0.2">
      <c r="A2132">
        <v>2654</v>
      </c>
      <c r="B2132" s="1">
        <v>43699</v>
      </c>
      <c r="C2132" t="s">
        <v>53</v>
      </c>
      <c r="D2132" t="s">
        <v>74</v>
      </c>
      <c r="E2132" t="s">
        <v>30</v>
      </c>
      <c r="F2132" t="s">
        <v>55</v>
      </c>
      <c r="G2132" t="s">
        <v>32</v>
      </c>
      <c r="H2132" t="s">
        <v>33</v>
      </c>
      <c r="I2132" t="s">
        <v>57</v>
      </c>
      <c r="J2132" t="s">
        <v>65</v>
      </c>
      <c r="K2132" s="2">
        <v>20279</v>
      </c>
      <c r="L2132" t="s">
        <v>36</v>
      </c>
      <c r="M2132" t="s">
        <v>48</v>
      </c>
      <c r="N2132" t="s">
        <v>72</v>
      </c>
      <c r="O2132" t="s">
        <v>77</v>
      </c>
      <c r="P2132" t="s">
        <v>40</v>
      </c>
      <c r="Q2132">
        <v>4</v>
      </c>
      <c r="R2132" s="2">
        <v>44992</v>
      </c>
      <c r="S2132">
        <v>4</v>
      </c>
      <c r="T2132">
        <v>1</v>
      </c>
      <c r="U2132">
        <v>3</v>
      </c>
      <c r="V2132" s="1">
        <v>45003</v>
      </c>
      <c r="W2132" t="s">
        <v>92</v>
      </c>
      <c r="X2132" t="s">
        <v>51</v>
      </c>
      <c r="Y2132" t="s">
        <v>73</v>
      </c>
      <c r="Z2132">
        <v>3</v>
      </c>
      <c r="AA2132">
        <v>428.13</v>
      </c>
      <c r="AB2132">
        <v>64</v>
      </c>
    </row>
    <row r="2133" spans="1:28" x14ac:dyDescent="0.2">
      <c r="A2133">
        <v>2655</v>
      </c>
      <c r="B2133" s="1">
        <v>44775</v>
      </c>
      <c r="C2133" t="s">
        <v>53</v>
      </c>
      <c r="D2133" t="s">
        <v>81</v>
      </c>
      <c r="E2133" t="s">
        <v>30</v>
      </c>
      <c r="F2133" t="s">
        <v>31</v>
      </c>
      <c r="G2133" t="s">
        <v>45</v>
      </c>
      <c r="H2133" t="s">
        <v>46</v>
      </c>
      <c r="I2133" t="s">
        <v>57</v>
      </c>
      <c r="J2133" t="s">
        <v>65</v>
      </c>
      <c r="K2133" s="2">
        <v>23689</v>
      </c>
      <c r="L2133" t="s">
        <v>156</v>
      </c>
      <c r="M2133" t="s">
        <v>48</v>
      </c>
      <c r="N2133" t="s">
        <v>72</v>
      </c>
      <c r="O2133" t="s">
        <v>77</v>
      </c>
      <c r="P2133" t="s">
        <v>40</v>
      </c>
      <c r="Q2133">
        <v>2</v>
      </c>
      <c r="R2133" s="2">
        <v>44802</v>
      </c>
      <c r="S2133">
        <v>2</v>
      </c>
      <c r="T2133">
        <v>5</v>
      </c>
      <c r="U2133">
        <v>5</v>
      </c>
      <c r="V2133" s="1">
        <v>45077</v>
      </c>
      <c r="W2133" t="s">
        <v>62</v>
      </c>
      <c r="X2133" t="s">
        <v>51</v>
      </c>
      <c r="Y2133" t="s">
        <v>52</v>
      </c>
      <c r="Z2133">
        <v>3</v>
      </c>
      <c r="AA2133">
        <v>972.66</v>
      </c>
      <c r="AB2133">
        <v>58</v>
      </c>
    </row>
    <row r="2134" spans="1:28" x14ac:dyDescent="0.2">
      <c r="A2134">
        <v>2656</v>
      </c>
      <c r="B2134" s="1">
        <v>43404</v>
      </c>
      <c r="C2134" t="s">
        <v>53</v>
      </c>
      <c r="D2134" t="s">
        <v>54</v>
      </c>
      <c r="E2134" t="s">
        <v>30</v>
      </c>
      <c r="F2134" t="s">
        <v>46</v>
      </c>
      <c r="G2134" t="s">
        <v>56</v>
      </c>
      <c r="H2134" t="s">
        <v>46</v>
      </c>
      <c r="I2134" t="s">
        <v>57</v>
      </c>
      <c r="J2134" t="s">
        <v>47</v>
      </c>
      <c r="K2134" s="2">
        <v>20861</v>
      </c>
      <c r="L2134" t="s">
        <v>156</v>
      </c>
      <c r="M2134" t="s">
        <v>48</v>
      </c>
      <c r="N2134" t="s">
        <v>49</v>
      </c>
      <c r="O2134" t="s">
        <v>61</v>
      </c>
      <c r="P2134" t="s">
        <v>40</v>
      </c>
      <c r="Q2134">
        <v>4</v>
      </c>
      <c r="R2134" s="2">
        <v>45000</v>
      </c>
      <c r="S2134">
        <v>5</v>
      </c>
      <c r="T2134">
        <v>4</v>
      </c>
      <c r="U2134">
        <v>3</v>
      </c>
      <c r="V2134" s="1">
        <v>44982</v>
      </c>
      <c r="W2134" t="s">
        <v>92</v>
      </c>
      <c r="X2134" t="s">
        <v>51</v>
      </c>
      <c r="Y2134" t="s">
        <v>43</v>
      </c>
      <c r="Z2134">
        <v>1</v>
      </c>
      <c r="AA2134">
        <v>877.57</v>
      </c>
      <c r="AB2134">
        <v>61</v>
      </c>
    </row>
    <row r="2135" spans="1:28" x14ac:dyDescent="0.2">
      <c r="A2135">
        <v>2657</v>
      </c>
      <c r="B2135" s="1">
        <v>44523</v>
      </c>
      <c r="C2135" t="s">
        <v>53</v>
      </c>
      <c r="D2135" t="s">
        <v>69</v>
      </c>
      <c r="E2135" t="s">
        <v>30</v>
      </c>
      <c r="F2135" t="s">
        <v>31</v>
      </c>
      <c r="G2135" t="s">
        <v>56</v>
      </c>
      <c r="H2135" t="s">
        <v>33</v>
      </c>
      <c r="I2135" t="s">
        <v>57</v>
      </c>
      <c r="J2135" t="s">
        <v>134</v>
      </c>
      <c r="K2135" s="2">
        <v>34856</v>
      </c>
      <c r="L2135" t="s">
        <v>156</v>
      </c>
      <c r="M2135" t="s">
        <v>48</v>
      </c>
      <c r="N2135" t="s">
        <v>38</v>
      </c>
      <c r="O2135" t="s">
        <v>39</v>
      </c>
      <c r="P2135" t="s">
        <v>40</v>
      </c>
      <c r="Q2135">
        <v>2</v>
      </c>
      <c r="R2135" s="2">
        <v>44989</v>
      </c>
      <c r="S2135">
        <v>4</v>
      </c>
      <c r="T2135">
        <v>3</v>
      </c>
      <c r="U2135">
        <v>3</v>
      </c>
      <c r="V2135" s="1">
        <v>45054</v>
      </c>
      <c r="W2135" t="s">
        <v>62</v>
      </c>
      <c r="X2135" t="s">
        <v>51</v>
      </c>
      <c r="Y2135" t="s">
        <v>43</v>
      </c>
      <c r="Z2135">
        <v>3</v>
      </c>
      <c r="AA2135">
        <v>751.13</v>
      </c>
      <c r="AB2135">
        <v>26</v>
      </c>
    </row>
    <row r="2136" spans="1:28" x14ac:dyDescent="0.2">
      <c r="A2136">
        <v>2658</v>
      </c>
      <c r="B2136" s="1">
        <v>45108</v>
      </c>
      <c r="C2136" t="s">
        <v>53</v>
      </c>
      <c r="D2136" t="s">
        <v>29</v>
      </c>
      <c r="E2136" t="s">
        <v>30</v>
      </c>
      <c r="F2136" t="s">
        <v>55</v>
      </c>
      <c r="G2136" t="s">
        <v>45</v>
      </c>
      <c r="H2136" t="s">
        <v>33</v>
      </c>
      <c r="I2136" t="s">
        <v>57</v>
      </c>
      <c r="J2136" t="s">
        <v>79</v>
      </c>
      <c r="K2136" s="2">
        <v>22003</v>
      </c>
      <c r="L2136" t="s">
        <v>156</v>
      </c>
      <c r="M2136" t="s">
        <v>48</v>
      </c>
      <c r="N2136" t="s">
        <v>72</v>
      </c>
      <c r="O2136" t="s">
        <v>67</v>
      </c>
      <c r="P2136" t="s">
        <v>40</v>
      </c>
      <c r="Q2136">
        <v>2</v>
      </c>
      <c r="R2136" s="2">
        <v>44856</v>
      </c>
      <c r="S2136">
        <v>3</v>
      </c>
      <c r="T2136">
        <v>1</v>
      </c>
      <c r="U2136">
        <v>1</v>
      </c>
      <c r="V2136" s="1">
        <v>45106</v>
      </c>
      <c r="W2136" t="s">
        <v>68</v>
      </c>
      <c r="X2136" t="s">
        <v>51</v>
      </c>
      <c r="Y2136" t="s">
        <v>73</v>
      </c>
      <c r="Z2136">
        <v>1</v>
      </c>
      <c r="AA2136">
        <v>471.89</v>
      </c>
      <c r="AB2136">
        <v>63</v>
      </c>
    </row>
    <row r="2137" spans="1:28" x14ac:dyDescent="0.2">
      <c r="A2137">
        <v>2659</v>
      </c>
      <c r="B2137" s="1">
        <v>44760</v>
      </c>
      <c r="C2137" t="s">
        <v>53</v>
      </c>
      <c r="D2137" t="s">
        <v>85</v>
      </c>
      <c r="E2137" t="s">
        <v>30</v>
      </c>
      <c r="F2137" t="s">
        <v>46</v>
      </c>
      <c r="G2137" t="s">
        <v>56</v>
      </c>
      <c r="H2137" t="s">
        <v>33</v>
      </c>
      <c r="I2137" t="s">
        <v>57</v>
      </c>
      <c r="J2137" t="s">
        <v>65</v>
      </c>
      <c r="K2137" s="2">
        <v>33067</v>
      </c>
      <c r="L2137" t="s">
        <v>158</v>
      </c>
      <c r="M2137" t="s">
        <v>48</v>
      </c>
      <c r="N2137" t="s">
        <v>72</v>
      </c>
      <c r="O2137" t="s">
        <v>61</v>
      </c>
      <c r="P2137" t="s">
        <v>40</v>
      </c>
      <c r="Q2137">
        <v>2</v>
      </c>
      <c r="R2137" s="2">
        <v>45068</v>
      </c>
      <c r="S2137">
        <v>5</v>
      </c>
      <c r="T2137">
        <v>3</v>
      </c>
      <c r="U2137">
        <v>2</v>
      </c>
      <c r="V2137" s="1">
        <v>44803</v>
      </c>
      <c r="W2137" t="s">
        <v>50</v>
      </c>
      <c r="X2137" t="s">
        <v>51</v>
      </c>
      <c r="Y2137" t="s">
        <v>43</v>
      </c>
      <c r="Z2137">
        <v>3</v>
      </c>
      <c r="AA2137">
        <v>957.63</v>
      </c>
      <c r="AB2137">
        <v>32</v>
      </c>
    </row>
    <row r="2138" spans="1:28" x14ac:dyDescent="0.2">
      <c r="A2138">
        <v>2660</v>
      </c>
      <c r="B2138" s="1">
        <v>43686</v>
      </c>
      <c r="C2138" t="s">
        <v>53</v>
      </c>
      <c r="D2138" t="s">
        <v>44</v>
      </c>
      <c r="E2138" t="s">
        <v>30</v>
      </c>
      <c r="F2138" t="s">
        <v>46</v>
      </c>
      <c r="G2138" t="s">
        <v>32</v>
      </c>
      <c r="H2138" t="s">
        <v>46</v>
      </c>
      <c r="I2138" t="s">
        <v>57</v>
      </c>
      <c r="J2138" t="s">
        <v>100</v>
      </c>
      <c r="K2138" s="2">
        <v>21850</v>
      </c>
      <c r="L2138" t="s">
        <v>162</v>
      </c>
      <c r="M2138" t="s">
        <v>48</v>
      </c>
      <c r="N2138" t="s">
        <v>84</v>
      </c>
      <c r="O2138" t="s">
        <v>77</v>
      </c>
      <c r="P2138" t="s">
        <v>40</v>
      </c>
      <c r="Q2138">
        <v>4</v>
      </c>
      <c r="R2138" s="2">
        <v>44796</v>
      </c>
      <c r="S2138">
        <v>5</v>
      </c>
      <c r="T2138">
        <v>1</v>
      </c>
      <c r="U2138">
        <v>1</v>
      </c>
      <c r="V2138" s="1">
        <v>44811</v>
      </c>
      <c r="W2138" t="s">
        <v>62</v>
      </c>
      <c r="X2138" t="s">
        <v>51</v>
      </c>
      <c r="Y2138" t="s">
        <v>73</v>
      </c>
      <c r="Z2138">
        <v>1</v>
      </c>
      <c r="AA2138">
        <v>788.33</v>
      </c>
      <c r="AB2138">
        <v>60</v>
      </c>
    </row>
    <row r="2139" spans="1:28" x14ac:dyDescent="0.2">
      <c r="A2139">
        <v>2661</v>
      </c>
      <c r="B2139" s="1">
        <v>44383</v>
      </c>
      <c r="C2139" t="s">
        <v>53</v>
      </c>
      <c r="D2139" t="s">
        <v>87</v>
      </c>
      <c r="E2139" t="s">
        <v>30</v>
      </c>
      <c r="F2139" t="s">
        <v>46</v>
      </c>
      <c r="G2139" t="s">
        <v>45</v>
      </c>
      <c r="H2139" t="s">
        <v>33</v>
      </c>
      <c r="I2139" t="s">
        <v>57</v>
      </c>
      <c r="J2139" t="s">
        <v>79</v>
      </c>
      <c r="K2139" s="2">
        <v>25791</v>
      </c>
      <c r="L2139" t="s">
        <v>162</v>
      </c>
      <c r="M2139" t="s">
        <v>48</v>
      </c>
      <c r="N2139" t="s">
        <v>72</v>
      </c>
      <c r="O2139" t="s">
        <v>67</v>
      </c>
      <c r="P2139" t="s">
        <v>40</v>
      </c>
      <c r="Q2139">
        <v>2</v>
      </c>
      <c r="R2139" s="2">
        <v>44982</v>
      </c>
      <c r="S2139">
        <v>3</v>
      </c>
      <c r="T2139">
        <v>3</v>
      </c>
      <c r="U2139">
        <v>2</v>
      </c>
      <c r="V2139" s="1">
        <v>44938</v>
      </c>
      <c r="W2139" t="s">
        <v>92</v>
      </c>
      <c r="X2139" t="s">
        <v>42</v>
      </c>
      <c r="Y2139" t="s">
        <v>63</v>
      </c>
      <c r="Z2139">
        <v>4</v>
      </c>
      <c r="AA2139">
        <v>220.32</v>
      </c>
      <c r="AB2139">
        <v>51</v>
      </c>
    </row>
    <row r="2140" spans="1:28" x14ac:dyDescent="0.2">
      <c r="A2140">
        <v>2662</v>
      </c>
      <c r="B2140" s="1">
        <v>44229</v>
      </c>
      <c r="C2140" t="s">
        <v>53</v>
      </c>
      <c r="D2140" t="s">
        <v>64</v>
      </c>
      <c r="E2140" t="s">
        <v>30</v>
      </c>
      <c r="F2140" t="s">
        <v>31</v>
      </c>
      <c r="G2140" t="s">
        <v>45</v>
      </c>
      <c r="H2140" t="s">
        <v>46</v>
      </c>
      <c r="I2140" t="s">
        <v>57</v>
      </c>
      <c r="J2140" t="s">
        <v>65</v>
      </c>
      <c r="K2140" s="2">
        <v>16692</v>
      </c>
      <c r="L2140" t="s">
        <v>153</v>
      </c>
      <c r="M2140" t="s">
        <v>48</v>
      </c>
      <c r="N2140" t="s">
        <v>84</v>
      </c>
      <c r="O2140" t="s">
        <v>61</v>
      </c>
      <c r="P2140" t="s">
        <v>40</v>
      </c>
      <c r="Q2140">
        <v>2</v>
      </c>
      <c r="R2140" s="2">
        <v>45115</v>
      </c>
      <c r="S2140">
        <v>4</v>
      </c>
      <c r="T2140">
        <v>1</v>
      </c>
      <c r="U2140">
        <v>1</v>
      </c>
      <c r="V2140" s="1">
        <v>44995</v>
      </c>
      <c r="W2140" t="s">
        <v>62</v>
      </c>
      <c r="X2140" t="s">
        <v>51</v>
      </c>
      <c r="Y2140" t="s">
        <v>63</v>
      </c>
      <c r="Z2140">
        <v>5</v>
      </c>
      <c r="AA2140">
        <v>406.1</v>
      </c>
      <c r="AB2140">
        <v>76</v>
      </c>
    </row>
    <row r="2141" spans="1:28" x14ac:dyDescent="0.2">
      <c r="A2141">
        <v>2663</v>
      </c>
      <c r="B2141" s="1">
        <v>44932</v>
      </c>
      <c r="C2141" t="s">
        <v>53</v>
      </c>
      <c r="D2141" t="s">
        <v>94</v>
      </c>
      <c r="E2141" t="s">
        <v>30</v>
      </c>
      <c r="F2141" t="s">
        <v>46</v>
      </c>
      <c r="G2141" t="s">
        <v>56</v>
      </c>
      <c r="H2141" t="s">
        <v>46</v>
      </c>
      <c r="I2141" t="s">
        <v>57</v>
      </c>
      <c r="J2141" t="s">
        <v>89</v>
      </c>
      <c r="K2141" s="2">
        <v>26135</v>
      </c>
      <c r="L2141" t="s">
        <v>153</v>
      </c>
      <c r="M2141" t="s">
        <v>48</v>
      </c>
      <c r="N2141" t="s">
        <v>49</v>
      </c>
      <c r="O2141" t="s">
        <v>77</v>
      </c>
      <c r="P2141" t="s">
        <v>40</v>
      </c>
      <c r="Q2141">
        <v>5</v>
      </c>
      <c r="R2141" s="2">
        <v>44780</v>
      </c>
      <c r="S2141">
        <v>3</v>
      </c>
      <c r="T2141">
        <v>4</v>
      </c>
      <c r="U2141">
        <v>1</v>
      </c>
      <c r="V2141" s="1">
        <v>44912</v>
      </c>
      <c r="W2141" t="s">
        <v>50</v>
      </c>
      <c r="X2141" t="s">
        <v>51</v>
      </c>
      <c r="Y2141" t="s">
        <v>73</v>
      </c>
      <c r="Z2141">
        <v>4</v>
      </c>
      <c r="AA2141">
        <v>819.64</v>
      </c>
      <c r="AB2141">
        <v>52</v>
      </c>
    </row>
    <row r="2142" spans="1:28" x14ac:dyDescent="0.2">
      <c r="A2142">
        <v>2664</v>
      </c>
      <c r="B2142" s="1">
        <v>44513</v>
      </c>
      <c r="C2142" t="s">
        <v>53</v>
      </c>
      <c r="D2142" t="s">
        <v>74</v>
      </c>
      <c r="E2142" t="s">
        <v>30</v>
      </c>
      <c r="F2142" t="s">
        <v>55</v>
      </c>
      <c r="G2142" t="s">
        <v>32</v>
      </c>
      <c r="H2142" t="s">
        <v>55</v>
      </c>
      <c r="I2142" t="s">
        <v>57</v>
      </c>
      <c r="J2142" t="s">
        <v>96</v>
      </c>
      <c r="K2142" s="2">
        <v>22457</v>
      </c>
      <c r="L2142" t="s">
        <v>153</v>
      </c>
      <c r="M2142" t="s">
        <v>48</v>
      </c>
      <c r="N2142" t="s">
        <v>49</v>
      </c>
      <c r="O2142" t="s">
        <v>77</v>
      </c>
      <c r="P2142" t="s">
        <v>40</v>
      </c>
      <c r="Q2142">
        <v>1</v>
      </c>
      <c r="R2142" s="2">
        <v>45090</v>
      </c>
      <c r="S2142">
        <v>5</v>
      </c>
      <c r="T2142">
        <v>2</v>
      </c>
      <c r="U2142">
        <v>2</v>
      </c>
      <c r="V2142" s="1">
        <v>44817</v>
      </c>
      <c r="W2142" t="s">
        <v>62</v>
      </c>
      <c r="X2142" t="s">
        <v>51</v>
      </c>
      <c r="Y2142" t="s">
        <v>52</v>
      </c>
      <c r="Z2142">
        <v>3</v>
      </c>
      <c r="AA2142">
        <v>355.84</v>
      </c>
      <c r="AB2142">
        <v>60</v>
      </c>
    </row>
    <row r="2143" spans="1:28" x14ac:dyDescent="0.2">
      <c r="A2143">
        <v>2665</v>
      </c>
      <c r="B2143" s="1">
        <v>43905</v>
      </c>
      <c r="C2143" t="s">
        <v>53</v>
      </c>
      <c r="D2143" t="s">
        <v>81</v>
      </c>
      <c r="E2143" t="s">
        <v>30</v>
      </c>
      <c r="F2143" t="s">
        <v>31</v>
      </c>
      <c r="G2143" t="s">
        <v>45</v>
      </c>
      <c r="H2143" t="s">
        <v>46</v>
      </c>
      <c r="I2143" t="s">
        <v>57</v>
      </c>
      <c r="J2143" t="s">
        <v>89</v>
      </c>
      <c r="K2143" s="2">
        <v>33433</v>
      </c>
      <c r="L2143" t="s">
        <v>160</v>
      </c>
      <c r="M2143" t="s">
        <v>48</v>
      </c>
      <c r="N2143" t="s">
        <v>49</v>
      </c>
      <c r="O2143" t="s">
        <v>67</v>
      </c>
      <c r="P2143" t="s">
        <v>40</v>
      </c>
      <c r="Q2143">
        <v>4</v>
      </c>
      <c r="R2143" s="2">
        <v>44839</v>
      </c>
      <c r="S2143">
        <v>1</v>
      </c>
      <c r="T2143">
        <v>5</v>
      </c>
      <c r="U2143">
        <v>5</v>
      </c>
      <c r="V2143" s="1">
        <v>44807</v>
      </c>
      <c r="W2143" t="s">
        <v>92</v>
      </c>
      <c r="X2143" t="s">
        <v>42</v>
      </c>
      <c r="Y2143" t="s">
        <v>63</v>
      </c>
      <c r="Z2143">
        <v>4</v>
      </c>
      <c r="AA2143">
        <v>786.38</v>
      </c>
      <c r="AB2143">
        <v>29</v>
      </c>
    </row>
    <row r="2144" spans="1:28" x14ac:dyDescent="0.2">
      <c r="A2144">
        <v>2666</v>
      </c>
      <c r="B2144" s="1">
        <v>43411</v>
      </c>
      <c r="C2144" t="s">
        <v>53</v>
      </c>
      <c r="D2144" t="s">
        <v>54</v>
      </c>
      <c r="E2144" t="s">
        <v>30</v>
      </c>
      <c r="F2144" t="s">
        <v>46</v>
      </c>
      <c r="G2144" t="s">
        <v>32</v>
      </c>
      <c r="H2144" t="s">
        <v>55</v>
      </c>
      <c r="I2144" t="s">
        <v>57</v>
      </c>
      <c r="J2144" t="s">
        <v>105</v>
      </c>
      <c r="K2144" s="2">
        <v>16821</v>
      </c>
      <c r="L2144" t="s">
        <v>155</v>
      </c>
      <c r="M2144" t="s">
        <v>37</v>
      </c>
      <c r="N2144" t="s">
        <v>60</v>
      </c>
      <c r="O2144" t="s">
        <v>61</v>
      </c>
      <c r="P2144" t="s">
        <v>40</v>
      </c>
      <c r="Q2144">
        <v>4</v>
      </c>
      <c r="R2144" s="2">
        <v>45070</v>
      </c>
      <c r="S2144">
        <v>5</v>
      </c>
      <c r="T2144">
        <v>5</v>
      </c>
      <c r="U2144">
        <v>3</v>
      </c>
      <c r="V2144" s="1">
        <v>44959</v>
      </c>
      <c r="W2144" t="s">
        <v>62</v>
      </c>
      <c r="X2144" t="s">
        <v>42</v>
      </c>
      <c r="Y2144" t="s">
        <v>43</v>
      </c>
      <c r="Z2144">
        <v>2</v>
      </c>
      <c r="AA2144">
        <v>460.62</v>
      </c>
      <c r="AB2144">
        <v>72</v>
      </c>
    </row>
    <row r="2145" spans="1:28" x14ac:dyDescent="0.2">
      <c r="A2145">
        <v>2667</v>
      </c>
      <c r="B2145" s="1">
        <v>43741</v>
      </c>
      <c r="C2145" t="s">
        <v>137</v>
      </c>
      <c r="D2145" t="s">
        <v>69</v>
      </c>
      <c r="E2145" t="s">
        <v>30</v>
      </c>
      <c r="F2145" t="s">
        <v>55</v>
      </c>
      <c r="G2145" t="s">
        <v>56</v>
      </c>
      <c r="H2145" t="s">
        <v>46</v>
      </c>
      <c r="I2145" t="s">
        <v>57</v>
      </c>
      <c r="J2145" t="s">
        <v>109</v>
      </c>
      <c r="K2145" s="2">
        <v>24023</v>
      </c>
      <c r="L2145" t="s">
        <v>155</v>
      </c>
      <c r="M2145" t="s">
        <v>37</v>
      </c>
      <c r="N2145" t="s">
        <v>60</v>
      </c>
      <c r="O2145" t="s">
        <v>39</v>
      </c>
      <c r="P2145" t="s">
        <v>40</v>
      </c>
      <c r="Q2145">
        <v>2</v>
      </c>
      <c r="R2145" s="2">
        <v>44923</v>
      </c>
      <c r="S2145">
        <v>3</v>
      </c>
      <c r="T2145">
        <v>2</v>
      </c>
      <c r="U2145">
        <v>3</v>
      </c>
      <c r="V2145" s="1">
        <v>44962</v>
      </c>
      <c r="W2145" t="s">
        <v>41</v>
      </c>
      <c r="X2145" t="s">
        <v>51</v>
      </c>
      <c r="Y2145" t="s">
        <v>73</v>
      </c>
      <c r="Z2145">
        <v>4</v>
      </c>
      <c r="AA2145">
        <v>821.39</v>
      </c>
      <c r="AB2145">
        <v>54</v>
      </c>
    </row>
    <row r="2146" spans="1:28" x14ac:dyDescent="0.2">
      <c r="A2146">
        <v>2668</v>
      </c>
      <c r="B2146" s="1">
        <v>44785</v>
      </c>
      <c r="C2146" t="s">
        <v>137</v>
      </c>
      <c r="D2146" t="s">
        <v>29</v>
      </c>
      <c r="E2146" t="s">
        <v>30</v>
      </c>
      <c r="F2146" t="s">
        <v>31</v>
      </c>
      <c r="G2146" t="s">
        <v>32</v>
      </c>
      <c r="H2146" t="s">
        <v>46</v>
      </c>
      <c r="I2146" t="s">
        <v>57</v>
      </c>
      <c r="J2146" t="s">
        <v>65</v>
      </c>
      <c r="K2146" s="2">
        <v>28806</v>
      </c>
      <c r="L2146" t="s">
        <v>36</v>
      </c>
      <c r="M2146" t="s">
        <v>37</v>
      </c>
      <c r="N2146" t="s">
        <v>84</v>
      </c>
      <c r="O2146" t="s">
        <v>67</v>
      </c>
      <c r="P2146" t="s">
        <v>40</v>
      </c>
      <c r="Q2146">
        <v>2</v>
      </c>
      <c r="R2146" s="2">
        <v>45044</v>
      </c>
      <c r="S2146">
        <v>4</v>
      </c>
      <c r="T2146">
        <v>4</v>
      </c>
      <c r="U2146">
        <v>1</v>
      </c>
      <c r="V2146" s="1">
        <v>44945</v>
      </c>
      <c r="W2146" t="s">
        <v>62</v>
      </c>
      <c r="X2146" t="s">
        <v>42</v>
      </c>
      <c r="Y2146" t="s">
        <v>73</v>
      </c>
      <c r="Z2146">
        <v>3</v>
      </c>
      <c r="AA2146">
        <v>968.31</v>
      </c>
      <c r="AB2146">
        <v>44</v>
      </c>
    </row>
    <row r="2147" spans="1:28" x14ac:dyDescent="0.2">
      <c r="A2147">
        <v>2669</v>
      </c>
      <c r="B2147" s="1">
        <v>43456</v>
      </c>
      <c r="C2147" t="s">
        <v>137</v>
      </c>
      <c r="D2147" t="s">
        <v>85</v>
      </c>
      <c r="E2147" t="s">
        <v>30</v>
      </c>
      <c r="F2147" t="s">
        <v>46</v>
      </c>
      <c r="G2147" t="s">
        <v>32</v>
      </c>
      <c r="H2147" t="s">
        <v>55</v>
      </c>
      <c r="I2147" t="s">
        <v>57</v>
      </c>
      <c r="J2147" t="s">
        <v>70</v>
      </c>
      <c r="K2147" s="2">
        <v>19012</v>
      </c>
      <c r="L2147" t="s">
        <v>36</v>
      </c>
      <c r="M2147" t="s">
        <v>37</v>
      </c>
      <c r="N2147" t="s">
        <v>72</v>
      </c>
      <c r="O2147" t="s">
        <v>61</v>
      </c>
      <c r="P2147" t="s">
        <v>40</v>
      </c>
      <c r="Q2147">
        <v>1</v>
      </c>
      <c r="R2147" s="2">
        <v>45043</v>
      </c>
      <c r="S2147">
        <v>4</v>
      </c>
      <c r="T2147">
        <v>2</v>
      </c>
      <c r="U2147">
        <v>1</v>
      </c>
      <c r="V2147" s="1">
        <v>45002</v>
      </c>
      <c r="W2147" t="s">
        <v>62</v>
      </c>
      <c r="X2147" t="s">
        <v>42</v>
      </c>
      <c r="Y2147" t="s">
        <v>63</v>
      </c>
      <c r="Z2147">
        <v>3</v>
      </c>
      <c r="AA2147">
        <v>912.22</v>
      </c>
      <c r="AB2147">
        <v>66</v>
      </c>
    </row>
    <row r="2148" spans="1:28" x14ac:dyDescent="0.2">
      <c r="A2148">
        <v>2670</v>
      </c>
      <c r="B2148" s="1">
        <v>44282</v>
      </c>
      <c r="C2148" t="s">
        <v>53</v>
      </c>
      <c r="D2148" t="s">
        <v>94</v>
      </c>
      <c r="E2148" t="s">
        <v>30</v>
      </c>
      <c r="F2148" t="s">
        <v>46</v>
      </c>
      <c r="G2148" t="s">
        <v>45</v>
      </c>
      <c r="H2148" t="s">
        <v>55</v>
      </c>
      <c r="I2148" t="s">
        <v>57</v>
      </c>
      <c r="J2148" t="s">
        <v>79</v>
      </c>
      <c r="K2148" s="2">
        <v>34399</v>
      </c>
      <c r="L2148" t="s">
        <v>36</v>
      </c>
      <c r="M2148" t="s">
        <v>48</v>
      </c>
      <c r="N2148" t="s">
        <v>60</v>
      </c>
      <c r="O2148" t="s">
        <v>39</v>
      </c>
      <c r="P2148" t="s">
        <v>40</v>
      </c>
      <c r="Q2148">
        <v>1</v>
      </c>
      <c r="R2148" s="2">
        <v>45103</v>
      </c>
      <c r="S2148">
        <v>4</v>
      </c>
      <c r="T2148">
        <v>2</v>
      </c>
      <c r="U2148">
        <v>1</v>
      </c>
      <c r="V2148" s="1">
        <v>45105</v>
      </c>
      <c r="W2148" t="s">
        <v>62</v>
      </c>
      <c r="X2148" t="s">
        <v>51</v>
      </c>
      <c r="Y2148" t="s">
        <v>63</v>
      </c>
      <c r="Z2148">
        <v>4</v>
      </c>
      <c r="AA2148">
        <v>144.83000000000001</v>
      </c>
      <c r="AB2148">
        <v>27</v>
      </c>
    </row>
    <row r="2149" spans="1:28" x14ac:dyDescent="0.2">
      <c r="A2149">
        <v>2671</v>
      </c>
      <c r="B2149" s="1">
        <v>44760</v>
      </c>
      <c r="C2149" t="s">
        <v>53</v>
      </c>
      <c r="D2149" t="s">
        <v>74</v>
      </c>
      <c r="E2149" t="s">
        <v>30</v>
      </c>
      <c r="F2149" t="s">
        <v>46</v>
      </c>
      <c r="G2149" t="s">
        <v>32</v>
      </c>
      <c r="H2149" t="s">
        <v>33</v>
      </c>
      <c r="I2149" t="s">
        <v>57</v>
      </c>
      <c r="J2149" t="s">
        <v>70</v>
      </c>
      <c r="K2149" s="2">
        <v>16246</v>
      </c>
      <c r="L2149" t="s">
        <v>36</v>
      </c>
      <c r="M2149" t="s">
        <v>48</v>
      </c>
      <c r="N2149" t="s">
        <v>84</v>
      </c>
      <c r="O2149" t="s">
        <v>39</v>
      </c>
      <c r="P2149" t="s">
        <v>40</v>
      </c>
      <c r="Q2149">
        <v>5</v>
      </c>
      <c r="R2149" s="2">
        <v>44969</v>
      </c>
      <c r="S2149">
        <v>1</v>
      </c>
      <c r="T2149">
        <v>2</v>
      </c>
      <c r="U2149">
        <v>5</v>
      </c>
      <c r="V2149" s="1">
        <v>44940</v>
      </c>
      <c r="W2149" t="s">
        <v>62</v>
      </c>
      <c r="X2149" t="s">
        <v>42</v>
      </c>
      <c r="Y2149" t="s">
        <v>73</v>
      </c>
      <c r="Z2149">
        <v>4</v>
      </c>
      <c r="AA2149">
        <v>425.59</v>
      </c>
      <c r="AB2149">
        <v>78</v>
      </c>
    </row>
    <row r="2150" spans="1:28" x14ac:dyDescent="0.2">
      <c r="A2150">
        <v>2672</v>
      </c>
      <c r="B2150" s="1">
        <v>43930</v>
      </c>
      <c r="C2150" t="s">
        <v>53</v>
      </c>
      <c r="D2150" t="s">
        <v>81</v>
      </c>
      <c r="E2150" t="s">
        <v>30</v>
      </c>
      <c r="F2150" t="s">
        <v>31</v>
      </c>
      <c r="G2150" t="s">
        <v>45</v>
      </c>
      <c r="H2150" t="s">
        <v>55</v>
      </c>
      <c r="I2150" t="s">
        <v>57</v>
      </c>
      <c r="J2150" t="s">
        <v>97</v>
      </c>
      <c r="K2150" s="2">
        <v>36364</v>
      </c>
      <c r="L2150" t="s">
        <v>156</v>
      </c>
      <c r="M2150" t="s">
        <v>48</v>
      </c>
      <c r="N2150" t="s">
        <v>84</v>
      </c>
      <c r="O2150" t="s">
        <v>67</v>
      </c>
      <c r="P2150" t="s">
        <v>40</v>
      </c>
      <c r="Q2150">
        <v>1</v>
      </c>
      <c r="R2150" s="2">
        <v>45081</v>
      </c>
      <c r="S2150">
        <v>5</v>
      </c>
      <c r="T2150">
        <v>2</v>
      </c>
      <c r="U2150">
        <v>2</v>
      </c>
      <c r="V2150" s="1">
        <v>45125</v>
      </c>
      <c r="W2150" t="s">
        <v>62</v>
      </c>
      <c r="X2150" t="s">
        <v>42</v>
      </c>
      <c r="Y2150" t="s">
        <v>52</v>
      </c>
      <c r="Z2150">
        <v>2</v>
      </c>
      <c r="AA2150">
        <v>118.43</v>
      </c>
      <c r="AB2150">
        <v>21</v>
      </c>
    </row>
    <row r="2151" spans="1:28" x14ac:dyDescent="0.2">
      <c r="A2151">
        <v>2673</v>
      </c>
      <c r="B2151" s="1">
        <v>44568</v>
      </c>
      <c r="C2151" t="s">
        <v>53</v>
      </c>
      <c r="D2151" t="s">
        <v>54</v>
      </c>
      <c r="E2151" t="s">
        <v>30</v>
      </c>
      <c r="F2151" t="s">
        <v>55</v>
      </c>
      <c r="G2151" t="s">
        <v>56</v>
      </c>
      <c r="H2151" t="s">
        <v>55</v>
      </c>
      <c r="I2151" t="s">
        <v>57</v>
      </c>
      <c r="J2151" t="s">
        <v>89</v>
      </c>
      <c r="K2151" s="2">
        <v>36360</v>
      </c>
      <c r="L2151" t="s">
        <v>156</v>
      </c>
      <c r="M2151" t="s">
        <v>48</v>
      </c>
      <c r="N2151" t="s">
        <v>60</v>
      </c>
      <c r="O2151" t="s">
        <v>61</v>
      </c>
      <c r="P2151" t="s">
        <v>40</v>
      </c>
      <c r="Q2151">
        <v>4</v>
      </c>
      <c r="R2151" s="2">
        <v>44847</v>
      </c>
      <c r="S2151">
        <v>5</v>
      </c>
      <c r="T2151">
        <v>1</v>
      </c>
      <c r="U2151">
        <v>1</v>
      </c>
      <c r="V2151" s="1">
        <v>45057</v>
      </c>
      <c r="W2151" t="s">
        <v>50</v>
      </c>
      <c r="X2151" t="s">
        <v>42</v>
      </c>
      <c r="Y2151" t="s">
        <v>52</v>
      </c>
      <c r="Z2151">
        <v>2</v>
      </c>
      <c r="AA2151">
        <v>281.27</v>
      </c>
      <c r="AB2151">
        <v>23</v>
      </c>
    </row>
    <row r="2152" spans="1:28" x14ac:dyDescent="0.2">
      <c r="A2152">
        <v>2674</v>
      </c>
      <c r="B2152" s="1">
        <v>44757</v>
      </c>
      <c r="C2152" t="s">
        <v>53</v>
      </c>
      <c r="D2152" t="s">
        <v>69</v>
      </c>
      <c r="E2152" t="s">
        <v>30</v>
      </c>
      <c r="F2152" t="s">
        <v>46</v>
      </c>
      <c r="G2152" t="s">
        <v>45</v>
      </c>
      <c r="H2152" t="s">
        <v>46</v>
      </c>
      <c r="I2152" t="s">
        <v>57</v>
      </c>
      <c r="J2152" t="s">
        <v>97</v>
      </c>
      <c r="K2152" s="2">
        <v>25188</v>
      </c>
      <c r="L2152" t="s">
        <v>156</v>
      </c>
      <c r="M2152" t="s">
        <v>48</v>
      </c>
      <c r="N2152" t="s">
        <v>38</v>
      </c>
      <c r="O2152" t="s">
        <v>39</v>
      </c>
      <c r="P2152" t="s">
        <v>40</v>
      </c>
      <c r="Q2152">
        <v>1</v>
      </c>
      <c r="R2152" s="2">
        <v>44871</v>
      </c>
      <c r="S2152">
        <v>1</v>
      </c>
      <c r="T2152">
        <v>1</v>
      </c>
      <c r="U2152">
        <v>4</v>
      </c>
      <c r="V2152" s="1">
        <v>45021</v>
      </c>
      <c r="W2152" t="s">
        <v>50</v>
      </c>
      <c r="X2152" t="s">
        <v>51</v>
      </c>
      <c r="Y2152" t="s">
        <v>52</v>
      </c>
      <c r="Z2152">
        <v>5</v>
      </c>
      <c r="AA2152">
        <v>283.64999999999998</v>
      </c>
      <c r="AB2152">
        <v>54</v>
      </c>
    </row>
    <row r="2153" spans="1:28" x14ac:dyDescent="0.2">
      <c r="A2153">
        <v>2675</v>
      </c>
      <c r="B2153" s="1">
        <v>44164</v>
      </c>
      <c r="C2153" t="s">
        <v>53</v>
      </c>
      <c r="D2153" t="s">
        <v>29</v>
      </c>
      <c r="E2153" t="s">
        <v>30</v>
      </c>
      <c r="F2153" t="s">
        <v>46</v>
      </c>
      <c r="G2153" t="s">
        <v>32</v>
      </c>
      <c r="H2153" t="s">
        <v>46</v>
      </c>
      <c r="I2153" t="s">
        <v>57</v>
      </c>
      <c r="J2153" t="s">
        <v>79</v>
      </c>
      <c r="K2153" s="2">
        <v>16960</v>
      </c>
      <c r="L2153" t="s">
        <v>158</v>
      </c>
      <c r="M2153" t="s">
        <v>48</v>
      </c>
      <c r="N2153" t="s">
        <v>49</v>
      </c>
      <c r="O2153" t="s">
        <v>77</v>
      </c>
      <c r="P2153" t="s">
        <v>40</v>
      </c>
      <c r="Q2153">
        <v>5</v>
      </c>
      <c r="R2153" s="2">
        <v>44956</v>
      </c>
      <c r="S2153">
        <v>2</v>
      </c>
      <c r="T2153">
        <v>4</v>
      </c>
      <c r="U2153">
        <v>4</v>
      </c>
      <c r="V2153" s="1">
        <v>44841</v>
      </c>
      <c r="W2153" t="s">
        <v>50</v>
      </c>
      <c r="X2153" t="s">
        <v>42</v>
      </c>
      <c r="Y2153" t="s">
        <v>63</v>
      </c>
      <c r="Z2153">
        <v>3</v>
      </c>
      <c r="AA2153">
        <v>475.75</v>
      </c>
      <c r="AB2153">
        <v>74</v>
      </c>
    </row>
    <row r="2154" spans="1:28" x14ac:dyDescent="0.2">
      <c r="A2154">
        <v>2676</v>
      </c>
      <c r="B2154" s="1">
        <v>43544</v>
      </c>
      <c r="C2154" t="s">
        <v>53</v>
      </c>
      <c r="D2154" t="s">
        <v>85</v>
      </c>
      <c r="E2154" t="s">
        <v>30</v>
      </c>
      <c r="F2154" t="s">
        <v>46</v>
      </c>
      <c r="G2154" t="s">
        <v>32</v>
      </c>
      <c r="H2154" t="s">
        <v>46</v>
      </c>
      <c r="I2154" t="s">
        <v>57</v>
      </c>
      <c r="J2154" t="s">
        <v>79</v>
      </c>
      <c r="K2154" s="2">
        <v>26512</v>
      </c>
      <c r="L2154" t="s">
        <v>158</v>
      </c>
      <c r="M2154" t="s">
        <v>48</v>
      </c>
      <c r="N2154" t="s">
        <v>84</v>
      </c>
      <c r="O2154" t="s">
        <v>61</v>
      </c>
      <c r="P2154" t="s">
        <v>40</v>
      </c>
      <c r="Q2154">
        <v>2</v>
      </c>
      <c r="R2154" s="2">
        <v>44850</v>
      </c>
      <c r="S2154">
        <v>4</v>
      </c>
      <c r="T2154">
        <v>3</v>
      </c>
      <c r="U2154">
        <v>4</v>
      </c>
      <c r="V2154" s="1">
        <v>44845</v>
      </c>
      <c r="W2154" t="s">
        <v>41</v>
      </c>
      <c r="X2154" t="s">
        <v>51</v>
      </c>
      <c r="Y2154" t="s">
        <v>43</v>
      </c>
      <c r="Z2154">
        <v>3</v>
      </c>
      <c r="AA2154">
        <v>188.07</v>
      </c>
      <c r="AB2154">
        <v>47</v>
      </c>
    </row>
    <row r="2155" spans="1:28" x14ac:dyDescent="0.2">
      <c r="A2155">
        <v>2677</v>
      </c>
      <c r="B2155" s="1">
        <v>43540</v>
      </c>
      <c r="C2155" t="s">
        <v>53</v>
      </c>
      <c r="D2155" t="s">
        <v>44</v>
      </c>
      <c r="E2155" t="s">
        <v>30</v>
      </c>
      <c r="F2155" t="s">
        <v>31</v>
      </c>
      <c r="G2155" t="s">
        <v>56</v>
      </c>
      <c r="H2155" t="s">
        <v>55</v>
      </c>
      <c r="I2155" t="s">
        <v>57</v>
      </c>
      <c r="J2155" t="s">
        <v>89</v>
      </c>
      <c r="K2155" s="2">
        <v>33159</v>
      </c>
      <c r="L2155" t="s">
        <v>162</v>
      </c>
      <c r="M2155" t="s">
        <v>48</v>
      </c>
      <c r="N2155" t="s">
        <v>49</v>
      </c>
      <c r="O2155" t="s">
        <v>77</v>
      </c>
      <c r="P2155" t="s">
        <v>40</v>
      </c>
      <c r="Q2155">
        <v>1</v>
      </c>
      <c r="R2155" s="2">
        <v>44894</v>
      </c>
      <c r="S2155">
        <v>2</v>
      </c>
      <c r="T2155">
        <v>1</v>
      </c>
      <c r="U2155">
        <v>5</v>
      </c>
      <c r="V2155" s="1">
        <v>44925</v>
      </c>
      <c r="W2155" t="s">
        <v>68</v>
      </c>
      <c r="X2155" t="s">
        <v>51</v>
      </c>
      <c r="Y2155" t="s">
        <v>52</v>
      </c>
      <c r="Z2155">
        <v>4</v>
      </c>
      <c r="AA2155">
        <v>843.69</v>
      </c>
      <c r="AB2155">
        <v>29</v>
      </c>
    </row>
    <row r="2156" spans="1:28" x14ac:dyDescent="0.2">
      <c r="A2156">
        <v>2678</v>
      </c>
      <c r="B2156" s="1">
        <v>44346</v>
      </c>
      <c r="C2156" t="s">
        <v>53</v>
      </c>
      <c r="D2156" t="s">
        <v>87</v>
      </c>
      <c r="E2156" t="s">
        <v>30</v>
      </c>
      <c r="F2156" t="s">
        <v>55</v>
      </c>
      <c r="G2156" t="s">
        <v>32</v>
      </c>
      <c r="H2156" t="s">
        <v>46</v>
      </c>
      <c r="I2156" t="s">
        <v>57</v>
      </c>
      <c r="J2156" t="s">
        <v>70</v>
      </c>
      <c r="K2156" s="2">
        <v>24228</v>
      </c>
      <c r="L2156" t="s">
        <v>153</v>
      </c>
      <c r="M2156" t="s">
        <v>48</v>
      </c>
      <c r="N2156" t="s">
        <v>38</v>
      </c>
      <c r="O2156" t="s">
        <v>61</v>
      </c>
      <c r="P2156" t="s">
        <v>40</v>
      </c>
      <c r="Q2156">
        <v>5</v>
      </c>
      <c r="R2156" s="2">
        <v>45125</v>
      </c>
      <c r="S2156">
        <v>5</v>
      </c>
      <c r="T2156">
        <v>3</v>
      </c>
      <c r="U2156">
        <v>3</v>
      </c>
      <c r="V2156" s="1">
        <v>45022</v>
      </c>
      <c r="W2156" t="s">
        <v>62</v>
      </c>
      <c r="X2156" t="s">
        <v>51</v>
      </c>
      <c r="Y2156" t="s">
        <v>43</v>
      </c>
      <c r="Z2156">
        <v>3</v>
      </c>
      <c r="AA2156">
        <v>166.28</v>
      </c>
      <c r="AB2156">
        <v>55</v>
      </c>
    </row>
    <row r="2157" spans="1:28" x14ac:dyDescent="0.2">
      <c r="A2157">
        <v>2679</v>
      </c>
      <c r="B2157" s="1">
        <v>44882</v>
      </c>
      <c r="C2157" t="s">
        <v>53</v>
      </c>
      <c r="D2157" t="s">
        <v>64</v>
      </c>
      <c r="E2157" t="s">
        <v>30</v>
      </c>
      <c r="F2157" t="s">
        <v>31</v>
      </c>
      <c r="G2157" t="s">
        <v>45</v>
      </c>
      <c r="H2157" t="s">
        <v>46</v>
      </c>
      <c r="I2157" t="s">
        <v>57</v>
      </c>
      <c r="J2157" t="s">
        <v>65</v>
      </c>
      <c r="K2157" s="2">
        <v>18921</v>
      </c>
      <c r="L2157" t="s">
        <v>153</v>
      </c>
      <c r="M2157" t="s">
        <v>48</v>
      </c>
      <c r="N2157" t="s">
        <v>49</v>
      </c>
      <c r="O2157" t="s">
        <v>77</v>
      </c>
      <c r="P2157" t="s">
        <v>40</v>
      </c>
      <c r="Q2157">
        <v>5</v>
      </c>
      <c r="R2157" s="2">
        <v>44959</v>
      </c>
      <c r="S2157">
        <v>4</v>
      </c>
      <c r="T2157">
        <v>4</v>
      </c>
      <c r="U2157">
        <v>1</v>
      </c>
      <c r="V2157" s="1">
        <v>44790</v>
      </c>
      <c r="W2157" t="s">
        <v>92</v>
      </c>
      <c r="X2157" t="s">
        <v>51</v>
      </c>
      <c r="Y2157" t="s">
        <v>63</v>
      </c>
      <c r="Z2157">
        <v>2</v>
      </c>
      <c r="AA2157">
        <v>119.62</v>
      </c>
      <c r="AB2157">
        <v>71</v>
      </c>
    </row>
    <row r="2158" spans="1:28" x14ac:dyDescent="0.2">
      <c r="A2158">
        <v>2680</v>
      </c>
      <c r="B2158" s="1">
        <v>44190</v>
      </c>
      <c r="C2158" t="s">
        <v>53</v>
      </c>
      <c r="D2158" t="s">
        <v>94</v>
      </c>
      <c r="E2158" t="s">
        <v>30</v>
      </c>
      <c r="F2158" t="s">
        <v>31</v>
      </c>
      <c r="G2158" t="s">
        <v>45</v>
      </c>
      <c r="H2158" t="s">
        <v>55</v>
      </c>
      <c r="I2158" t="s">
        <v>57</v>
      </c>
      <c r="J2158" t="s">
        <v>109</v>
      </c>
      <c r="K2158" s="2">
        <v>17556</v>
      </c>
      <c r="L2158" t="s">
        <v>153</v>
      </c>
      <c r="M2158" t="s">
        <v>48</v>
      </c>
      <c r="N2158" t="s">
        <v>72</v>
      </c>
      <c r="O2158" t="s">
        <v>61</v>
      </c>
      <c r="P2158" t="s">
        <v>40</v>
      </c>
      <c r="Q2158">
        <v>2</v>
      </c>
      <c r="R2158" s="2">
        <v>44804</v>
      </c>
      <c r="S2158">
        <v>1</v>
      </c>
      <c r="T2158">
        <v>4</v>
      </c>
      <c r="U2158">
        <v>4</v>
      </c>
      <c r="V2158" s="1">
        <v>45057</v>
      </c>
      <c r="W2158" t="s">
        <v>50</v>
      </c>
      <c r="X2158" t="s">
        <v>42</v>
      </c>
      <c r="Y2158" t="s">
        <v>43</v>
      </c>
      <c r="Z2158">
        <v>2</v>
      </c>
      <c r="AA2158">
        <v>400.81</v>
      </c>
      <c r="AB2158">
        <v>72</v>
      </c>
    </row>
    <row r="2159" spans="1:28" x14ac:dyDescent="0.2">
      <c r="A2159">
        <v>2681</v>
      </c>
      <c r="B2159" s="1">
        <v>43998</v>
      </c>
      <c r="C2159" t="s">
        <v>53</v>
      </c>
      <c r="D2159" t="s">
        <v>74</v>
      </c>
      <c r="E2159" t="s">
        <v>30</v>
      </c>
      <c r="F2159" t="s">
        <v>46</v>
      </c>
      <c r="G2159" t="s">
        <v>32</v>
      </c>
      <c r="H2159" t="s">
        <v>55</v>
      </c>
      <c r="I2159" t="s">
        <v>57</v>
      </c>
      <c r="J2159" t="s">
        <v>70</v>
      </c>
      <c r="K2159" s="2">
        <v>30716</v>
      </c>
      <c r="L2159" t="s">
        <v>153</v>
      </c>
      <c r="M2159" t="s">
        <v>48</v>
      </c>
      <c r="N2159" t="s">
        <v>72</v>
      </c>
      <c r="O2159" t="s">
        <v>67</v>
      </c>
      <c r="P2159" t="s">
        <v>40</v>
      </c>
      <c r="Q2159">
        <v>1</v>
      </c>
      <c r="R2159" s="2">
        <v>45129</v>
      </c>
      <c r="S2159">
        <v>3</v>
      </c>
      <c r="T2159">
        <v>3</v>
      </c>
      <c r="U2159">
        <v>3</v>
      </c>
      <c r="V2159" s="1">
        <v>44952</v>
      </c>
      <c r="W2159" t="s">
        <v>41</v>
      </c>
      <c r="X2159" t="s">
        <v>42</v>
      </c>
      <c r="Y2159" t="s">
        <v>63</v>
      </c>
      <c r="Z2159">
        <v>1</v>
      </c>
      <c r="AA2159">
        <v>318.38</v>
      </c>
      <c r="AB2159">
        <v>36</v>
      </c>
    </row>
    <row r="2160" spans="1:28" x14ac:dyDescent="0.2">
      <c r="A2160">
        <v>2682</v>
      </c>
      <c r="B2160" s="1">
        <v>44040</v>
      </c>
      <c r="C2160" t="s">
        <v>53</v>
      </c>
      <c r="D2160" t="s">
        <v>81</v>
      </c>
      <c r="E2160" t="s">
        <v>30</v>
      </c>
      <c r="F2160" t="s">
        <v>31</v>
      </c>
      <c r="G2160" t="s">
        <v>45</v>
      </c>
      <c r="H2160" t="s">
        <v>33</v>
      </c>
      <c r="I2160" t="s">
        <v>57</v>
      </c>
      <c r="J2160" t="s">
        <v>70</v>
      </c>
      <c r="K2160" s="2">
        <v>27916</v>
      </c>
      <c r="L2160" t="s">
        <v>160</v>
      </c>
      <c r="M2160" t="s">
        <v>48</v>
      </c>
      <c r="N2160" t="s">
        <v>84</v>
      </c>
      <c r="O2160" t="s">
        <v>39</v>
      </c>
      <c r="P2160" t="s">
        <v>40</v>
      </c>
      <c r="Q2160">
        <v>2</v>
      </c>
      <c r="R2160" s="2">
        <v>44867</v>
      </c>
      <c r="S2160">
        <v>1</v>
      </c>
      <c r="T2160">
        <v>2</v>
      </c>
      <c r="U2160">
        <v>2</v>
      </c>
      <c r="V2160" s="1">
        <v>45051</v>
      </c>
      <c r="W2160" t="s">
        <v>92</v>
      </c>
      <c r="X2160" t="s">
        <v>51</v>
      </c>
      <c r="Y2160" t="s">
        <v>43</v>
      </c>
      <c r="Z2160">
        <v>3</v>
      </c>
      <c r="AA2160">
        <v>238.12</v>
      </c>
      <c r="AB2160">
        <v>44</v>
      </c>
    </row>
    <row r="2161" spans="1:28" x14ac:dyDescent="0.2">
      <c r="A2161">
        <v>2683</v>
      </c>
      <c r="B2161" s="1">
        <v>44561</v>
      </c>
      <c r="C2161" t="s">
        <v>53</v>
      </c>
      <c r="D2161" t="s">
        <v>54</v>
      </c>
      <c r="E2161" t="s">
        <v>30</v>
      </c>
      <c r="F2161" t="s">
        <v>31</v>
      </c>
      <c r="G2161" t="s">
        <v>45</v>
      </c>
      <c r="H2161" t="s">
        <v>33</v>
      </c>
      <c r="I2161" t="s">
        <v>57</v>
      </c>
      <c r="J2161" t="s">
        <v>65</v>
      </c>
      <c r="K2161" s="2">
        <v>19281</v>
      </c>
      <c r="L2161" t="s">
        <v>155</v>
      </c>
      <c r="M2161" t="s">
        <v>37</v>
      </c>
      <c r="N2161" t="s">
        <v>60</v>
      </c>
      <c r="O2161" t="s">
        <v>77</v>
      </c>
      <c r="P2161" t="s">
        <v>40</v>
      </c>
      <c r="Q2161">
        <v>4</v>
      </c>
      <c r="R2161" s="2">
        <v>44918</v>
      </c>
      <c r="S2161">
        <v>3</v>
      </c>
      <c r="T2161">
        <v>4</v>
      </c>
      <c r="U2161">
        <v>2</v>
      </c>
      <c r="V2161" s="1">
        <v>44799</v>
      </c>
      <c r="W2161" t="s">
        <v>68</v>
      </c>
      <c r="X2161" t="s">
        <v>51</v>
      </c>
      <c r="Y2161" t="s">
        <v>73</v>
      </c>
      <c r="Z2161">
        <v>2</v>
      </c>
      <c r="AA2161">
        <v>412.34</v>
      </c>
      <c r="AB2161">
        <v>69</v>
      </c>
    </row>
    <row r="2162" spans="1:28" x14ac:dyDescent="0.2">
      <c r="A2162">
        <v>2684</v>
      </c>
      <c r="B2162" s="1">
        <v>44599</v>
      </c>
      <c r="C2162" t="s">
        <v>137</v>
      </c>
      <c r="D2162" t="s">
        <v>69</v>
      </c>
      <c r="E2162" t="s">
        <v>30</v>
      </c>
      <c r="F2162" t="s">
        <v>55</v>
      </c>
      <c r="G2162" t="s">
        <v>32</v>
      </c>
      <c r="H2162" t="s">
        <v>46</v>
      </c>
      <c r="I2162" t="s">
        <v>57</v>
      </c>
      <c r="J2162" t="s">
        <v>58</v>
      </c>
      <c r="K2162" s="2">
        <v>30596</v>
      </c>
      <c r="L2162" t="s">
        <v>36</v>
      </c>
      <c r="M2162" t="s">
        <v>37</v>
      </c>
      <c r="N2162" t="s">
        <v>38</v>
      </c>
      <c r="O2162" t="s">
        <v>39</v>
      </c>
      <c r="P2162" t="s">
        <v>40</v>
      </c>
      <c r="Q2162">
        <v>5</v>
      </c>
      <c r="R2162" s="2">
        <v>44818</v>
      </c>
      <c r="S2162">
        <v>3</v>
      </c>
      <c r="T2162">
        <v>4</v>
      </c>
      <c r="U2162">
        <v>2</v>
      </c>
      <c r="V2162" s="1">
        <v>44949</v>
      </c>
      <c r="W2162" t="s">
        <v>92</v>
      </c>
      <c r="X2162" t="s">
        <v>42</v>
      </c>
      <c r="Y2162" t="s">
        <v>73</v>
      </c>
      <c r="Z2162">
        <v>5</v>
      </c>
      <c r="AA2162">
        <v>776.58</v>
      </c>
      <c r="AB2162">
        <v>39</v>
      </c>
    </row>
    <row r="2163" spans="1:28" x14ac:dyDescent="0.2">
      <c r="A2163">
        <v>2685</v>
      </c>
      <c r="B2163" s="1">
        <v>44523</v>
      </c>
      <c r="C2163" t="s">
        <v>137</v>
      </c>
      <c r="D2163" t="s">
        <v>29</v>
      </c>
      <c r="E2163" t="s">
        <v>30</v>
      </c>
      <c r="F2163" t="s">
        <v>55</v>
      </c>
      <c r="G2163" t="s">
        <v>56</v>
      </c>
      <c r="H2163" t="s">
        <v>33</v>
      </c>
      <c r="I2163" t="s">
        <v>57</v>
      </c>
      <c r="J2163" t="s">
        <v>58</v>
      </c>
      <c r="K2163" s="2">
        <v>23597</v>
      </c>
      <c r="L2163" t="s">
        <v>36</v>
      </c>
      <c r="M2163" t="s">
        <v>37</v>
      </c>
      <c r="N2163" t="s">
        <v>72</v>
      </c>
      <c r="O2163" t="s">
        <v>77</v>
      </c>
      <c r="P2163" t="s">
        <v>40</v>
      </c>
      <c r="Q2163">
        <v>2</v>
      </c>
      <c r="R2163" s="2">
        <v>45116</v>
      </c>
      <c r="S2163">
        <v>3</v>
      </c>
      <c r="T2163">
        <v>1</v>
      </c>
      <c r="U2163">
        <v>1</v>
      </c>
      <c r="V2163" s="1">
        <v>44964</v>
      </c>
      <c r="W2163" t="s">
        <v>62</v>
      </c>
      <c r="X2163" t="s">
        <v>51</v>
      </c>
      <c r="Y2163" t="s">
        <v>73</v>
      </c>
      <c r="Z2163">
        <v>4</v>
      </c>
      <c r="AA2163">
        <v>231.34</v>
      </c>
      <c r="AB2163">
        <v>57</v>
      </c>
    </row>
    <row r="2164" spans="1:28" x14ac:dyDescent="0.2">
      <c r="A2164">
        <v>2686</v>
      </c>
      <c r="B2164" s="1">
        <v>44423</v>
      </c>
      <c r="C2164" t="s">
        <v>53</v>
      </c>
      <c r="D2164" t="s">
        <v>94</v>
      </c>
      <c r="E2164" t="s">
        <v>30</v>
      </c>
      <c r="F2164" t="s">
        <v>31</v>
      </c>
      <c r="G2164" t="s">
        <v>32</v>
      </c>
      <c r="H2164" t="s">
        <v>46</v>
      </c>
      <c r="I2164" t="s">
        <v>57</v>
      </c>
      <c r="J2164" t="s">
        <v>96</v>
      </c>
      <c r="K2164" s="2">
        <v>20218</v>
      </c>
      <c r="L2164" t="s">
        <v>36</v>
      </c>
      <c r="M2164" t="s">
        <v>48</v>
      </c>
      <c r="N2164" t="s">
        <v>60</v>
      </c>
      <c r="O2164" t="s">
        <v>61</v>
      </c>
      <c r="P2164" t="s">
        <v>40</v>
      </c>
      <c r="Q2164">
        <v>4</v>
      </c>
      <c r="R2164" s="2">
        <v>44949</v>
      </c>
      <c r="S2164">
        <v>5</v>
      </c>
      <c r="T2164">
        <v>3</v>
      </c>
      <c r="U2164">
        <v>4</v>
      </c>
      <c r="V2164" s="1">
        <v>44877</v>
      </c>
      <c r="W2164" t="s">
        <v>62</v>
      </c>
      <c r="X2164" t="s">
        <v>51</v>
      </c>
      <c r="Y2164" t="s">
        <v>63</v>
      </c>
      <c r="Z2164">
        <v>1</v>
      </c>
      <c r="AA2164">
        <v>278.7</v>
      </c>
      <c r="AB2164">
        <v>66</v>
      </c>
    </row>
    <row r="2165" spans="1:28" x14ac:dyDescent="0.2">
      <c r="A2165">
        <v>2687</v>
      </c>
      <c r="B2165" s="1">
        <v>44368</v>
      </c>
      <c r="C2165" t="s">
        <v>53</v>
      </c>
      <c r="D2165" t="s">
        <v>74</v>
      </c>
      <c r="E2165" t="s">
        <v>30</v>
      </c>
      <c r="F2165" t="s">
        <v>46</v>
      </c>
      <c r="G2165" t="s">
        <v>45</v>
      </c>
      <c r="H2165" t="s">
        <v>55</v>
      </c>
      <c r="I2165" t="s">
        <v>57</v>
      </c>
      <c r="J2165" t="s">
        <v>79</v>
      </c>
      <c r="K2165" s="2">
        <v>16512</v>
      </c>
      <c r="L2165" t="s">
        <v>156</v>
      </c>
      <c r="M2165" t="s">
        <v>48</v>
      </c>
      <c r="N2165" t="s">
        <v>38</v>
      </c>
      <c r="O2165" t="s">
        <v>61</v>
      </c>
      <c r="P2165" t="s">
        <v>40</v>
      </c>
      <c r="Q2165">
        <v>2</v>
      </c>
      <c r="R2165" s="2">
        <v>44977</v>
      </c>
      <c r="S2165">
        <v>4</v>
      </c>
      <c r="T2165">
        <v>5</v>
      </c>
      <c r="U2165">
        <v>5</v>
      </c>
      <c r="V2165" s="1">
        <v>45127</v>
      </c>
      <c r="W2165" t="s">
        <v>68</v>
      </c>
      <c r="X2165" t="s">
        <v>51</v>
      </c>
      <c r="Y2165" t="s">
        <v>52</v>
      </c>
      <c r="Z2165">
        <v>1</v>
      </c>
      <c r="AA2165">
        <v>272.22000000000003</v>
      </c>
      <c r="AB2165">
        <v>76</v>
      </c>
    </row>
    <row r="2166" spans="1:28" x14ac:dyDescent="0.2">
      <c r="A2166">
        <v>2688</v>
      </c>
      <c r="B2166" s="1">
        <v>44240</v>
      </c>
      <c r="C2166" t="s">
        <v>53</v>
      </c>
      <c r="D2166" t="s">
        <v>81</v>
      </c>
      <c r="E2166" t="s">
        <v>30</v>
      </c>
      <c r="F2166" t="s">
        <v>31</v>
      </c>
      <c r="G2166" t="s">
        <v>56</v>
      </c>
      <c r="H2166" t="s">
        <v>55</v>
      </c>
      <c r="I2166" t="s">
        <v>57</v>
      </c>
      <c r="J2166" t="s">
        <v>79</v>
      </c>
      <c r="K2166" s="2">
        <v>24512</v>
      </c>
      <c r="L2166" t="s">
        <v>156</v>
      </c>
      <c r="M2166" t="s">
        <v>48</v>
      </c>
      <c r="N2166" t="s">
        <v>72</v>
      </c>
      <c r="O2166" t="s">
        <v>67</v>
      </c>
      <c r="P2166" t="s">
        <v>40</v>
      </c>
      <c r="Q2166">
        <v>1</v>
      </c>
      <c r="R2166" s="2">
        <v>44886</v>
      </c>
      <c r="S2166">
        <v>2</v>
      </c>
      <c r="T2166">
        <v>3</v>
      </c>
      <c r="U2166">
        <v>3</v>
      </c>
      <c r="V2166" s="1">
        <v>44883</v>
      </c>
      <c r="W2166" t="s">
        <v>50</v>
      </c>
      <c r="X2166" t="s">
        <v>51</v>
      </c>
      <c r="Y2166" t="s">
        <v>63</v>
      </c>
      <c r="Z2166">
        <v>2</v>
      </c>
      <c r="AA2166">
        <v>638.6</v>
      </c>
      <c r="AB2166">
        <v>54</v>
      </c>
    </row>
    <row r="2167" spans="1:28" x14ac:dyDescent="0.2">
      <c r="A2167">
        <v>2689</v>
      </c>
      <c r="B2167" s="1">
        <v>44193</v>
      </c>
      <c r="C2167" t="s">
        <v>53</v>
      </c>
      <c r="D2167" t="s">
        <v>54</v>
      </c>
      <c r="E2167" t="s">
        <v>30</v>
      </c>
      <c r="F2167" t="s">
        <v>46</v>
      </c>
      <c r="G2167" t="s">
        <v>32</v>
      </c>
      <c r="H2167" t="s">
        <v>46</v>
      </c>
      <c r="I2167" t="s">
        <v>57</v>
      </c>
      <c r="J2167" t="s">
        <v>101</v>
      </c>
      <c r="K2167" s="2">
        <v>19853</v>
      </c>
      <c r="L2167" t="s">
        <v>156</v>
      </c>
      <c r="M2167" t="s">
        <v>48</v>
      </c>
      <c r="N2167" t="s">
        <v>60</v>
      </c>
      <c r="O2167" t="s">
        <v>61</v>
      </c>
      <c r="P2167" t="s">
        <v>40</v>
      </c>
      <c r="Q2167">
        <v>1</v>
      </c>
      <c r="R2167" s="2">
        <v>44840</v>
      </c>
      <c r="S2167">
        <v>2</v>
      </c>
      <c r="T2167">
        <v>1</v>
      </c>
      <c r="U2167">
        <v>1</v>
      </c>
      <c r="V2167" s="1">
        <v>45119</v>
      </c>
      <c r="W2167" t="s">
        <v>62</v>
      </c>
      <c r="X2167" t="s">
        <v>51</v>
      </c>
      <c r="Y2167" t="s">
        <v>73</v>
      </c>
      <c r="Z2167">
        <v>1</v>
      </c>
      <c r="AA2167">
        <v>812.6</v>
      </c>
      <c r="AB2167">
        <v>66</v>
      </c>
    </row>
    <row r="2168" spans="1:28" x14ac:dyDescent="0.2">
      <c r="A2168">
        <v>2690</v>
      </c>
      <c r="B2168" s="1">
        <v>44663</v>
      </c>
      <c r="C2168" t="s">
        <v>53</v>
      </c>
      <c r="D2168" t="s">
        <v>69</v>
      </c>
      <c r="E2168" t="s">
        <v>30</v>
      </c>
      <c r="F2168" t="s">
        <v>46</v>
      </c>
      <c r="G2168" t="s">
        <v>56</v>
      </c>
      <c r="H2168" t="s">
        <v>46</v>
      </c>
      <c r="I2168" t="s">
        <v>57</v>
      </c>
      <c r="J2168" t="s">
        <v>96</v>
      </c>
      <c r="K2168" s="2">
        <v>35534</v>
      </c>
      <c r="L2168" t="s">
        <v>156</v>
      </c>
      <c r="M2168" t="s">
        <v>48</v>
      </c>
      <c r="N2168" t="s">
        <v>72</v>
      </c>
      <c r="O2168" t="s">
        <v>67</v>
      </c>
      <c r="P2168" t="s">
        <v>40</v>
      </c>
      <c r="Q2168">
        <v>4</v>
      </c>
      <c r="R2168" s="2">
        <v>44863</v>
      </c>
      <c r="S2168">
        <v>1</v>
      </c>
      <c r="T2168">
        <v>3</v>
      </c>
      <c r="U2168">
        <v>2</v>
      </c>
      <c r="V2168" s="1">
        <v>44980</v>
      </c>
      <c r="W2168" t="s">
        <v>68</v>
      </c>
      <c r="X2168" t="s">
        <v>51</v>
      </c>
      <c r="Y2168" t="s">
        <v>63</v>
      </c>
      <c r="Z2168">
        <v>1</v>
      </c>
      <c r="AA2168">
        <v>134.11000000000001</v>
      </c>
      <c r="AB2168">
        <v>25</v>
      </c>
    </row>
    <row r="2169" spans="1:28" x14ac:dyDescent="0.2">
      <c r="A2169">
        <v>2691</v>
      </c>
      <c r="B2169" s="1">
        <v>43467</v>
      </c>
      <c r="C2169" t="s">
        <v>53</v>
      </c>
      <c r="D2169" t="s">
        <v>29</v>
      </c>
      <c r="E2169" t="s">
        <v>30</v>
      </c>
      <c r="F2169" t="s">
        <v>46</v>
      </c>
      <c r="G2169" t="s">
        <v>32</v>
      </c>
      <c r="H2169" t="s">
        <v>55</v>
      </c>
      <c r="I2169" t="s">
        <v>57</v>
      </c>
      <c r="J2169" t="s">
        <v>58</v>
      </c>
      <c r="K2169" s="2">
        <v>26632</v>
      </c>
      <c r="L2169" t="s">
        <v>158</v>
      </c>
      <c r="M2169" t="s">
        <v>48</v>
      </c>
      <c r="N2169" t="s">
        <v>72</v>
      </c>
      <c r="O2169" t="s">
        <v>39</v>
      </c>
      <c r="P2169" t="s">
        <v>40</v>
      </c>
      <c r="Q2169">
        <v>1</v>
      </c>
      <c r="R2169" s="2">
        <v>44916</v>
      </c>
      <c r="S2169">
        <v>4</v>
      </c>
      <c r="T2169">
        <v>1</v>
      </c>
      <c r="U2169">
        <v>1</v>
      </c>
      <c r="V2169" s="1">
        <v>44924</v>
      </c>
      <c r="W2169" t="s">
        <v>62</v>
      </c>
      <c r="X2169" t="s">
        <v>51</v>
      </c>
      <c r="Y2169" t="s">
        <v>43</v>
      </c>
      <c r="Z2169">
        <v>3</v>
      </c>
      <c r="AA2169">
        <v>934.3</v>
      </c>
      <c r="AB2169">
        <v>47</v>
      </c>
    </row>
    <row r="2170" spans="1:28" x14ac:dyDescent="0.2">
      <c r="A2170">
        <v>2692</v>
      </c>
      <c r="B2170" s="1">
        <v>44044</v>
      </c>
      <c r="C2170" t="s">
        <v>53</v>
      </c>
      <c r="D2170" t="s">
        <v>85</v>
      </c>
      <c r="E2170" t="s">
        <v>30</v>
      </c>
      <c r="F2170" t="s">
        <v>55</v>
      </c>
      <c r="G2170" t="s">
        <v>45</v>
      </c>
      <c r="H2170" t="s">
        <v>55</v>
      </c>
      <c r="I2170" t="s">
        <v>57</v>
      </c>
      <c r="J2170" t="s">
        <v>111</v>
      </c>
      <c r="K2170" s="2">
        <v>35756</v>
      </c>
      <c r="L2170" t="s">
        <v>162</v>
      </c>
      <c r="M2170" t="s">
        <v>48</v>
      </c>
      <c r="N2170" t="s">
        <v>38</v>
      </c>
      <c r="O2170" t="s">
        <v>39</v>
      </c>
      <c r="P2170" t="s">
        <v>40</v>
      </c>
      <c r="Q2170">
        <v>4</v>
      </c>
      <c r="R2170" s="2">
        <v>45050</v>
      </c>
      <c r="S2170">
        <v>4</v>
      </c>
      <c r="T2170">
        <v>5</v>
      </c>
      <c r="U2170">
        <v>2</v>
      </c>
      <c r="V2170" s="1">
        <v>45076</v>
      </c>
      <c r="W2170" t="s">
        <v>92</v>
      </c>
      <c r="X2170" t="s">
        <v>51</v>
      </c>
      <c r="Y2170" t="s">
        <v>63</v>
      </c>
      <c r="Z2170">
        <v>1</v>
      </c>
      <c r="AA2170">
        <v>614.11</v>
      </c>
      <c r="AB2170">
        <v>23</v>
      </c>
    </row>
    <row r="2171" spans="1:28" x14ac:dyDescent="0.2">
      <c r="A2171">
        <v>2693</v>
      </c>
      <c r="B2171" s="1">
        <v>44118</v>
      </c>
      <c r="C2171" t="s">
        <v>53</v>
      </c>
      <c r="D2171" t="s">
        <v>44</v>
      </c>
      <c r="E2171" t="s">
        <v>30</v>
      </c>
      <c r="F2171" t="s">
        <v>46</v>
      </c>
      <c r="G2171" t="s">
        <v>32</v>
      </c>
      <c r="H2171" t="s">
        <v>33</v>
      </c>
      <c r="I2171" t="s">
        <v>57</v>
      </c>
      <c r="J2171" t="s">
        <v>58</v>
      </c>
      <c r="K2171" s="2">
        <v>32046</v>
      </c>
      <c r="L2171" t="s">
        <v>162</v>
      </c>
      <c r="M2171" t="s">
        <v>48</v>
      </c>
      <c r="N2171" t="s">
        <v>38</v>
      </c>
      <c r="O2171" t="s">
        <v>67</v>
      </c>
      <c r="P2171" t="s">
        <v>40</v>
      </c>
      <c r="Q2171">
        <v>4</v>
      </c>
      <c r="R2171" s="2">
        <v>44871</v>
      </c>
      <c r="S2171">
        <v>2</v>
      </c>
      <c r="T2171">
        <v>5</v>
      </c>
      <c r="U2171">
        <v>2</v>
      </c>
      <c r="V2171" s="1">
        <v>45062</v>
      </c>
      <c r="W2171" t="s">
        <v>62</v>
      </c>
      <c r="X2171" t="s">
        <v>51</v>
      </c>
      <c r="Y2171" t="s">
        <v>43</v>
      </c>
      <c r="Z2171">
        <v>2</v>
      </c>
      <c r="AA2171">
        <v>175.75</v>
      </c>
      <c r="AB2171">
        <v>33</v>
      </c>
    </row>
    <row r="2172" spans="1:28" x14ac:dyDescent="0.2">
      <c r="A2172">
        <v>2694</v>
      </c>
      <c r="B2172" s="1">
        <v>45072</v>
      </c>
      <c r="C2172" t="s">
        <v>53</v>
      </c>
      <c r="D2172" t="s">
        <v>87</v>
      </c>
      <c r="E2172" t="s">
        <v>30</v>
      </c>
      <c r="F2172" t="s">
        <v>55</v>
      </c>
      <c r="G2172" t="s">
        <v>32</v>
      </c>
      <c r="H2172" t="s">
        <v>55</v>
      </c>
      <c r="I2172" t="s">
        <v>57</v>
      </c>
      <c r="J2172" t="s">
        <v>79</v>
      </c>
      <c r="K2172" s="2">
        <v>29570</v>
      </c>
      <c r="L2172" t="s">
        <v>153</v>
      </c>
      <c r="M2172" t="s">
        <v>48</v>
      </c>
      <c r="N2172" t="s">
        <v>72</v>
      </c>
      <c r="O2172" t="s">
        <v>39</v>
      </c>
      <c r="P2172" t="s">
        <v>40</v>
      </c>
      <c r="Q2172">
        <v>4</v>
      </c>
      <c r="R2172" s="2">
        <v>44924</v>
      </c>
      <c r="S2172">
        <v>3</v>
      </c>
      <c r="T2172">
        <v>4</v>
      </c>
      <c r="U2172">
        <v>4</v>
      </c>
      <c r="V2172" s="1">
        <v>44781</v>
      </c>
      <c r="W2172" t="s">
        <v>50</v>
      </c>
      <c r="X2172" t="s">
        <v>51</v>
      </c>
      <c r="Y2172" t="s">
        <v>43</v>
      </c>
      <c r="Z2172">
        <v>2</v>
      </c>
      <c r="AA2172">
        <v>167.34</v>
      </c>
      <c r="AB2172">
        <v>43</v>
      </c>
    </row>
    <row r="2173" spans="1:28" x14ac:dyDescent="0.2">
      <c r="A2173">
        <v>2695</v>
      </c>
      <c r="B2173" s="1">
        <v>44434</v>
      </c>
      <c r="C2173" t="s">
        <v>53</v>
      </c>
      <c r="D2173" t="s">
        <v>64</v>
      </c>
      <c r="E2173" t="s">
        <v>30</v>
      </c>
      <c r="F2173" t="s">
        <v>55</v>
      </c>
      <c r="G2173" t="s">
        <v>45</v>
      </c>
      <c r="H2173" t="s">
        <v>33</v>
      </c>
      <c r="I2173" t="s">
        <v>57</v>
      </c>
      <c r="J2173" t="s">
        <v>111</v>
      </c>
      <c r="K2173" s="2">
        <v>22213</v>
      </c>
      <c r="L2173" t="s">
        <v>153</v>
      </c>
      <c r="M2173" t="s">
        <v>48</v>
      </c>
      <c r="N2173" t="s">
        <v>60</v>
      </c>
      <c r="O2173" t="s">
        <v>67</v>
      </c>
      <c r="P2173" t="s">
        <v>40</v>
      </c>
      <c r="Q2173">
        <v>2</v>
      </c>
      <c r="R2173" s="2">
        <v>44899</v>
      </c>
      <c r="S2173">
        <v>5</v>
      </c>
      <c r="T2173">
        <v>2</v>
      </c>
      <c r="U2173">
        <v>3</v>
      </c>
      <c r="V2173" s="1">
        <v>44951</v>
      </c>
      <c r="W2173" t="s">
        <v>50</v>
      </c>
      <c r="X2173" t="s">
        <v>51</v>
      </c>
      <c r="Y2173" t="s">
        <v>73</v>
      </c>
      <c r="Z2173">
        <v>2</v>
      </c>
      <c r="AA2173">
        <v>123.83</v>
      </c>
      <c r="AB2173">
        <v>61</v>
      </c>
    </row>
    <row r="2174" spans="1:28" x14ac:dyDescent="0.2">
      <c r="A2174">
        <v>2696</v>
      </c>
      <c r="B2174" s="1">
        <v>44885</v>
      </c>
      <c r="C2174" t="s">
        <v>53</v>
      </c>
      <c r="D2174" t="s">
        <v>94</v>
      </c>
      <c r="E2174" t="s">
        <v>30</v>
      </c>
      <c r="F2174" t="s">
        <v>31</v>
      </c>
      <c r="G2174" t="s">
        <v>45</v>
      </c>
      <c r="H2174" t="s">
        <v>33</v>
      </c>
      <c r="I2174" t="s">
        <v>57</v>
      </c>
      <c r="J2174" t="s">
        <v>96</v>
      </c>
      <c r="K2174" s="2">
        <v>19427</v>
      </c>
      <c r="L2174" t="s">
        <v>153</v>
      </c>
      <c r="M2174" t="s">
        <v>48</v>
      </c>
      <c r="N2174" t="s">
        <v>60</v>
      </c>
      <c r="O2174" t="s">
        <v>67</v>
      </c>
      <c r="P2174" t="s">
        <v>40</v>
      </c>
      <c r="Q2174">
        <v>4</v>
      </c>
      <c r="R2174" s="2">
        <v>45059</v>
      </c>
      <c r="S2174">
        <v>3</v>
      </c>
      <c r="T2174">
        <v>1</v>
      </c>
      <c r="U2174">
        <v>3</v>
      </c>
      <c r="V2174" s="1">
        <v>45014</v>
      </c>
      <c r="W2174" t="s">
        <v>68</v>
      </c>
      <c r="X2174" t="s">
        <v>51</v>
      </c>
      <c r="Y2174" t="s">
        <v>52</v>
      </c>
      <c r="Z2174">
        <v>2</v>
      </c>
      <c r="AA2174">
        <v>932.48</v>
      </c>
      <c r="AB2174">
        <v>69</v>
      </c>
    </row>
    <row r="2175" spans="1:28" x14ac:dyDescent="0.2">
      <c r="A2175">
        <v>2697</v>
      </c>
      <c r="B2175" s="1">
        <v>43883</v>
      </c>
      <c r="C2175" t="s">
        <v>53</v>
      </c>
      <c r="D2175" t="s">
        <v>74</v>
      </c>
      <c r="E2175" t="s">
        <v>30</v>
      </c>
      <c r="F2175" t="s">
        <v>55</v>
      </c>
      <c r="G2175" t="s">
        <v>45</v>
      </c>
      <c r="H2175" t="s">
        <v>55</v>
      </c>
      <c r="I2175" t="s">
        <v>57</v>
      </c>
      <c r="J2175" t="s">
        <v>89</v>
      </c>
      <c r="K2175" s="2">
        <v>23415</v>
      </c>
      <c r="L2175" t="s">
        <v>160</v>
      </c>
      <c r="M2175" t="s">
        <v>48</v>
      </c>
      <c r="N2175" t="s">
        <v>38</v>
      </c>
      <c r="O2175" t="s">
        <v>67</v>
      </c>
      <c r="P2175" t="s">
        <v>40</v>
      </c>
      <c r="Q2175">
        <v>1</v>
      </c>
      <c r="R2175" s="2">
        <v>45076</v>
      </c>
      <c r="S2175">
        <v>1</v>
      </c>
      <c r="T2175">
        <v>5</v>
      </c>
      <c r="U2175">
        <v>3</v>
      </c>
      <c r="V2175" s="1">
        <v>44976</v>
      </c>
      <c r="W2175" t="s">
        <v>62</v>
      </c>
      <c r="X2175" t="s">
        <v>42</v>
      </c>
      <c r="Y2175" t="s">
        <v>63</v>
      </c>
      <c r="Z2175">
        <v>4</v>
      </c>
      <c r="AA2175">
        <v>714.81</v>
      </c>
      <c r="AB2175">
        <v>56</v>
      </c>
    </row>
    <row r="2176" spans="1:28" x14ac:dyDescent="0.2">
      <c r="A2176">
        <v>2698</v>
      </c>
      <c r="B2176" s="1">
        <v>44290</v>
      </c>
      <c r="C2176" t="s">
        <v>53</v>
      </c>
      <c r="D2176" t="s">
        <v>81</v>
      </c>
      <c r="E2176" t="s">
        <v>30</v>
      </c>
      <c r="F2176" t="s">
        <v>31</v>
      </c>
      <c r="G2176" t="s">
        <v>56</v>
      </c>
      <c r="H2176" t="s">
        <v>55</v>
      </c>
      <c r="I2176" t="s">
        <v>57</v>
      </c>
      <c r="J2176" t="s">
        <v>70</v>
      </c>
      <c r="K2176" s="2">
        <v>25235</v>
      </c>
      <c r="L2176" t="s">
        <v>160</v>
      </c>
      <c r="M2176" t="s">
        <v>48</v>
      </c>
      <c r="N2176" t="s">
        <v>49</v>
      </c>
      <c r="O2176" t="s">
        <v>61</v>
      </c>
      <c r="P2176" t="s">
        <v>40</v>
      </c>
      <c r="Q2176">
        <v>4</v>
      </c>
      <c r="R2176" s="2">
        <v>45070</v>
      </c>
      <c r="S2176">
        <v>5</v>
      </c>
      <c r="T2176">
        <v>4</v>
      </c>
      <c r="U2176">
        <v>5</v>
      </c>
      <c r="V2176" s="1">
        <v>44907</v>
      </c>
      <c r="W2176" t="s">
        <v>62</v>
      </c>
      <c r="X2176" t="s">
        <v>42</v>
      </c>
      <c r="Y2176" t="s">
        <v>52</v>
      </c>
      <c r="Z2176">
        <v>3</v>
      </c>
      <c r="AA2176">
        <v>152.78</v>
      </c>
      <c r="AB2176">
        <v>52</v>
      </c>
    </row>
    <row r="2177" spans="1:28" x14ac:dyDescent="0.2">
      <c r="A2177">
        <v>2699</v>
      </c>
      <c r="B2177" s="1">
        <v>45143</v>
      </c>
      <c r="C2177" t="s">
        <v>53</v>
      </c>
      <c r="D2177" t="s">
        <v>54</v>
      </c>
      <c r="E2177" t="s">
        <v>30</v>
      </c>
      <c r="F2177" t="s">
        <v>31</v>
      </c>
      <c r="G2177" t="s">
        <v>32</v>
      </c>
      <c r="H2177" t="s">
        <v>33</v>
      </c>
      <c r="I2177" t="s">
        <v>57</v>
      </c>
      <c r="J2177" t="s">
        <v>79</v>
      </c>
      <c r="K2177" s="2">
        <v>31283</v>
      </c>
      <c r="L2177" t="s">
        <v>155</v>
      </c>
      <c r="M2177" t="s">
        <v>37</v>
      </c>
      <c r="N2177" t="s">
        <v>60</v>
      </c>
      <c r="O2177" t="s">
        <v>67</v>
      </c>
      <c r="P2177" t="s">
        <v>40</v>
      </c>
      <c r="Q2177">
        <v>5</v>
      </c>
      <c r="R2177" s="2">
        <v>44902</v>
      </c>
      <c r="S2177">
        <v>1</v>
      </c>
      <c r="T2177">
        <v>1</v>
      </c>
      <c r="U2177">
        <v>5</v>
      </c>
      <c r="V2177" s="1">
        <v>44957</v>
      </c>
      <c r="W2177" t="s">
        <v>68</v>
      </c>
      <c r="X2177" t="s">
        <v>51</v>
      </c>
      <c r="Y2177" t="s">
        <v>52</v>
      </c>
      <c r="Z2177">
        <v>2</v>
      </c>
      <c r="AA2177">
        <v>717.16</v>
      </c>
      <c r="AB2177">
        <v>38</v>
      </c>
    </row>
    <row r="2178" spans="1:28" x14ac:dyDescent="0.2">
      <c r="A2178">
        <v>2700</v>
      </c>
      <c r="B2178" s="1">
        <v>44936</v>
      </c>
      <c r="C2178" t="s">
        <v>137</v>
      </c>
      <c r="D2178" t="s">
        <v>69</v>
      </c>
      <c r="E2178" t="s">
        <v>30</v>
      </c>
      <c r="F2178" t="s">
        <v>55</v>
      </c>
      <c r="G2178" t="s">
        <v>56</v>
      </c>
      <c r="H2178" t="s">
        <v>33</v>
      </c>
      <c r="I2178" t="s">
        <v>57</v>
      </c>
      <c r="J2178" t="s">
        <v>96</v>
      </c>
      <c r="K2178" s="2">
        <v>33848</v>
      </c>
      <c r="L2178" t="s">
        <v>36</v>
      </c>
      <c r="M2178" t="s">
        <v>37</v>
      </c>
      <c r="N2178" t="s">
        <v>60</v>
      </c>
      <c r="O2178" t="s">
        <v>61</v>
      </c>
      <c r="P2178" t="s">
        <v>40</v>
      </c>
      <c r="Q2178">
        <v>4</v>
      </c>
      <c r="R2178" s="2">
        <v>44943</v>
      </c>
      <c r="S2178">
        <v>3</v>
      </c>
      <c r="T2178">
        <v>5</v>
      </c>
      <c r="U2178">
        <v>1</v>
      </c>
      <c r="V2178" s="1">
        <v>45106</v>
      </c>
      <c r="W2178" t="s">
        <v>68</v>
      </c>
      <c r="X2178" t="s">
        <v>51</v>
      </c>
      <c r="Y2178" t="s">
        <v>43</v>
      </c>
      <c r="Z2178">
        <v>1</v>
      </c>
      <c r="AA2178">
        <v>272.58999999999997</v>
      </c>
      <c r="AB2178">
        <v>31</v>
      </c>
    </row>
    <row r="2179" spans="1:28" x14ac:dyDescent="0.2">
      <c r="A2179">
        <v>2701</v>
      </c>
      <c r="B2179" s="1">
        <v>43574</v>
      </c>
      <c r="C2179" t="s">
        <v>137</v>
      </c>
      <c r="D2179" t="s">
        <v>29</v>
      </c>
      <c r="E2179" t="s">
        <v>30</v>
      </c>
      <c r="F2179" t="s">
        <v>31</v>
      </c>
      <c r="G2179" t="s">
        <v>45</v>
      </c>
      <c r="H2179" t="s">
        <v>55</v>
      </c>
      <c r="I2179" t="s">
        <v>57</v>
      </c>
      <c r="J2179" t="s">
        <v>70</v>
      </c>
      <c r="K2179" s="2">
        <v>21799</v>
      </c>
      <c r="L2179" t="s">
        <v>36</v>
      </c>
      <c r="M2179" t="s">
        <v>37</v>
      </c>
      <c r="N2179" t="s">
        <v>72</v>
      </c>
      <c r="O2179" t="s">
        <v>67</v>
      </c>
      <c r="P2179" t="s">
        <v>40</v>
      </c>
      <c r="Q2179">
        <v>5</v>
      </c>
      <c r="R2179" s="2">
        <v>45127</v>
      </c>
      <c r="S2179">
        <v>5</v>
      </c>
      <c r="T2179">
        <v>5</v>
      </c>
      <c r="U2179">
        <v>3</v>
      </c>
      <c r="V2179" s="1">
        <v>45036</v>
      </c>
      <c r="W2179" t="s">
        <v>41</v>
      </c>
      <c r="X2179" t="s">
        <v>51</v>
      </c>
      <c r="Y2179" t="s">
        <v>52</v>
      </c>
      <c r="Z2179">
        <v>5</v>
      </c>
      <c r="AA2179">
        <v>155.13999999999999</v>
      </c>
      <c r="AB2179">
        <v>60</v>
      </c>
    </row>
    <row r="2180" spans="1:28" x14ac:dyDescent="0.2">
      <c r="A2180">
        <v>2702</v>
      </c>
      <c r="B2180" s="1">
        <v>43740</v>
      </c>
      <c r="C2180" t="s">
        <v>53</v>
      </c>
      <c r="D2180" t="s">
        <v>69</v>
      </c>
      <c r="E2180" t="s">
        <v>30</v>
      </c>
      <c r="F2180" t="s">
        <v>31</v>
      </c>
      <c r="G2180" t="s">
        <v>56</v>
      </c>
      <c r="H2180" t="s">
        <v>55</v>
      </c>
      <c r="I2180" t="s">
        <v>57</v>
      </c>
      <c r="J2180" t="s">
        <v>47</v>
      </c>
      <c r="K2180" s="2">
        <v>22907</v>
      </c>
      <c r="L2180" t="s">
        <v>36</v>
      </c>
      <c r="M2180" t="s">
        <v>48</v>
      </c>
      <c r="N2180" t="s">
        <v>84</v>
      </c>
      <c r="O2180" t="s">
        <v>67</v>
      </c>
      <c r="P2180" t="s">
        <v>40</v>
      </c>
      <c r="Q2180">
        <v>2</v>
      </c>
      <c r="R2180" s="2">
        <v>45028</v>
      </c>
      <c r="S2180">
        <v>5</v>
      </c>
      <c r="T2180">
        <v>1</v>
      </c>
      <c r="U2180">
        <v>2</v>
      </c>
      <c r="V2180" s="1">
        <v>44809</v>
      </c>
      <c r="W2180" t="s">
        <v>92</v>
      </c>
      <c r="X2180" t="s">
        <v>42</v>
      </c>
      <c r="Y2180" t="s">
        <v>63</v>
      </c>
      <c r="Z2180">
        <v>1</v>
      </c>
      <c r="AA2180">
        <v>328.74</v>
      </c>
      <c r="AB2180">
        <v>57</v>
      </c>
    </row>
    <row r="2181" spans="1:28" x14ac:dyDescent="0.2">
      <c r="A2181">
        <v>2703</v>
      </c>
      <c r="B2181" s="1">
        <v>43418</v>
      </c>
      <c r="C2181" t="s">
        <v>53</v>
      </c>
      <c r="D2181" t="s">
        <v>29</v>
      </c>
      <c r="E2181" t="s">
        <v>30</v>
      </c>
      <c r="F2181" t="s">
        <v>55</v>
      </c>
      <c r="G2181" t="s">
        <v>45</v>
      </c>
      <c r="H2181" t="s">
        <v>46</v>
      </c>
      <c r="I2181" t="s">
        <v>57</v>
      </c>
      <c r="J2181" t="s">
        <v>65</v>
      </c>
      <c r="K2181" s="2">
        <v>31509</v>
      </c>
      <c r="L2181" t="s">
        <v>156</v>
      </c>
      <c r="M2181" t="s">
        <v>48</v>
      </c>
      <c r="N2181" t="s">
        <v>60</v>
      </c>
      <c r="O2181" t="s">
        <v>61</v>
      </c>
      <c r="P2181" t="s">
        <v>40</v>
      </c>
      <c r="Q2181">
        <v>5</v>
      </c>
      <c r="R2181" s="2">
        <v>45073</v>
      </c>
      <c r="S2181">
        <v>1</v>
      </c>
      <c r="T2181">
        <v>5</v>
      </c>
      <c r="U2181">
        <v>4</v>
      </c>
      <c r="V2181" s="1">
        <v>45016</v>
      </c>
      <c r="W2181" t="s">
        <v>41</v>
      </c>
      <c r="X2181" t="s">
        <v>42</v>
      </c>
      <c r="Y2181" t="s">
        <v>73</v>
      </c>
      <c r="Z2181">
        <v>2</v>
      </c>
      <c r="AA2181">
        <v>775.58</v>
      </c>
      <c r="AB2181">
        <v>32</v>
      </c>
    </row>
    <row r="2182" spans="1:28" x14ac:dyDescent="0.2">
      <c r="A2182">
        <v>2704</v>
      </c>
      <c r="B2182" s="1">
        <v>43857</v>
      </c>
      <c r="C2182" t="s">
        <v>53</v>
      </c>
      <c r="D2182" t="s">
        <v>44</v>
      </c>
      <c r="E2182" t="s">
        <v>30</v>
      </c>
      <c r="F2182" t="s">
        <v>46</v>
      </c>
      <c r="G2182" t="s">
        <v>45</v>
      </c>
      <c r="H2182" t="s">
        <v>55</v>
      </c>
      <c r="I2182" t="s">
        <v>57</v>
      </c>
      <c r="J2182" t="s">
        <v>70</v>
      </c>
      <c r="K2182" s="2">
        <v>36006</v>
      </c>
      <c r="L2182" t="s">
        <v>156</v>
      </c>
      <c r="M2182" t="s">
        <v>48</v>
      </c>
      <c r="N2182" t="s">
        <v>72</v>
      </c>
      <c r="O2182" t="s">
        <v>39</v>
      </c>
      <c r="P2182" t="s">
        <v>40</v>
      </c>
      <c r="Q2182">
        <v>4</v>
      </c>
      <c r="R2182" s="2">
        <v>44818</v>
      </c>
      <c r="S2182">
        <v>2</v>
      </c>
      <c r="T2182">
        <v>4</v>
      </c>
      <c r="U2182">
        <v>4</v>
      </c>
      <c r="V2182" s="1">
        <v>44905</v>
      </c>
      <c r="W2182" t="s">
        <v>41</v>
      </c>
      <c r="X2182" t="s">
        <v>42</v>
      </c>
      <c r="Y2182" t="s">
        <v>52</v>
      </c>
      <c r="Z2182">
        <v>2</v>
      </c>
      <c r="AA2182">
        <v>499.97</v>
      </c>
      <c r="AB2182">
        <v>22</v>
      </c>
    </row>
    <row r="2183" spans="1:28" x14ac:dyDescent="0.2">
      <c r="A2183">
        <v>2705</v>
      </c>
      <c r="B2183" s="1">
        <v>43408</v>
      </c>
      <c r="C2183" t="s">
        <v>53</v>
      </c>
      <c r="D2183" t="s">
        <v>87</v>
      </c>
      <c r="E2183" t="s">
        <v>30</v>
      </c>
      <c r="F2183" t="s">
        <v>55</v>
      </c>
      <c r="G2183" t="s">
        <v>56</v>
      </c>
      <c r="H2183" t="s">
        <v>33</v>
      </c>
      <c r="I2183" t="s">
        <v>57</v>
      </c>
      <c r="J2183" t="s">
        <v>65</v>
      </c>
      <c r="K2183" s="2">
        <v>36823</v>
      </c>
      <c r="L2183" t="s">
        <v>156</v>
      </c>
      <c r="M2183" t="s">
        <v>37</v>
      </c>
      <c r="N2183" t="s">
        <v>49</v>
      </c>
      <c r="O2183" t="s">
        <v>77</v>
      </c>
      <c r="P2183" t="s">
        <v>40</v>
      </c>
      <c r="Q2183">
        <v>2</v>
      </c>
      <c r="R2183" s="2">
        <v>45115</v>
      </c>
      <c r="S2183">
        <v>3</v>
      </c>
      <c r="T2183">
        <v>2</v>
      </c>
      <c r="U2183">
        <v>2</v>
      </c>
      <c r="V2183" s="1">
        <v>45070</v>
      </c>
      <c r="W2183" t="s">
        <v>92</v>
      </c>
      <c r="X2183" t="s">
        <v>51</v>
      </c>
      <c r="Y2183" t="s">
        <v>52</v>
      </c>
      <c r="Z2183">
        <v>1</v>
      </c>
      <c r="AA2183">
        <v>826.31</v>
      </c>
      <c r="AB2183">
        <v>18</v>
      </c>
    </row>
    <row r="2184" spans="1:28" x14ac:dyDescent="0.2">
      <c r="A2184">
        <v>2706</v>
      </c>
      <c r="B2184" s="1">
        <v>43447</v>
      </c>
      <c r="C2184" t="s">
        <v>53</v>
      </c>
      <c r="D2184" t="s">
        <v>81</v>
      </c>
      <c r="E2184" t="s">
        <v>30</v>
      </c>
      <c r="F2184" t="s">
        <v>46</v>
      </c>
      <c r="G2184" t="s">
        <v>45</v>
      </c>
      <c r="H2184" t="s">
        <v>46</v>
      </c>
      <c r="I2184" t="s">
        <v>57</v>
      </c>
      <c r="J2184" t="s">
        <v>70</v>
      </c>
      <c r="K2184" s="2">
        <v>27661</v>
      </c>
      <c r="L2184" t="s">
        <v>163</v>
      </c>
      <c r="M2184" t="s">
        <v>48</v>
      </c>
      <c r="N2184" t="s">
        <v>84</v>
      </c>
      <c r="O2184" t="s">
        <v>39</v>
      </c>
      <c r="P2184" t="s">
        <v>40</v>
      </c>
      <c r="Q2184">
        <v>2</v>
      </c>
      <c r="R2184" s="2">
        <v>44913</v>
      </c>
      <c r="S2184">
        <v>3</v>
      </c>
      <c r="T2184">
        <v>2</v>
      </c>
      <c r="U2184">
        <v>5</v>
      </c>
      <c r="V2184" s="1">
        <v>45013</v>
      </c>
      <c r="W2184" t="s">
        <v>41</v>
      </c>
      <c r="X2184" t="s">
        <v>42</v>
      </c>
      <c r="Y2184" t="s">
        <v>43</v>
      </c>
      <c r="Z2184">
        <v>5</v>
      </c>
      <c r="AA2184">
        <v>258.38</v>
      </c>
      <c r="AB2184">
        <v>43</v>
      </c>
    </row>
    <row r="2185" spans="1:28" x14ac:dyDescent="0.2">
      <c r="A2185">
        <v>2707</v>
      </c>
      <c r="B2185" s="1">
        <v>44893</v>
      </c>
      <c r="C2185" t="s">
        <v>53</v>
      </c>
      <c r="D2185" t="s">
        <v>54</v>
      </c>
      <c r="E2185" t="s">
        <v>30</v>
      </c>
      <c r="F2185" t="s">
        <v>55</v>
      </c>
      <c r="G2185" t="s">
        <v>56</v>
      </c>
      <c r="H2185" t="s">
        <v>46</v>
      </c>
      <c r="I2185" t="s">
        <v>57</v>
      </c>
      <c r="J2185" t="s">
        <v>65</v>
      </c>
      <c r="K2185" s="2">
        <v>33836</v>
      </c>
      <c r="L2185" t="s">
        <v>158</v>
      </c>
      <c r="M2185" t="s">
        <v>48</v>
      </c>
      <c r="N2185" t="s">
        <v>38</v>
      </c>
      <c r="O2185" t="s">
        <v>67</v>
      </c>
      <c r="P2185" t="s">
        <v>40</v>
      </c>
      <c r="Q2185">
        <v>4</v>
      </c>
      <c r="R2185" s="2">
        <v>44954</v>
      </c>
      <c r="S2185">
        <v>1</v>
      </c>
      <c r="T2185">
        <v>2</v>
      </c>
      <c r="U2185">
        <v>1</v>
      </c>
      <c r="V2185" s="1">
        <v>44881</v>
      </c>
      <c r="W2185" t="s">
        <v>50</v>
      </c>
      <c r="X2185" t="s">
        <v>51</v>
      </c>
      <c r="Y2185" t="s">
        <v>52</v>
      </c>
      <c r="Z2185">
        <v>3</v>
      </c>
      <c r="AA2185">
        <v>412.09</v>
      </c>
      <c r="AB2185">
        <v>30</v>
      </c>
    </row>
    <row r="2186" spans="1:28" x14ac:dyDescent="0.2">
      <c r="A2186">
        <v>2708</v>
      </c>
      <c r="B2186" s="1">
        <v>44720</v>
      </c>
      <c r="C2186" t="s">
        <v>53</v>
      </c>
      <c r="D2186" t="s">
        <v>94</v>
      </c>
      <c r="E2186" t="s">
        <v>30</v>
      </c>
      <c r="F2186" t="s">
        <v>55</v>
      </c>
      <c r="G2186" t="s">
        <v>32</v>
      </c>
      <c r="H2186" t="s">
        <v>46</v>
      </c>
      <c r="I2186" t="s">
        <v>57</v>
      </c>
      <c r="J2186" t="s">
        <v>65</v>
      </c>
      <c r="K2186" s="2">
        <v>23954</v>
      </c>
      <c r="L2186" t="s">
        <v>162</v>
      </c>
      <c r="M2186" t="s">
        <v>48</v>
      </c>
      <c r="N2186" t="s">
        <v>84</v>
      </c>
      <c r="O2186" t="s">
        <v>67</v>
      </c>
      <c r="P2186" t="s">
        <v>40</v>
      </c>
      <c r="Q2186">
        <v>2</v>
      </c>
      <c r="R2186" s="2">
        <v>44941</v>
      </c>
      <c r="S2186">
        <v>1</v>
      </c>
      <c r="T2186">
        <v>3</v>
      </c>
      <c r="U2186">
        <v>5</v>
      </c>
      <c r="V2186" s="1">
        <v>44899</v>
      </c>
      <c r="W2186" t="s">
        <v>41</v>
      </c>
      <c r="X2186" t="s">
        <v>42</v>
      </c>
      <c r="Y2186" t="s">
        <v>43</v>
      </c>
      <c r="Z2186">
        <v>5</v>
      </c>
      <c r="AA2186">
        <v>294.23</v>
      </c>
      <c r="AB2186">
        <v>57</v>
      </c>
    </row>
    <row r="2187" spans="1:28" x14ac:dyDescent="0.2">
      <c r="A2187">
        <v>2709</v>
      </c>
      <c r="B2187" s="1">
        <v>44654</v>
      </c>
      <c r="C2187" t="s">
        <v>53</v>
      </c>
      <c r="D2187" t="s">
        <v>85</v>
      </c>
      <c r="E2187" t="s">
        <v>30</v>
      </c>
      <c r="F2187" t="s">
        <v>55</v>
      </c>
      <c r="G2187" t="s">
        <v>45</v>
      </c>
      <c r="H2187" t="s">
        <v>55</v>
      </c>
      <c r="I2187" t="s">
        <v>57</v>
      </c>
      <c r="J2187" t="s">
        <v>70</v>
      </c>
      <c r="K2187" s="2">
        <v>31075</v>
      </c>
      <c r="L2187" t="s">
        <v>153</v>
      </c>
      <c r="M2187" t="s">
        <v>48</v>
      </c>
      <c r="N2187" t="s">
        <v>84</v>
      </c>
      <c r="O2187" t="s">
        <v>67</v>
      </c>
      <c r="P2187" t="s">
        <v>40</v>
      </c>
      <c r="Q2187">
        <v>2</v>
      </c>
      <c r="R2187" s="2">
        <v>44801</v>
      </c>
      <c r="S2187">
        <v>1</v>
      </c>
      <c r="T2187">
        <v>2</v>
      </c>
      <c r="U2187">
        <v>2</v>
      </c>
      <c r="V2187" s="1">
        <v>44849</v>
      </c>
      <c r="W2187" t="s">
        <v>68</v>
      </c>
      <c r="X2187" t="s">
        <v>42</v>
      </c>
      <c r="Y2187" t="s">
        <v>43</v>
      </c>
      <c r="Z2187">
        <v>2</v>
      </c>
      <c r="AA2187">
        <v>415.45</v>
      </c>
      <c r="AB2187">
        <v>37</v>
      </c>
    </row>
    <row r="2188" spans="1:28" x14ac:dyDescent="0.2">
      <c r="A2188">
        <v>2710</v>
      </c>
      <c r="B2188" s="1">
        <v>44620</v>
      </c>
      <c r="C2188" t="s">
        <v>53</v>
      </c>
      <c r="D2188" t="s">
        <v>64</v>
      </c>
      <c r="E2188" t="s">
        <v>30</v>
      </c>
      <c r="F2188" t="s">
        <v>46</v>
      </c>
      <c r="G2188" t="s">
        <v>32</v>
      </c>
      <c r="H2188" t="s">
        <v>55</v>
      </c>
      <c r="I2188" t="s">
        <v>57</v>
      </c>
      <c r="J2188" t="s">
        <v>70</v>
      </c>
      <c r="K2188" s="2">
        <v>34438</v>
      </c>
      <c r="L2188" t="s">
        <v>153</v>
      </c>
      <c r="M2188" t="s">
        <v>48</v>
      </c>
      <c r="N2188" t="s">
        <v>72</v>
      </c>
      <c r="O2188" t="s">
        <v>61</v>
      </c>
      <c r="P2188" t="s">
        <v>40</v>
      </c>
      <c r="Q2188">
        <v>5</v>
      </c>
      <c r="R2188" s="2">
        <v>44785</v>
      </c>
      <c r="S2188">
        <v>4</v>
      </c>
      <c r="T2188">
        <v>2</v>
      </c>
      <c r="U2188">
        <v>3</v>
      </c>
      <c r="V2188" s="1">
        <v>45127</v>
      </c>
      <c r="W2188" t="s">
        <v>50</v>
      </c>
      <c r="X2188" t="s">
        <v>42</v>
      </c>
      <c r="Y2188" t="s">
        <v>43</v>
      </c>
      <c r="Z2188">
        <v>5</v>
      </c>
      <c r="AA2188">
        <v>807.71</v>
      </c>
      <c r="AB2188">
        <v>28</v>
      </c>
    </row>
    <row r="2189" spans="1:28" x14ac:dyDescent="0.2">
      <c r="A2189">
        <v>2711</v>
      </c>
      <c r="B2189" s="1">
        <v>44427</v>
      </c>
      <c r="C2189" t="s">
        <v>53</v>
      </c>
      <c r="D2189" t="s">
        <v>74</v>
      </c>
      <c r="E2189" t="s">
        <v>30</v>
      </c>
      <c r="F2189" t="s">
        <v>31</v>
      </c>
      <c r="G2189" t="s">
        <v>32</v>
      </c>
      <c r="H2189" t="s">
        <v>33</v>
      </c>
      <c r="I2189" t="s">
        <v>57</v>
      </c>
      <c r="J2189" t="s">
        <v>70</v>
      </c>
      <c r="K2189" s="2">
        <v>26824</v>
      </c>
      <c r="L2189" t="s">
        <v>153</v>
      </c>
      <c r="M2189" t="s">
        <v>48</v>
      </c>
      <c r="N2189" t="s">
        <v>72</v>
      </c>
      <c r="O2189" t="s">
        <v>77</v>
      </c>
      <c r="P2189" t="s">
        <v>40</v>
      </c>
      <c r="Q2189">
        <v>2</v>
      </c>
      <c r="R2189" s="2">
        <v>44964</v>
      </c>
      <c r="S2189">
        <v>4</v>
      </c>
      <c r="T2189">
        <v>2</v>
      </c>
      <c r="U2189">
        <v>5</v>
      </c>
      <c r="V2189" s="1">
        <v>44817</v>
      </c>
      <c r="W2189" t="s">
        <v>41</v>
      </c>
      <c r="X2189" t="s">
        <v>42</v>
      </c>
      <c r="Y2189" t="s">
        <v>63</v>
      </c>
      <c r="Z2189">
        <v>1</v>
      </c>
      <c r="AA2189">
        <v>408.39</v>
      </c>
      <c r="AB2189">
        <v>48</v>
      </c>
    </row>
    <row r="2190" spans="1:28" x14ac:dyDescent="0.2">
      <c r="A2190">
        <v>2712</v>
      </c>
      <c r="B2190" s="1">
        <v>43331</v>
      </c>
      <c r="C2190" t="s">
        <v>53</v>
      </c>
      <c r="D2190" t="s">
        <v>94</v>
      </c>
      <c r="E2190" t="s">
        <v>30</v>
      </c>
      <c r="F2190" t="s">
        <v>55</v>
      </c>
      <c r="G2190" t="s">
        <v>45</v>
      </c>
      <c r="H2190" t="s">
        <v>55</v>
      </c>
      <c r="I2190" t="s">
        <v>57</v>
      </c>
      <c r="J2190" t="s">
        <v>65</v>
      </c>
      <c r="K2190" s="2">
        <v>33793</v>
      </c>
      <c r="L2190" t="s">
        <v>160</v>
      </c>
      <c r="M2190" t="s">
        <v>48</v>
      </c>
      <c r="N2190" t="s">
        <v>60</v>
      </c>
      <c r="O2190" t="s">
        <v>67</v>
      </c>
      <c r="P2190" t="s">
        <v>40</v>
      </c>
      <c r="Q2190">
        <v>1</v>
      </c>
      <c r="R2190" s="2">
        <v>45101</v>
      </c>
      <c r="S2190">
        <v>3</v>
      </c>
      <c r="T2190">
        <v>2</v>
      </c>
      <c r="U2190">
        <v>5</v>
      </c>
      <c r="V2190" s="1">
        <v>44956</v>
      </c>
      <c r="W2190" t="s">
        <v>92</v>
      </c>
      <c r="X2190" t="s">
        <v>51</v>
      </c>
      <c r="Y2190" t="s">
        <v>73</v>
      </c>
      <c r="Z2190">
        <v>1</v>
      </c>
      <c r="AA2190">
        <v>741.6</v>
      </c>
      <c r="AB2190">
        <v>26</v>
      </c>
    </row>
    <row r="2191" spans="1:28" x14ac:dyDescent="0.2">
      <c r="A2191">
        <v>2713</v>
      </c>
      <c r="B2191" s="1">
        <v>43753</v>
      </c>
      <c r="C2191" t="s">
        <v>53</v>
      </c>
      <c r="D2191" t="s">
        <v>74</v>
      </c>
      <c r="E2191" t="s">
        <v>30</v>
      </c>
      <c r="F2191" t="s">
        <v>55</v>
      </c>
      <c r="G2191" t="s">
        <v>45</v>
      </c>
      <c r="H2191" t="s">
        <v>55</v>
      </c>
      <c r="I2191" t="s">
        <v>57</v>
      </c>
      <c r="J2191" t="s">
        <v>47</v>
      </c>
      <c r="K2191" s="2">
        <v>35470</v>
      </c>
      <c r="L2191" t="s">
        <v>160</v>
      </c>
      <c r="M2191" t="s">
        <v>48</v>
      </c>
      <c r="N2191" t="s">
        <v>72</v>
      </c>
      <c r="O2191" t="s">
        <v>67</v>
      </c>
      <c r="P2191" t="s">
        <v>40</v>
      </c>
      <c r="Q2191">
        <v>5</v>
      </c>
      <c r="R2191" s="2">
        <v>44917</v>
      </c>
      <c r="S2191">
        <v>5</v>
      </c>
      <c r="T2191">
        <v>2</v>
      </c>
      <c r="U2191">
        <v>4</v>
      </c>
      <c r="V2191" s="1">
        <v>45025</v>
      </c>
      <c r="W2191" t="s">
        <v>68</v>
      </c>
      <c r="X2191" t="s">
        <v>51</v>
      </c>
      <c r="Y2191" t="s">
        <v>63</v>
      </c>
      <c r="Z2191">
        <v>3</v>
      </c>
      <c r="AA2191">
        <v>193.48</v>
      </c>
      <c r="AB2191">
        <v>22</v>
      </c>
    </row>
    <row r="2192" spans="1:28" x14ac:dyDescent="0.2">
      <c r="A2192">
        <v>2714</v>
      </c>
      <c r="B2192" s="1">
        <v>44980</v>
      </c>
      <c r="C2192" t="s">
        <v>53</v>
      </c>
      <c r="D2192" t="s">
        <v>81</v>
      </c>
      <c r="E2192" t="s">
        <v>30</v>
      </c>
      <c r="F2192" t="s">
        <v>46</v>
      </c>
      <c r="G2192" t="s">
        <v>32</v>
      </c>
      <c r="H2192" t="s">
        <v>33</v>
      </c>
      <c r="I2192" t="s">
        <v>57</v>
      </c>
      <c r="J2192" t="s">
        <v>70</v>
      </c>
      <c r="K2192" s="2">
        <v>26491</v>
      </c>
      <c r="L2192" t="s">
        <v>155</v>
      </c>
      <c r="M2192" t="s">
        <v>48</v>
      </c>
      <c r="N2192" t="s">
        <v>84</v>
      </c>
      <c r="O2192" t="s">
        <v>39</v>
      </c>
      <c r="P2192" t="s">
        <v>40</v>
      </c>
      <c r="Q2192">
        <v>1</v>
      </c>
      <c r="R2192" s="2">
        <v>44854</v>
      </c>
      <c r="S2192">
        <v>3</v>
      </c>
      <c r="T2192">
        <v>1</v>
      </c>
      <c r="U2192">
        <v>3</v>
      </c>
      <c r="V2192" s="1">
        <v>44934</v>
      </c>
      <c r="W2192" t="s">
        <v>68</v>
      </c>
      <c r="X2192" t="s">
        <v>42</v>
      </c>
      <c r="Y2192" t="s">
        <v>52</v>
      </c>
      <c r="Z2192">
        <v>5</v>
      </c>
      <c r="AA2192">
        <v>831.09</v>
      </c>
      <c r="AB2192">
        <v>51</v>
      </c>
    </row>
    <row r="2193" spans="1:28" x14ac:dyDescent="0.2">
      <c r="A2193">
        <v>2715</v>
      </c>
      <c r="B2193" s="1">
        <v>44958</v>
      </c>
      <c r="C2193" t="s">
        <v>53</v>
      </c>
      <c r="D2193" t="s">
        <v>54</v>
      </c>
      <c r="E2193" t="s">
        <v>30</v>
      </c>
      <c r="F2193" t="s">
        <v>55</v>
      </c>
      <c r="G2193" t="s">
        <v>56</v>
      </c>
      <c r="H2193" t="s">
        <v>33</v>
      </c>
      <c r="I2193" t="s">
        <v>57</v>
      </c>
      <c r="J2193" t="s">
        <v>70</v>
      </c>
      <c r="K2193" s="2">
        <v>34929</v>
      </c>
      <c r="L2193" t="s">
        <v>155</v>
      </c>
      <c r="M2193" t="s">
        <v>37</v>
      </c>
      <c r="N2193" t="s">
        <v>84</v>
      </c>
      <c r="O2193" t="s">
        <v>77</v>
      </c>
      <c r="P2193" t="s">
        <v>40</v>
      </c>
      <c r="Q2193">
        <v>4</v>
      </c>
      <c r="R2193" s="2">
        <v>44937</v>
      </c>
      <c r="S2193">
        <v>3</v>
      </c>
      <c r="T2193">
        <v>5</v>
      </c>
      <c r="U2193">
        <v>1</v>
      </c>
      <c r="V2193" s="1">
        <v>44848</v>
      </c>
      <c r="W2193" t="s">
        <v>50</v>
      </c>
      <c r="X2193" t="s">
        <v>51</v>
      </c>
      <c r="Y2193" t="s">
        <v>63</v>
      </c>
      <c r="Z2193">
        <v>5</v>
      </c>
      <c r="AA2193">
        <v>573.55999999999995</v>
      </c>
      <c r="AB2193">
        <v>28</v>
      </c>
    </row>
    <row r="2194" spans="1:28" x14ac:dyDescent="0.2">
      <c r="A2194">
        <v>2716</v>
      </c>
      <c r="B2194" s="1">
        <v>45053</v>
      </c>
      <c r="C2194" t="s">
        <v>137</v>
      </c>
      <c r="D2194" t="s">
        <v>69</v>
      </c>
      <c r="E2194" t="s">
        <v>30</v>
      </c>
      <c r="F2194" t="s">
        <v>31</v>
      </c>
      <c r="G2194" t="s">
        <v>45</v>
      </c>
      <c r="H2194" t="s">
        <v>33</v>
      </c>
      <c r="I2194" t="s">
        <v>57</v>
      </c>
      <c r="J2194" t="s">
        <v>82</v>
      </c>
      <c r="K2194" s="2">
        <v>25558</v>
      </c>
      <c r="L2194" t="s">
        <v>36</v>
      </c>
      <c r="M2194" t="s">
        <v>37</v>
      </c>
      <c r="N2194" t="s">
        <v>84</v>
      </c>
      <c r="O2194" t="s">
        <v>39</v>
      </c>
      <c r="P2194" t="s">
        <v>40</v>
      </c>
      <c r="Q2194">
        <v>2</v>
      </c>
      <c r="R2194" s="2">
        <v>44832</v>
      </c>
      <c r="S2194">
        <v>3</v>
      </c>
      <c r="T2194">
        <v>2</v>
      </c>
      <c r="U2194">
        <v>2</v>
      </c>
      <c r="V2194" s="1">
        <v>44942</v>
      </c>
      <c r="W2194" t="s">
        <v>41</v>
      </c>
      <c r="X2194" t="s">
        <v>42</v>
      </c>
      <c r="Y2194" t="s">
        <v>63</v>
      </c>
      <c r="Z2194">
        <v>4</v>
      </c>
      <c r="AA2194">
        <v>247.11</v>
      </c>
      <c r="AB2194">
        <v>54</v>
      </c>
    </row>
    <row r="2195" spans="1:28" x14ac:dyDescent="0.2">
      <c r="A2195">
        <v>2717</v>
      </c>
      <c r="B2195" s="1">
        <v>43977</v>
      </c>
      <c r="C2195" t="s">
        <v>53</v>
      </c>
      <c r="D2195" t="s">
        <v>94</v>
      </c>
      <c r="E2195" t="s">
        <v>30</v>
      </c>
      <c r="F2195" t="s">
        <v>55</v>
      </c>
      <c r="G2195" t="s">
        <v>45</v>
      </c>
      <c r="H2195" t="s">
        <v>33</v>
      </c>
      <c r="I2195" t="s">
        <v>57</v>
      </c>
      <c r="J2195" t="s">
        <v>70</v>
      </c>
      <c r="K2195" s="2">
        <v>35008</v>
      </c>
      <c r="L2195" t="s">
        <v>36</v>
      </c>
      <c r="M2195" t="s">
        <v>48</v>
      </c>
      <c r="N2195" t="s">
        <v>72</v>
      </c>
      <c r="O2195" t="s">
        <v>77</v>
      </c>
      <c r="P2195" t="s">
        <v>40</v>
      </c>
      <c r="Q2195">
        <v>1</v>
      </c>
      <c r="R2195" s="2">
        <v>45132</v>
      </c>
      <c r="S2195">
        <v>1</v>
      </c>
      <c r="T2195">
        <v>1</v>
      </c>
      <c r="U2195">
        <v>2</v>
      </c>
      <c r="V2195" s="1">
        <v>45010</v>
      </c>
      <c r="W2195" t="s">
        <v>92</v>
      </c>
      <c r="X2195" t="s">
        <v>42</v>
      </c>
      <c r="Y2195" t="s">
        <v>73</v>
      </c>
      <c r="Z2195">
        <v>5</v>
      </c>
      <c r="AA2195">
        <v>866.13</v>
      </c>
      <c r="AB2195">
        <v>25</v>
      </c>
    </row>
    <row r="2196" spans="1:28" x14ac:dyDescent="0.2">
      <c r="A2196">
        <v>2718</v>
      </c>
      <c r="B2196" s="1">
        <v>44601</v>
      </c>
      <c r="C2196" t="s">
        <v>53</v>
      </c>
      <c r="D2196" t="s">
        <v>74</v>
      </c>
      <c r="E2196" t="s">
        <v>30</v>
      </c>
      <c r="F2196" t="s">
        <v>46</v>
      </c>
      <c r="G2196" t="s">
        <v>45</v>
      </c>
      <c r="H2196" t="s">
        <v>46</v>
      </c>
      <c r="I2196" t="s">
        <v>57</v>
      </c>
      <c r="J2196" t="s">
        <v>47</v>
      </c>
      <c r="K2196" s="2">
        <v>36186</v>
      </c>
      <c r="L2196" t="s">
        <v>156</v>
      </c>
      <c r="M2196" t="s">
        <v>48</v>
      </c>
      <c r="N2196" t="s">
        <v>60</v>
      </c>
      <c r="O2196" t="s">
        <v>67</v>
      </c>
      <c r="P2196" t="s">
        <v>40</v>
      </c>
      <c r="Q2196">
        <v>5</v>
      </c>
      <c r="R2196" s="2">
        <v>45078</v>
      </c>
      <c r="S2196">
        <v>3</v>
      </c>
      <c r="T2196">
        <v>5</v>
      </c>
      <c r="U2196">
        <v>5</v>
      </c>
      <c r="V2196" s="1">
        <v>44878</v>
      </c>
      <c r="W2196" t="s">
        <v>62</v>
      </c>
      <c r="X2196" t="s">
        <v>42</v>
      </c>
      <c r="Y2196" t="s">
        <v>52</v>
      </c>
      <c r="Z2196">
        <v>5</v>
      </c>
      <c r="AA2196">
        <v>760.24</v>
      </c>
      <c r="AB2196">
        <v>23</v>
      </c>
    </row>
    <row r="2197" spans="1:28" x14ac:dyDescent="0.2">
      <c r="A2197">
        <v>2719</v>
      </c>
      <c r="B2197" s="1">
        <v>44732</v>
      </c>
      <c r="C2197" t="s">
        <v>53</v>
      </c>
      <c r="D2197" t="s">
        <v>81</v>
      </c>
      <c r="E2197" t="s">
        <v>30</v>
      </c>
      <c r="F2197" t="s">
        <v>31</v>
      </c>
      <c r="G2197" t="s">
        <v>32</v>
      </c>
      <c r="H2197" t="s">
        <v>33</v>
      </c>
      <c r="I2197" t="s">
        <v>57</v>
      </c>
      <c r="J2197" t="s">
        <v>35</v>
      </c>
      <c r="K2197" s="2">
        <v>35106</v>
      </c>
      <c r="L2197" t="s">
        <v>156</v>
      </c>
      <c r="M2197" t="s">
        <v>48</v>
      </c>
      <c r="N2197" t="s">
        <v>49</v>
      </c>
      <c r="O2197" t="s">
        <v>77</v>
      </c>
      <c r="P2197" t="s">
        <v>40</v>
      </c>
      <c r="Q2197">
        <v>4</v>
      </c>
      <c r="R2197" s="2">
        <v>44874</v>
      </c>
      <c r="S2197">
        <v>5</v>
      </c>
      <c r="T2197">
        <v>5</v>
      </c>
      <c r="U2197">
        <v>5</v>
      </c>
      <c r="V2197" s="1">
        <v>45132</v>
      </c>
      <c r="W2197" t="s">
        <v>41</v>
      </c>
      <c r="X2197" t="s">
        <v>42</v>
      </c>
      <c r="Y2197" t="s">
        <v>73</v>
      </c>
      <c r="Z2197">
        <v>5</v>
      </c>
      <c r="AA2197">
        <v>992.93</v>
      </c>
      <c r="AB2197">
        <v>26</v>
      </c>
    </row>
    <row r="2198" spans="1:28" x14ac:dyDescent="0.2">
      <c r="A2198">
        <v>2720</v>
      </c>
      <c r="B2198" s="1">
        <v>44569</v>
      </c>
      <c r="C2198" t="s">
        <v>53</v>
      </c>
      <c r="D2198" t="s">
        <v>54</v>
      </c>
      <c r="E2198" t="s">
        <v>30</v>
      </c>
      <c r="F2198" t="s">
        <v>31</v>
      </c>
      <c r="G2198" t="s">
        <v>45</v>
      </c>
      <c r="H2198" t="s">
        <v>33</v>
      </c>
      <c r="I2198" t="s">
        <v>57</v>
      </c>
      <c r="J2198" t="s">
        <v>70</v>
      </c>
      <c r="K2198" s="2">
        <v>34559</v>
      </c>
      <c r="L2198" t="s">
        <v>163</v>
      </c>
      <c r="M2198" t="s">
        <v>37</v>
      </c>
      <c r="N2198" t="s">
        <v>84</v>
      </c>
      <c r="O2198" t="s">
        <v>39</v>
      </c>
      <c r="P2198" t="s">
        <v>40</v>
      </c>
      <c r="Q2198">
        <v>4</v>
      </c>
      <c r="R2198" s="2">
        <v>44907</v>
      </c>
      <c r="S2198">
        <v>3</v>
      </c>
      <c r="T2198">
        <v>3</v>
      </c>
      <c r="U2198">
        <v>2</v>
      </c>
      <c r="V2198" s="1">
        <v>45055</v>
      </c>
      <c r="W2198" t="s">
        <v>50</v>
      </c>
      <c r="X2198" t="s">
        <v>51</v>
      </c>
      <c r="Y2198" t="s">
        <v>43</v>
      </c>
      <c r="Z2198">
        <v>2</v>
      </c>
      <c r="AA2198">
        <v>960.4</v>
      </c>
      <c r="AB2198">
        <v>28</v>
      </c>
    </row>
    <row r="2199" spans="1:28" x14ac:dyDescent="0.2">
      <c r="A2199">
        <v>2721</v>
      </c>
      <c r="B2199" s="1">
        <v>43891</v>
      </c>
      <c r="C2199" t="s">
        <v>53</v>
      </c>
      <c r="D2199" t="s">
        <v>69</v>
      </c>
      <c r="E2199" t="s">
        <v>30</v>
      </c>
      <c r="F2199" t="s">
        <v>55</v>
      </c>
      <c r="G2199" t="s">
        <v>45</v>
      </c>
      <c r="H2199" t="s">
        <v>55</v>
      </c>
      <c r="I2199" t="s">
        <v>57</v>
      </c>
      <c r="J2199" t="s">
        <v>100</v>
      </c>
      <c r="K2199" s="2">
        <v>29905</v>
      </c>
      <c r="L2199" t="s">
        <v>163</v>
      </c>
      <c r="M2199" t="s">
        <v>48</v>
      </c>
      <c r="N2199" t="s">
        <v>49</v>
      </c>
      <c r="O2199" t="s">
        <v>67</v>
      </c>
      <c r="P2199" t="s">
        <v>40</v>
      </c>
      <c r="Q2199">
        <v>4</v>
      </c>
      <c r="R2199" s="2">
        <v>45011</v>
      </c>
      <c r="S2199">
        <v>1</v>
      </c>
      <c r="T2199">
        <v>4</v>
      </c>
      <c r="U2199">
        <v>3</v>
      </c>
      <c r="V2199" s="1">
        <v>44853</v>
      </c>
      <c r="W2199" t="s">
        <v>62</v>
      </c>
      <c r="X2199" t="s">
        <v>42</v>
      </c>
      <c r="Y2199" t="s">
        <v>52</v>
      </c>
      <c r="Z2199">
        <v>4</v>
      </c>
      <c r="AA2199">
        <v>173.54</v>
      </c>
      <c r="AB2199">
        <v>39</v>
      </c>
    </row>
    <row r="2200" spans="1:28" x14ac:dyDescent="0.2">
      <c r="A2200">
        <v>2722</v>
      </c>
      <c r="B2200" s="1">
        <v>44109</v>
      </c>
      <c r="C2200" t="s">
        <v>53</v>
      </c>
      <c r="D2200" t="s">
        <v>29</v>
      </c>
      <c r="E2200" t="s">
        <v>30</v>
      </c>
      <c r="F2200" t="s">
        <v>31</v>
      </c>
      <c r="G2200" t="s">
        <v>32</v>
      </c>
      <c r="H2200" t="s">
        <v>33</v>
      </c>
      <c r="I2200" t="s">
        <v>57</v>
      </c>
      <c r="J2200" t="s">
        <v>65</v>
      </c>
      <c r="K2200" s="2">
        <v>29191</v>
      </c>
      <c r="L2200" t="s">
        <v>158</v>
      </c>
      <c r="M2200" t="s">
        <v>48</v>
      </c>
      <c r="N2200" t="s">
        <v>38</v>
      </c>
      <c r="O2200" t="s">
        <v>61</v>
      </c>
      <c r="P2200" t="s">
        <v>40</v>
      </c>
      <c r="Q2200">
        <v>2</v>
      </c>
      <c r="R2200" s="2">
        <v>44913</v>
      </c>
      <c r="S2200">
        <v>3</v>
      </c>
      <c r="T2200">
        <v>4</v>
      </c>
      <c r="U2200">
        <v>2</v>
      </c>
      <c r="V2200" s="1">
        <v>45124</v>
      </c>
      <c r="W2200" t="s">
        <v>41</v>
      </c>
      <c r="X2200" t="s">
        <v>51</v>
      </c>
      <c r="Y2200" t="s">
        <v>73</v>
      </c>
      <c r="Z2200">
        <v>1</v>
      </c>
      <c r="AA2200">
        <v>334.08</v>
      </c>
      <c r="AB2200">
        <v>41</v>
      </c>
    </row>
    <row r="2201" spans="1:28" x14ac:dyDescent="0.2">
      <c r="A2201">
        <v>2723</v>
      </c>
      <c r="B2201" s="1">
        <v>44328</v>
      </c>
      <c r="C2201" t="s">
        <v>53</v>
      </c>
      <c r="D2201" t="s">
        <v>85</v>
      </c>
      <c r="E2201" t="s">
        <v>30</v>
      </c>
      <c r="F2201" t="s">
        <v>46</v>
      </c>
      <c r="G2201" t="s">
        <v>32</v>
      </c>
      <c r="H2201" t="s">
        <v>33</v>
      </c>
      <c r="I2201" t="s">
        <v>57</v>
      </c>
      <c r="J2201" t="s">
        <v>70</v>
      </c>
      <c r="K2201" s="2">
        <v>27470</v>
      </c>
      <c r="L2201" t="s">
        <v>162</v>
      </c>
      <c r="M2201" t="s">
        <v>48</v>
      </c>
      <c r="N2201" t="s">
        <v>38</v>
      </c>
      <c r="O2201" t="s">
        <v>39</v>
      </c>
      <c r="P2201" t="s">
        <v>40</v>
      </c>
      <c r="Q2201">
        <v>2</v>
      </c>
      <c r="R2201" s="2">
        <v>44957</v>
      </c>
      <c r="S2201">
        <v>3</v>
      </c>
      <c r="T2201">
        <v>1</v>
      </c>
      <c r="U2201">
        <v>5</v>
      </c>
      <c r="V2201" s="1">
        <v>45129</v>
      </c>
      <c r="W2201" t="s">
        <v>41</v>
      </c>
      <c r="X2201" t="s">
        <v>51</v>
      </c>
      <c r="Y2201" t="s">
        <v>52</v>
      </c>
      <c r="Z2201">
        <v>3</v>
      </c>
      <c r="AA2201">
        <v>763.23</v>
      </c>
      <c r="AB2201">
        <v>46</v>
      </c>
    </row>
    <row r="2202" spans="1:28" x14ac:dyDescent="0.2">
      <c r="A2202">
        <v>2724</v>
      </c>
      <c r="B2202" s="1">
        <v>44927</v>
      </c>
      <c r="C2202" t="s">
        <v>53</v>
      </c>
      <c r="D2202" t="s">
        <v>44</v>
      </c>
      <c r="E2202" t="s">
        <v>30</v>
      </c>
      <c r="F2202" t="s">
        <v>46</v>
      </c>
      <c r="G2202" t="s">
        <v>56</v>
      </c>
      <c r="H2202" t="s">
        <v>33</v>
      </c>
      <c r="I2202" t="s">
        <v>57</v>
      </c>
      <c r="J2202" t="s">
        <v>102</v>
      </c>
      <c r="K2202" s="2">
        <v>15721</v>
      </c>
      <c r="L2202" t="s">
        <v>153</v>
      </c>
      <c r="M2202" t="s">
        <v>48</v>
      </c>
      <c r="N2202" t="s">
        <v>60</v>
      </c>
      <c r="O2202" t="s">
        <v>77</v>
      </c>
      <c r="P2202" t="s">
        <v>40</v>
      </c>
      <c r="Q2202">
        <v>1</v>
      </c>
      <c r="R2202" s="2">
        <v>44927</v>
      </c>
      <c r="S2202">
        <v>5</v>
      </c>
      <c r="T2202">
        <v>3</v>
      </c>
      <c r="U2202">
        <v>4</v>
      </c>
      <c r="V2202" s="1">
        <v>45080</v>
      </c>
      <c r="W2202" t="s">
        <v>41</v>
      </c>
      <c r="X2202" t="s">
        <v>51</v>
      </c>
      <c r="Y2202" t="s">
        <v>63</v>
      </c>
      <c r="Z2202">
        <v>2</v>
      </c>
      <c r="AA2202">
        <v>611.51</v>
      </c>
      <c r="AB2202">
        <v>80</v>
      </c>
    </row>
    <row r="2203" spans="1:28" x14ac:dyDescent="0.2">
      <c r="A2203">
        <v>2725</v>
      </c>
      <c r="B2203" s="1">
        <v>43787</v>
      </c>
      <c r="C2203" t="s">
        <v>53</v>
      </c>
      <c r="D2203" t="s">
        <v>87</v>
      </c>
      <c r="E2203" t="s">
        <v>30</v>
      </c>
      <c r="F2203" t="s">
        <v>31</v>
      </c>
      <c r="G2203" t="s">
        <v>56</v>
      </c>
      <c r="H2203" t="s">
        <v>55</v>
      </c>
      <c r="I2203" t="s">
        <v>57</v>
      </c>
      <c r="J2203" t="s">
        <v>70</v>
      </c>
      <c r="K2203" s="2">
        <v>25405</v>
      </c>
      <c r="L2203" t="s">
        <v>153</v>
      </c>
      <c r="M2203" t="s">
        <v>48</v>
      </c>
      <c r="N2203" t="s">
        <v>38</v>
      </c>
      <c r="O2203" t="s">
        <v>61</v>
      </c>
      <c r="P2203" t="s">
        <v>40</v>
      </c>
      <c r="Q2203">
        <v>4</v>
      </c>
      <c r="R2203" s="2">
        <v>44956</v>
      </c>
      <c r="S2203">
        <v>4</v>
      </c>
      <c r="T2203">
        <v>1</v>
      </c>
      <c r="U2203">
        <v>5</v>
      </c>
      <c r="V2203" s="1">
        <v>44924</v>
      </c>
      <c r="W2203" t="s">
        <v>68</v>
      </c>
      <c r="X2203" t="s">
        <v>42</v>
      </c>
      <c r="Y2203" t="s">
        <v>52</v>
      </c>
      <c r="Z2203">
        <v>2</v>
      </c>
      <c r="AA2203">
        <v>354.21</v>
      </c>
      <c r="AB2203">
        <v>50</v>
      </c>
    </row>
    <row r="2204" spans="1:28" x14ac:dyDescent="0.2">
      <c r="A2204">
        <v>2726</v>
      </c>
      <c r="B2204" s="1">
        <v>44328</v>
      </c>
      <c r="C2204" t="s">
        <v>53</v>
      </c>
      <c r="D2204" t="s">
        <v>64</v>
      </c>
      <c r="E2204" t="s">
        <v>30</v>
      </c>
      <c r="F2204" t="s">
        <v>31</v>
      </c>
      <c r="G2204" t="s">
        <v>56</v>
      </c>
      <c r="H2204" t="s">
        <v>55</v>
      </c>
      <c r="I2204" t="s">
        <v>57</v>
      </c>
      <c r="J2204" t="s">
        <v>101</v>
      </c>
      <c r="K2204" s="2">
        <v>25987</v>
      </c>
      <c r="L2204" t="s">
        <v>160</v>
      </c>
      <c r="M2204" t="s">
        <v>48</v>
      </c>
      <c r="N2204" t="s">
        <v>84</v>
      </c>
      <c r="O2204" t="s">
        <v>61</v>
      </c>
      <c r="P2204" t="s">
        <v>40</v>
      </c>
      <c r="Q2204">
        <v>2</v>
      </c>
      <c r="R2204" s="2">
        <v>45136</v>
      </c>
      <c r="S2204">
        <v>2</v>
      </c>
      <c r="T2204">
        <v>4</v>
      </c>
      <c r="U2204">
        <v>2</v>
      </c>
      <c r="V2204" s="1">
        <v>44942</v>
      </c>
      <c r="W2204" t="s">
        <v>50</v>
      </c>
      <c r="X2204" t="s">
        <v>51</v>
      </c>
      <c r="Y2204" t="s">
        <v>73</v>
      </c>
      <c r="Z2204">
        <v>3</v>
      </c>
      <c r="AA2204">
        <v>502.39</v>
      </c>
      <c r="AB2204">
        <v>50</v>
      </c>
    </row>
    <row r="2205" spans="1:28" x14ac:dyDescent="0.2">
      <c r="A2205">
        <v>2727</v>
      </c>
      <c r="B2205" s="1">
        <v>43875</v>
      </c>
      <c r="C2205" t="s">
        <v>53</v>
      </c>
      <c r="D2205" t="s">
        <v>94</v>
      </c>
      <c r="E2205" t="s">
        <v>30</v>
      </c>
      <c r="F2205" t="s">
        <v>31</v>
      </c>
      <c r="G2205" t="s">
        <v>32</v>
      </c>
      <c r="H2205" t="s">
        <v>55</v>
      </c>
      <c r="I2205" t="s">
        <v>57</v>
      </c>
      <c r="J2205" t="s">
        <v>65</v>
      </c>
      <c r="K2205" s="2">
        <v>30967</v>
      </c>
      <c r="L2205" t="s">
        <v>160</v>
      </c>
      <c r="M2205" t="s">
        <v>48</v>
      </c>
      <c r="N2205" t="s">
        <v>38</v>
      </c>
      <c r="O2205" t="s">
        <v>77</v>
      </c>
      <c r="P2205" t="s">
        <v>40</v>
      </c>
      <c r="Q2205">
        <v>5</v>
      </c>
      <c r="R2205" s="2">
        <v>45094</v>
      </c>
      <c r="S2205">
        <v>1</v>
      </c>
      <c r="T2205">
        <v>3</v>
      </c>
      <c r="U2205">
        <v>3</v>
      </c>
      <c r="V2205" s="1">
        <v>44926</v>
      </c>
      <c r="W2205" t="s">
        <v>92</v>
      </c>
      <c r="X2205" t="s">
        <v>42</v>
      </c>
      <c r="Y2205" t="s">
        <v>52</v>
      </c>
      <c r="Z2205">
        <v>2</v>
      </c>
      <c r="AA2205">
        <v>687.99</v>
      </c>
      <c r="AB2205">
        <v>36</v>
      </c>
    </row>
    <row r="2206" spans="1:28" x14ac:dyDescent="0.2">
      <c r="A2206">
        <v>2728</v>
      </c>
      <c r="B2206" s="1">
        <v>43959</v>
      </c>
      <c r="C2206" t="s">
        <v>53</v>
      </c>
      <c r="D2206" t="s">
        <v>74</v>
      </c>
      <c r="E2206" t="s">
        <v>30</v>
      </c>
      <c r="F2206" t="s">
        <v>55</v>
      </c>
      <c r="G2206" t="s">
        <v>56</v>
      </c>
      <c r="H2206" t="s">
        <v>55</v>
      </c>
      <c r="I2206" t="s">
        <v>57</v>
      </c>
      <c r="J2206" t="s">
        <v>89</v>
      </c>
      <c r="K2206" s="2">
        <v>20705</v>
      </c>
      <c r="L2206" t="s">
        <v>155</v>
      </c>
      <c r="M2206" t="s">
        <v>48</v>
      </c>
      <c r="N2206" t="s">
        <v>49</v>
      </c>
      <c r="O2206" t="s">
        <v>61</v>
      </c>
      <c r="P2206" t="s">
        <v>40</v>
      </c>
      <c r="Q2206">
        <v>2</v>
      </c>
      <c r="R2206" s="2">
        <v>44898</v>
      </c>
      <c r="S2206">
        <v>3</v>
      </c>
      <c r="T2206">
        <v>2</v>
      </c>
      <c r="U2206">
        <v>1</v>
      </c>
      <c r="V2206" s="1">
        <v>44953</v>
      </c>
      <c r="W2206" t="s">
        <v>62</v>
      </c>
      <c r="X2206" t="s">
        <v>42</v>
      </c>
      <c r="Y2206" t="s">
        <v>63</v>
      </c>
      <c r="Z2206">
        <v>5</v>
      </c>
      <c r="AA2206">
        <v>877.47</v>
      </c>
      <c r="AB2206">
        <v>64</v>
      </c>
    </row>
    <row r="2207" spans="1:28" x14ac:dyDescent="0.2">
      <c r="A2207">
        <v>2729</v>
      </c>
      <c r="B2207" s="1">
        <v>43444</v>
      </c>
      <c r="C2207" t="s">
        <v>53</v>
      </c>
      <c r="D2207" t="s">
        <v>81</v>
      </c>
      <c r="E2207" t="s">
        <v>30</v>
      </c>
      <c r="F2207" t="s">
        <v>46</v>
      </c>
      <c r="G2207" t="s">
        <v>56</v>
      </c>
      <c r="H2207" t="s">
        <v>55</v>
      </c>
      <c r="I2207" t="s">
        <v>57</v>
      </c>
      <c r="J2207" t="s">
        <v>79</v>
      </c>
      <c r="K2207" s="2">
        <v>17602</v>
      </c>
      <c r="L2207" t="s">
        <v>155</v>
      </c>
      <c r="M2207" t="s">
        <v>37</v>
      </c>
      <c r="N2207" t="s">
        <v>49</v>
      </c>
      <c r="O2207" t="s">
        <v>77</v>
      </c>
      <c r="P2207" t="s">
        <v>40</v>
      </c>
      <c r="Q2207">
        <v>2</v>
      </c>
      <c r="R2207" s="2">
        <v>44981</v>
      </c>
      <c r="S2207">
        <v>3</v>
      </c>
      <c r="T2207">
        <v>5</v>
      </c>
      <c r="U2207">
        <v>1</v>
      </c>
      <c r="V2207" s="1">
        <v>45113</v>
      </c>
      <c r="W2207" t="s">
        <v>41</v>
      </c>
      <c r="X2207" t="s">
        <v>51</v>
      </c>
      <c r="Y2207" t="s">
        <v>73</v>
      </c>
      <c r="Z2207">
        <v>2</v>
      </c>
      <c r="AA2207">
        <v>700.04</v>
      </c>
      <c r="AB2207">
        <v>70</v>
      </c>
    </row>
    <row r="2208" spans="1:28" x14ac:dyDescent="0.2">
      <c r="A2208">
        <v>2730</v>
      </c>
      <c r="B2208" s="1">
        <v>44538</v>
      </c>
      <c r="C2208" t="s">
        <v>53</v>
      </c>
      <c r="D2208" t="s">
        <v>54</v>
      </c>
      <c r="E2208" t="s">
        <v>30</v>
      </c>
      <c r="F2208" t="s">
        <v>31</v>
      </c>
      <c r="G2208" t="s">
        <v>56</v>
      </c>
      <c r="H2208" t="s">
        <v>46</v>
      </c>
      <c r="I2208" t="s">
        <v>57</v>
      </c>
      <c r="J2208" t="s">
        <v>111</v>
      </c>
      <c r="K2208" s="2">
        <v>24681</v>
      </c>
      <c r="L2208" t="s">
        <v>141</v>
      </c>
      <c r="M2208" t="s">
        <v>37</v>
      </c>
      <c r="N2208" t="s">
        <v>49</v>
      </c>
      <c r="O2208" t="s">
        <v>61</v>
      </c>
      <c r="P2208" t="s">
        <v>40</v>
      </c>
      <c r="Q2208">
        <v>2</v>
      </c>
      <c r="R2208" s="2">
        <v>44820</v>
      </c>
      <c r="S2208">
        <v>2</v>
      </c>
      <c r="T2208">
        <v>3</v>
      </c>
      <c r="U2208">
        <v>4</v>
      </c>
      <c r="V2208" s="1">
        <v>45066</v>
      </c>
      <c r="W2208" t="s">
        <v>62</v>
      </c>
      <c r="X2208" t="s">
        <v>51</v>
      </c>
      <c r="Y2208" t="s">
        <v>52</v>
      </c>
      <c r="Z2208">
        <v>5</v>
      </c>
      <c r="AA2208">
        <v>486.43</v>
      </c>
      <c r="AB2208">
        <v>54</v>
      </c>
    </row>
    <row r="2209" spans="1:28" x14ac:dyDescent="0.2">
      <c r="A2209">
        <v>2731</v>
      </c>
      <c r="B2209" s="1">
        <v>43496</v>
      </c>
      <c r="C2209" t="s">
        <v>137</v>
      </c>
      <c r="D2209" t="s">
        <v>69</v>
      </c>
      <c r="E2209" t="s">
        <v>30</v>
      </c>
      <c r="F2209" t="s">
        <v>46</v>
      </c>
      <c r="G2209" t="s">
        <v>32</v>
      </c>
      <c r="H2209" t="s">
        <v>55</v>
      </c>
      <c r="I2209" t="s">
        <v>57</v>
      </c>
      <c r="J2209" t="s">
        <v>65</v>
      </c>
      <c r="K2209" s="2">
        <v>18262</v>
      </c>
      <c r="L2209" t="s">
        <v>36</v>
      </c>
      <c r="M2209" t="s">
        <v>37</v>
      </c>
      <c r="N2209" t="s">
        <v>60</v>
      </c>
      <c r="O2209" t="s">
        <v>67</v>
      </c>
      <c r="P2209" t="s">
        <v>40</v>
      </c>
      <c r="Q2209">
        <v>1</v>
      </c>
      <c r="R2209" s="2">
        <v>45042</v>
      </c>
      <c r="S2209">
        <v>2</v>
      </c>
      <c r="T2209">
        <v>3</v>
      </c>
      <c r="U2209">
        <v>2</v>
      </c>
      <c r="V2209" s="1">
        <v>45036</v>
      </c>
      <c r="W2209" t="s">
        <v>68</v>
      </c>
      <c r="X2209" t="s">
        <v>42</v>
      </c>
      <c r="Y2209" t="s">
        <v>43</v>
      </c>
      <c r="Z2209">
        <v>1</v>
      </c>
      <c r="AA2209">
        <v>897.96</v>
      </c>
      <c r="AB2209">
        <v>70</v>
      </c>
    </row>
    <row r="2210" spans="1:28" x14ac:dyDescent="0.2">
      <c r="A2210">
        <v>2732</v>
      </c>
      <c r="B2210" s="1">
        <v>44804</v>
      </c>
      <c r="C2210" t="s">
        <v>53</v>
      </c>
      <c r="D2210" t="s">
        <v>94</v>
      </c>
      <c r="E2210" t="s">
        <v>30</v>
      </c>
      <c r="F2210" t="s">
        <v>31</v>
      </c>
      <c r="G2210" t="s">
        <v>45</v>
      </c>
      <c r="H2210" t="s">
        <v>55</v>
      </c>
      <c r="I2210" t="s">
        <v>57</v>
      </c>
      <c r="J2210" t="s">
        <v>100</v>
      </c>
      <c r="K2210" s="2">
        <v>32605</v>
      </c>
      <c r="L2210" t="s">
        <v>161</v>
      </c>
      <c r="M2210" t="s">
        <v>48</v>
      </c>
      <c r="N2210" t="s">
        <v>72</v>
      </c>
      <c r="O2210" t="s">
        <v>61</v>
      </c>
      <c r="P2210" t="s">
        <v>40</v>
      </c>
      <c r="Q2210">
        <v>2</v>
      </c>
      <c r="R2210" s="2">
        <v>44869</v>
      </c>
      <c r="S2210">
        <v>1</v>
      </c>
      <c r="T2210">
        <v>5</v>
      </c>
      <c r="U2210">
        <v>3</v>
      </c>
      <c r="V2210" s="1">
        <v>44980</v>
      </c>
      <c r="W2210" t="s">
        <v>50</v>
      </c>
      <c r="X2210" t="s">
        <v>42</v>
      </c>
      <c r="Y2210" t="s">
        <v>63</v>
      </c>
      <c r="Z2210">
        <v>3</v>
      </c>
      <c r="AA2210">
        <v>147.28</v>
      </c>
      <c r="AB2210">
        <v>33</v>
      </c>
    </row>
    <row r="2211" spans="1:28" x14ac:dyDescent="0.2">
      <c r="A2211">
        <v>2733</v>
      </c>
      <c r="B2211" s="1">
        <v>44593</v>
      </c>
      <c r="C2211" t="s">
        <v>53</v>
      </c>
      <c r="D2211" t="s">
        <v>74</v>
      </c>
      <c r="E2211" t="s">
        <v>30</v>
      </c>
      <c r="F2211" t="s">
        <v>31</v>
      </c>
      <c r="G2211" t="s">
        <v>45</v>
      </c>
      <c r="H2211" t="s">
        <v>33</v>
      </c>
      <c r="I2211" t="s">
        <v>57</v>
      </c>
      <c r="J2211" t="s">
        <v>58</v>
      </c>
      <c r="K2211" s="2">
        <v>35069</v>
      </c>
      <c r="L2211" t="s">
        <v>156</v>
      </c>
      <c r="M2211" t="s">
        <v>48</v>
      </c>
      <c r="N2211" t="s">
        <v>72</v>
      </c>
      <c r="O2211" t="s">
        <v>61</v>
      </c>
      <c r="P2211" t="s">
        <v>40</v>
      </c>
      <c r="Q2211">
        <v>5</v>
      </c>
      <c r="R2211" s="2">
        <v>45019</v>
      </c>
      <c r="S2211">
        <v>3</v>
      </c>
      <c r="T2211">
        <v>4</v>
      </c>
      <c r="U2211">
        <v>1</v>
      </c>
      <c r="V2211" s="1">
        <v>44969</v>
      </c>
      <c r="W2211" t="s">
        <v>41</v>
      </c>
      <c r="X2211" t="s">
        <v>42</v>
      </c>
      <c r="Y2211" t="s">
        <v>63</v>
      </c>
      <c r="Z2211">
        <v>5</v>
      </c>
      <c r="AA2211">
        <v>612.96</v>
      </c>
      <c r="AB2211">
        <v>26</v>
      </c>
    </row>
    <row r="2212" spans="1:28" x14ac:dyDescent="0.2">
      <c r="A2212">
        <v>2734</v>
      </c>
      <c r="B2212" s="1">
        <v>44167</v>
      </c>
      <c r="C2212" t="s">
        <v>53</v>
      </c>
      <c r="D2212" t="s">
        <v>81</v>
      </c>
      <c r="E2212" t="s">
        <v>30</v>
      </c>
      <c r="F2212" t="s">
        <v>31</v>
      </c>
      <c r="G2212" t="s">
        <v>32</v>
      </c>
      <c r="H2212" t="s">
        <v>46</v>
      </c>
      <c r="I2212" t="s">
        <v>57</v>
      </c>
      <c r="J2212" t="s">
        <v>65</v>
      </c>
      <c r="K2212" s="2">
        <v>17870</v>
      </c>
      <c r="L2212" t="s">
        <v>156</v>
      </c>
      <c r="M2212" t="s">
        <v>37</v>
      </c>
      <c r="N2212" t="s">
        <v>72</v>
      </c>
      <c r="O2212" t="s">
        <v>67</v>
      </c>
      <c r="P2212" t="s">
        <v>40</v>
      </c>
      <c r="Q2212">
        <v>4</v>
      </c>
      <c r="R2212" s="2">
        <v>45060</v>
      </c>
      <c r="S2212">
        <v>2</v>
      </c>
      <c r="T2212">
        <v>2</v>
      </c>
      <c r="U2212">
        <v>3</v>
      </c>
      <c r="V2212" s="1">
        <v>44979</v>
      </c>
      <c r="W2212" t="s">
        <v>92</v>
      </c>
      <c r="X2212" t="s">
        <v>51</v>
      </c>
      <c r="Y2212" t="s">
        <v>63</v>
      </c>
      <c r="Z2212">
        <v>5</v>
      </c>
      <c r="AA2212">
        <v>953.92</v>
      </c>
      <c r="AB2212">
        <v>72</v>
      </c>
    </row>
    <row r="2213" spans="1:28" x14ac:dyDescent="0.2">
      <c r="A2213">
        <v>2735</v>
      </c>
      <c r="B2213" s="1">
        <v>44120</v>
      </c>
      <c r="C2213" t="s">
        <v>53</v>
      </c>
      <c r="D2213" t="s">
        <v>54</v>
      </c>
      <c r="E2213" t="s">
        <v>30</v>
      </c>
      <c r="F2213" t="s">
        <v>31</v>
      </c>
      <c r="G2213" t="s">
        <v>56</v>
      </c>
      <c r="H2213" t="s">
        <v>46</v>
      </c>
      <c r="I2213" t="s">
        <v>57</v>
      </c>
      <c r="J2213" t="s">
        <v>70</v>
      </c>
      <c r="K2213" s="2">
        <v>36991</v>
      </c>
      <c r="L2213" t="s">
        <v>163</v>
      </c>
      <c r="M2213" t="s">
        <v>37</v>
      </c>
      <c r="N2213" t="s">
        <v>84</v>
      </c>
      <c r="O2213" t="s">
        <v>61</v>
      </c>
      <c r="P2213" t="s">
        <v>40</v>
      </c>
      <c r="Q2213">
        <v>2</v>
      </c>
      <c r="R2213" s="2">
        <v>45079</v>
      </c>
      <c r="S2213">
        <v>5</v>
      </c>
      <c r="T2213">
        <v>1</v>
      </c>
      <c r="U2213">
        <v>2</v>
      </c>
      <c r="V2213" s="1">
        <v>44877</v>
      </c>
      <c r="W2213" t="s">
        <v>41</v>
      </c>
      <c r="X2213" t="s">
        <v>51</v>
      </c>
      <c r="Y2213" t="s">
        <v>52</v>
      </c>
      <c r="Z2213">
        <v>1</v>
      </c>
      <c r="AA2213">
        <v>519.23</v>
      </c>
      <c r="AB2213">
        <v>19</v>
      </c>
    </row>
    <row r="2214" spans="1:28" x14ac:dyDescent="0.2">
      <c r="A2214">
        <v>2736</v>
      </c>
      <c r="B2214" s="1">
        <v>43978</v>
      </c>
      <c r="C2214" t="s">
        <v>53</v>
      </c>
      <c r="D2214" t="s">
        <v>69</v>
      </c>
      <c r="E2214" t="s">
        <v>30</v>
      </c>
      <c r="F2214" t="s">
        <v>31</v>
      </c>
      <c r="G2214" t="s">
        <v>45</v>
      </c>
      <c r="H2214" t="s">
        <v>55</v>
      </c>
      <c r="I2214" t="s">
        <v>57</v>
      </c>
      <c r="J2214" t="s">
        <v>65</v>
      </c>
      <c r="K2214" s="2">
        <v>23055</v>
      </c>
      <c r="L2214" t="s">
        <v>158</v>
      </c>
      <c r="M2214" t="s">
        <v>48</v>
      </c>
      <c r="N2214" t="s">
        <v>60</v>
      </c>
      <c r="O2214" t="s">
        <v>67</v>
      </c>
      <c r="P2214" t="s">
        <v>40</v>
      </c>
      <c r="Q2214">
        <v>5</v>
      </c>
      <c r="R2214" s="2">
        <v>44891</v>
      </c>
      <c r="S2214">
        <v>4</v>
      </c>
      <c r="T2214">
        <v>2</v>
      </c>
      <c r="U2214">
        <v>2</v>
      </c>
      <c r="V2214" s="1">
        <v>44990</v>
      </c>
      <c r="W2214" t="s">
        <v>68</v>
      </c>
      <c r="X2214" t="s">
        <v>42</v>
      </c>
      <c r="Y2214" t="s">
        <v>73</v>
      </c>
      <c r="Z2214">
        <v>1</v>
      </c>
      <c r="AA2214">
        <v>297.94</v>
      </c>
      <c r="AB2214">
        <v>57</v>
      </c>
    </row>
    <row r="2215" spans="1:28" x14ac:dyDescent="0.2">
      <c r="A2215">
        <v>2737</v>
      </c>
      <c r="B2215" s="1">
        <v>44428</v>
      </c>
      <c r="C2215" t="s">
        <v>53</v>
      </c>
      <c r="D2215" t="s">
        <v>29</v>
      </c>
      <c r="E2215" t="s">
        <v>30</v>
      </c>
      <c r="F2215" t="s">
        <v>55</v>
      </c>
      <c r="G2215" t="s">
        <v>32</v>
      </c>
      <c r="H2215" t="s">
        <v>33</v>
      </c>
      <c r="I2215" t="s">
        <v>57</v>
      </c>
      <c r="J2215" t="s">
        <v>65</v>
      </c>
      <c r="K2215" s="2">
        <v>26445</v>
      </c>
      <c r="L2215" t="s">
        <v>152</v>
      </c>
      <c r="M2215" t="s">
        <v>48</v>
      </c>
      <c r="N2215" t="s">
        <v>72</v>
      </c>
      <c r="O2215" t="s">
        <v>67</v>
      </c>
      <c r="P2215" t="s">
        <v>40</v>
      </c>
      <c r="Q2215">
        <v>4</v>
      </c>
      <c r="R2215" s="2">
        <v>44824</v>
      </c>
      <c r="S2215">
        <v>5</v>
      </c>
      <c r="T2215">
        <v>5</v>
      </c>
      <c r="U2215">
        <v>3</v>
      </c>
      <c r="V2215" s="1">
        <v>45034</v>
      </c>
      <c r="W2215" t="s">
        <v>92</v>
      </c>
      <c r="X2215" t="s">
        <v>42</v>
      </c>
      <c r="Y2215" t="s">
        <v>43</v>
      </c>
      <c r="Z2215">
        <v>5</v>
      </c>
      <c r="AA2215">
        <v>317.55</v>
      </c>
      <c r="AB2215">
        <v>49</v>
      </c>
    </row>
    <row r="2216" spans="1:28" x14ac:dyDescent="0.2">
      <c r="A2216">
        <v>2738</v>
      </c>
      <c r="B2216" s="1">
        <v>43503</v>
      </c>
      <c r="C2216" t="s">
        <v>53</v>
      </c>
      <c r="D2216" t="s">
        <v>85</v>
      </c>
      <c r="E2216" t="s">
        <v>30</v>
      </c>
      <c r="F2216" t="s">
        <v>55</v>
      </c>
      <c r="G2216" t="s">
        <v>32</v>
      </c>
      <c r="H2216" t="s">
        <v>55</v>
      </c>
      <c r="I2216" t="s">
        <v>57</v>
      </c>
      <c r="J2216" t="s">
        <v>70</v>
      </c>
      <c r="K2216" s="2">
        <v>21086</v>
      </c>
      <c r="L2216" t="s">
        <v>162</v>
      </c>
      <c r="M2216" t="s">
        <v>48</v>
      </c>
      <c r="N2216" t="s">
        <v>49</v>
      </c>
      <c r="O2216" t="s">
        <v>67</v>
      </c>
      <c r="P2216" t="s">
        <v>40</v>
      </c>
      <c r="Q2216">
        <v>5</v>
      </c>
      <c r="R2216" s="2">
        <v>45001</v>
      </c>
      <c r="S2216">
        <v>4</v>
      </c>
      <c r="T2216">
        <v>3</v>
      </c>
      <c r="U2216">
        <v>1</v>
      </c>
      <c r="V2216" s="1">
        <v>44835</v>
      </c>
      <c r="W2216" t="s">
        <v>92</v>
      </c>
      <c r="X2216" t="s">
        <v>42</v>
      </c>
      <c r="Y2216" t="s">
        <v>52</v>
      </c>
      <c r="Z2216">
        <v>5</v>
      </c>
      <c r="AA2216">
        <v>880.42</v>
      </c>
      <c r="AB2216">
        <v>62</v>
      </c>
    </row>
    <row r="2217" spans="1:28" x14ac:dyDescent="0.2">
      <c r="A2217">
        <v>2739</v>
      </c>
      <c r="B2217" s="1">
        <v>44245</v>
      </c>
      <c r="C2217" t="s">
        <v>53</v>
      </c>
      <c r="D2217" t="s">
        <v>44</v>
      </c>
      <c r="E2217" t="s">
        <v>30</v>
      </c>
      <c r="F2217" t="s">
        <v>31</v>
      </c>
      <c r="G2217" t="s">
        <v>45</v>
      </c>
      <c r="H2217" t="s">
        <v>46</v>
      </c>
      <c r="I2217" t="s">
        <v>57</v>
      </c>
      <c r="J2217" t="s">
        <v>65</v>
      </c>
      <c r="K2217" s="2">
        <v>16336</v>
      </c>
      <c r="L2217" t="s">
        <v>153</v>
      </c>
      <c r="M2217" t="s">
        <v>48</v>
      </c>
      <c r="N2217" t="s">
        <v>72</v>
      </c>
      <c r="O2217" t="s">
        <v>61</v>
      </c>
      <c r="P2217" t="s">
        <v>40</v>
      </c>
      <c r="Q2217">
        <v>4</v>
      </c>
      <c r="R2217" s="2">
        <v>45103</v>
      </c>
      <c r="S2217">
        <v>1</v>
      </c>
      <c r="T2217">
        <v>2</v>
      </c>
      <c r="U2217">
        <v>5</v>
      </c>
      <c r="V2217" s="1">
        <v>44794</v>
      </c>
      <c r="W2217" t="s">
        <v>50</v>
      </c>
      <c r="X2217" t="s">
        <v>42</v>
      </c>
      <c r="Y2217" t="s">
        <v>63</v>
      </c>
      <c r="Z2217">
        <v>1</v>
      </c>
      <c r="AA2217">
        <v>457.71</v>
      </c>
      <c r="AB2217">
        <v>77</v>
      </c>
    </row>
    <row r="2218" spans="1:28" x14ac:dyDescent="0.2">
      <c r="A2218">
        <v>2740</v>
      </c>
      <c r="B2218" s="1">
        <v>44897</v>
      </c>
      <c r="C2218" t="s">
        <v>53</v>
      </c>
      <c r="D2218" t="s">
        <v>87</v>
      </c>
      <c r="E2218" t="s">
        <v>30</v>
      </c>
      <c r="F2218" t="s">
        <v>55</v>
      </c>
      <c r="G2218" t="s">
        <v>56</v>
      </c>
      <c r="H2218" t="s">
        <v>46</v>
      </c>
      <c r="I2218" t="s">
        <v>57</v>
      </c>
      <c r="J2218" t="s">
        <v>58</v>
      </c>
      <c r="K2218" s="2">
        <v>30584</v>
      </c>
      <c r="L2218" t="s">
        <v>153</v>
      </c>
      <c r="M2218" t="s">
        <v>48</v>
      </c>
      <c r="N2218" t="s">
        <v>72</v>
      </c>
      <c r="O2218" t="s">
        <v>61</v>
      </c>
      <c r="P2218" t="s">
        <v>40</v>
      </c>
      <c r="Q2218">
        <v>1</v>
      </c>
      <c r="R2218" s="2">
        <v>45083</v>
      </c>
      <c r="S2218">
        <v>2</v>
      </c>
      <c r="T2218">
        <v>5</v>
      </c>
      <c r="U2218">
        <v>1</v>
      </c>
      <c r="V2218" s="1">
        <v>45063</v>
      </c>
      <c r="W2218" t="s">
        <v>92</v>
      </c>
      <c r="X2218" t="s">
        <v>42</v>
      </c>
      <c r="Y2218" t="s">
        <v>63</v>
      </c>
      <c r="Z2218">
        <v>3</v>
      </c>
      <c r="AA2218">
        <v>200.27</v>
      </c>
      <c r="AB2218">
        <v>39</v>
      </c>
    </row>
    <row r="2219" spans="1:28" x14ac:dyDescent="0.2">
      <c r="A2219">
        <v>2741</v>
      </c>
      <c r="B2219" s="1">
        <v>44406</v>
      </c>
      <c r="C2219" t="s">
        <v>53</v>
      </c>
      <c r="D2219" t="s">
        <v>64</v>
      </c>
      <c r="E2219" t="s">
        <v>30</v>
      </c>
      <c r="F2219" t="s">
        <v>55</v>
      </c>
      <c r="G2219" t="s">
        <v>45</v>
      </c>
      <c r="H2219" t="s">
        <v>46</v>
      </c>
      <c r="I2219" t="s">
        <v>57</v>
      </c>
      <c r="J2219" t="s">
        <v>101</v>
      </c>
      <c r="K2219" s="2">
        <v>27329</v>
      </c>
      <c r="L2219" t="s">
        <v>160</v>
      </c>
      <c r="M2219" t="s">
        <v>48</v>
      </c>
      <c r="N2219" t="s">
        <v>84</v>
      </c>
      <c r="O2219" t="s">
        <v>77</v>
      </c>
      <c r="P2219" t="s">
        <v>40</v>
      </c>
      <c r="Q2219">
        <v>4</v>
      </c>
      <c r="R2219" s="2">
        <v>44843</v>
      </c>
      <c r="S2219">
        <v>4</v>
      </c>
      <c r="T2219">
        <v>3</v>
      </c>
      <c r="U2219">
        <v>1</v>
      </c>
      <c r="V2219" s="1">
        <v>44830</v>
      </c>
      <c r="W2219" t="s">
        <v>68</v>
      </c>
      <c r="X2219" t="s">
        <v>51</v>
      </c>
      <c r="Y2219" t="s">
        <v>43</v>
      </c>
      <c r="Z2219">
        <v>5</v>
      </c>
      <c r="AA2219">
        <v>573.08000000000004</v>
      </c>
      <c r="AB2219">
        <v>47</v>
      </c>
    </row>
    <row r="2220" spans="1:28" x14ac:dyDescent="0.2">
      <c r="A2220">
        <v>2742</v>
      </c>
      <c r="B2220" s="1">
        <v>44674</v>
      </c>
      <c r="C2220" t="s">
        <v>53</v>
      </c>
      <c r="D2220" t="s">
        <v>94</v>
      </c>
      <c r="E2220" t="s">
        <v>30</v>
      </c>
      <c r="F2220" t="s">
        <v>55</v>
      </c>
      <c r="G2220" t="s">
        <v>56</v>
      </c>
      <c r="H2220" t="s">
        <v>55</v>
      </c>
      <c r="I2220" t="s">
        <v>57</v>
      </c>
      <c r="J2220" t="s">
        <v>70</v>
      </c>
      <c r="K2220" s="2">
        <v>33520</v>
      </c>
      <c r="L2220" t="s">
        <v>157</v>
      </c>
      <c r="M2220" t="s">
        <v>48</v>
      </c>
      <c r="N2220" t="s">
        <v>84</v>
      </c>
      <c r="O2220" t="s">
        <v>67</v>
      </c>
      <c r="P2220" t="s">
        <v>40</v>
      </c>
      <c r="Q2220">
        <v>2</v>
      </c>
      <c r="R2220" s="2">
        <v>44890</v>
      </c>
      <c r="S2220">
        <v>5</v>
      </c>
      <c r="T2220">
        <v>3</v>
      </c>
      <c r="U2220">
        <v>4</v>
      </c>
      <c r="V2220" s="1">
        <v>44809</v>
      </c>
      <c r="W2220" t="s">
        <v>92</v>
      </c>
      <c r="X2220" t="s">
        <v>42</v>
      </c>
      <c r="Y2220" t="s">
        <v>52</v>
      </c>
      <c r="Z2220">
        <v>4</v>
      </c>
      <c r="AA2220">
        <v>785.39</v>
      </c>
      <c r="AB2220">
        <v>31</v>
      </c>
    </row>
    <row r="2221" spans="1:28" x14ac:dyDescent="0.2">
      <c r="A2221">
        <v>2743</v>
      </c>
      <c r="B2221" s="1">
        <v>44408</v>
      </c>
      <c r="C2221" t="s">
        <v>53</v>
      </c>
      <c r="D2221" t="s">
        <v>74</v>
      </c>
      <c r="E2221" t="s">
        <v>30</v>
      </c>
      <c r="F2221" t="s">
        <v>55</v>
      </c>
      <c r="G2221" t="s">
        <v>56</v>
      </c>
      <c r="H2221" t="s">
        <v>33</v>
      </c>
      <c r="I2221" t="s">
        <v>57</v>
      </c>
      <c r="J2221" t="s">
        <v>70</v>
      </c>
      <c r="K2221" s="2">
        <v>29979</v>
      </c>
      <c r="L2221" t="s">
        <v>155</v>
      </c>
      <c r="M2221" t="s">
        <v>48</v>
      </c>
      <c r="N2221" t="s">
        <v>72</v>
      </c>
      <c r="O2221" t="s">
        <v>67</v>
      </c>
      <c r="P2221" t="s">
        <v>40</v>
      </c>
      <c r="Q2221">
        <v>4</v>
      </c>
      <c r="R2221" s="2">
        <v>44804</v>
      </c>
      <c r="S2221">
        <v>3</v>
      </c>
      <c r="T2221">
        <v>2</v>
      </c>
      <c r="U2221">
        <v>5</v>
      </c>
      <c r="V2221" s="1">
        <v>45036</v>
      </c>
      <c r="W2221" t="s">
        <v>68</v>
      </c>
      <c r="X2221" t="s">
        <v>42</v>
      </c>
      <c r="Y2221" t="s">
        <v>43</v>
      </c>
      <c r="Z2221">
        <v>3</v>
      </c>
      <c r="AA2221">
        <v>437.36</v>
      </c>
      <c r="AB2221">
        <v>39</v>
      </c>
    </row>
    <row r="2222" spans="1:28" x14ac:dyDescent="0.2">
      <c r="A2222">
        <v>2744</v>
      </c>
      <c r="B2222" s="1">
        <v>43994</v>
      </c>
      <c r="C2222" t="s">
        <v>53</v>
      </c>
      <c r="D2222" t="s">
        <v>81</v>
      </c>
      <c r="E2222" t="s">
        <v>30</v>
      </c>
      <c r="F2222" t="s">
        <v>31</v>
      </c>
      <c r="G2222" t="s">
        <v>32</v>
      </c>
      <c r="H2222" t="s">
        <v>55</v>
      </c>
      <c r="I2222" t="s">
        <v>57</v>
      </c>
      <c r="J2222" t="s">
        <v>70</v>
      </c>
      <c r="K2222" s="2">
        <v>19926</v>
      </c>
      <c r="L2222" t="s">
        <v>141</v>
      </c>
      <c r="M2222" t="s">
        <v>37</v>
      </c>
      <c r="N2222" t="s">
        <v>84</v>
      </c>
      <c r="O2222" t="s">
        <v>67</v>
      </c>
      <c r="P2222" t="s">
        <v>40</v>
      </c>
      <c r="Q2222">
        <v>4</v>
      </c>
      <c r="R2222" s="2">
        <v>45102</v>
      </c>
      <c r="S2222">
        <v>2</v>
      </c>
      <c r="T2222">
        <v>4</v>
      </c>
      <c r="U2222">
        <v>2</v>
      </c>
      <c r="V2222" s="1">
        <v>44863</v>
      </c>
      <c r="W2222" t="s">
        <v>68</v>
      </c>
      <c r="X2222" t="s">
        <v>51</v>
      </c>
      <c r="Y2222" t="s">
        <v>52</v>
      </c>
      <c r="Z2222">
        <v>5</v>
      </c>
      <c r="AA2222">
        <v>955.17</v>
      </c>
      <c r="AB2222">
        <v>66</v>
      </c>
    </row>
    <row r="2223" spans="1:28" x14ac:dyDescent="0.2">
      <c r="A2223">
        <v>2745</v>
      </c>
      <c r="B2223" s="1">
        <v>43490</v>
      </c>
      <c r="C2223" t="s">
        <v>53</v>
      </c>
      <c r="D2223" t="s">
        <v>54</v>
      </c>
      <c r="E2223" t="s">
        <v>30</v>
      </c>
      <c r="F2223" t="s">
        <v>31</v>
      </c>
      <c r="G2223" t="s">
        <v>56</v>
      </c>
      <c r="H2223" t="s">
        <v>46</v>
      </c>
      <c r="I2223" t="s">
        <v>57</v>
      </c>
      <c r="J2223" t="s">
        <v>82</v>
      </c>
      <c r="K2223" s="2">
        <v>37010</v>
      </c>
      <c r="L2223" t="s">
        <v>151</v>
      </c>
      <c r="M2223" t="s">
        <v>37</v>
      </c>
      <c r="N2223" t="s">
        <v>49</v>
      </c>
      <c r="O2223" t="s">
        <v>77</v>
      </c>
      <c r="P2223" t="s">
        <v>40</v>
      </c>
      <c r="Q2223">
        <v>5</v>
      </c>
      <c r="R2223" s="2">
        <v>44939</v>
      </c>
      <c r="S2223">
        <v>1</v>
      </c>
      <c r="T2223">
        <v>2</v>
      </c>
      <c r="U2223">
        <v>2</v>
      </c>
      <c r="V2223" s="1">
        <v>44846</v>
      </c>
      <c r="W2223" t="s">
        <v>68</v>
      </c>
      <c r="X2223" t="s">
        <v>42</v>
      </c>
      <c r="Y2223" t="s">
        <v>43</v>
      </c>
      <c r="Z2223">
        <v>3</v>
      </c>
      <c r="AA2223">
        <v>542.55999999999995</v>
      </c>
      <c r="AB2223">
        <v>18</v>
      </c>
    </row>
    <row r="2224" spans="1:28" x14ac:dyDescent="0.2">
      <c r="A2224">
        <v>2746</v>
      </c>
      <c r="B2224" s="1">
        <v>44128</v>
      </c>
      <c r="C2224" t="s">
        <v>137</v>
      </c>
      <c r="D2224" t="s">
        <v>69</v>
      </c>
      <c r="E2224" t="s">
        <v>108</v>
      </c>
      <c r="F2224" t="s">
        <v>55</v>
      </c>
      <c r="G2224" t="s">
        <v>45</v>
      </c>
      <c r="H2224" t="s">
        <v>55</v>
      </c>
      <c r="I2224" t="s">
        <v>57</v>
      </c>
      <c r="J2224" t="s">
        <v>96</v>
      </c>
      <c r="K2224" s="2">
        <v>28262</v>
      </c>
      <c r="L2224" t="s">
        <v>36</v>
      </c>
      <c r="M2224" t="s">
        <v>37</v>
      </c>
      <c r="N2224" t="s">
        <v>49</v>
      </c>
      <c r="O2224" t="s">
        <v>39</v>
      </c>
      <c r="P2224" t="s">
        <v>40</v>
      </c>
      <c r="Q2224">
        <v>5</v>
      </c>
      <c r="R2224" s="2">
        <v>45120</v>
      </c>
      <c r="S2224">
        <v>4</v>
      </c>
      <c r="T2224">
        <v>4</v>
      </c>
      <c r="U2224">
        <v>5</v>
      </c>
      <c r="V2224" s="1">
        <v>44969</v>
      </c>
      <c r="W2224" t="s">
        <v>62</v>
      </c>
      <c r="X2224" t="s">
        <v>51</v>
      </c>
      <c r="Y2224" t="s">
        <v>52</v>
      </c>
      <c r="Z2224">
        <v>5</v>
      </c>
      <c r="AA2224">
        <v>399.23</v>
      </c>
      <c r="AB2224">
        <v>43</v>
      </c>
    </row>
    <row r="2225" spans="1:28" x14ac:dyDescent="0.2">
      <c r="A2225">
        <v>2747</v>
      </c>
      <c r="B2225" s="1">
        <v>43330</v>
      </c>
      <c r="C2225" t="s">
        <v>28</v>
      </c>
      <c r="D2225" t="s">
        <v>85</v>
      </c>
      <c r="E2225" t="s">
        <v>30</v>
      </c>
      <c r="F2225" t="s">
        <v>46</v>
      </c>
      <c r="G2225" t="s">
        <v>56</v>
      </c>
      <c r="H2225" t="s">
        <v>46</v>
      </c>
      <c r="I2225" t="s">
        <v>34</v>
      </c>
      <c r="J2225" t="s">
        <v>65</v>
      </c>
      <c r="K2225" s="2">
        <v>22243</v>
      </c>
      <c r="L2225" t="s">
        <v>36</v>
      </c>
      <c r="M2225" t="s">
        <v>37</v>
      </c>
      <c r="N2225" t="s">
        <v>49</v>
      </c>
      <c r="O2225" t="s">
        <v>67</v>
      </c>
      <c r="P2225" t="s">
        <v>40</v>
      </c>
      <c r="Q2225">
        <v>4</v>
      </c>
      <c r="R2225" s="2">
        <v>45059</v>
      </c>
      <c r="S2225">
        <v>3</v>
      </c>
      <c r="T2225">
        <v>1</v>
      </c>
      <c r="U2225">
        <v>5</v>
      </c>
      <c r="V2225" s="1">
        <v>44849</v>
      </c>
      <c r="W2225" t="s">
        <v>68</v>
      </c>
      <c r="X2225" t="s">
        <v>51</v>
      </c>
      <c r="Y2225" t="s">
        <v>43</v>
      </c>
      <c r="Z2225">
        <v>2</v>
      </c>
      <c r="AA2225">
        <v>677.74</v>
      </c>
      <c r="AB2225">
        <v>58</v>
      </c>
    </row>
    <row r="2226" spans="1:28" x14ac:dyDescent="0.2">
      <c r="A2226">
        <v>2748</v>
      </c>
      <c r="B2226" s="1">
        <v>44753</v>
      </c>
      <c r="C2226" t="s">
        <v>28</v>
      </c>
      <c r="D2226" t="s">
        <v>94</v>
      </c>
      <c r="E2226" t="s">
        <v>30</v>
      </c>
      <c r="F2226" t="s">
        <v>55</v>
      </c>
      <c r="G2226" t="s">
        <v>32</v>
      </c>
      <c r="H2226" t="s">
        <v>55</v>
      </c>
      <c r="I2226" t="s">
        <v>34</v>
      </c>
      <c r="J2226" t="s">
        <v>58</v>
      </c>
      <c r="K2226" s="2">
        <v>23543</v>
      </c>
      <c r="L2226" t="s">
        <v>36</v>
      </c>
      <c r="M2226" t="s">
        <v>37</v>
      </c>
      <c r="N2226" t="s">
        <v>49</v>
      </c>
      <c r="O2226" t="s">
        <v>39</v>
      </c>
      <c r="P2226" t="s">
        <v>40</v>
      </c>
      <c r="Q2226">
        <v>1</v>
      </c>
      <c r="R2226" s="2">
        <v>45142</v>
      </c>
      <c r="S2226">
        <v>5</v>
      </c>
      <c r="T2226">
        <v>2</v>
      </c>
      <c r="U2226">
        <v>5</v>
      </c>
      <c r="V2226" s="1">
        <v>44940</v>
      </c>
      <c r="W2226" t="s">
        <v>62</v>
      </c>
      <c r="X2226" t="s">
        <v>51</v>
      </c>
      <c r="Y2226" t="s">
        <v>63</v>
      </c>
      <c r="Z2226">
        <v>2</v>
      </c>
      <c r="AA2226">
        <v>301.42</v>
      </c>
      <c r="AB2226">
        <v>58</v>
      </c>
    </row>
    <row r="2227" spans="1:28" x14ac:dyDescent="0.2">
      <c r="A2227">
        <v>2749</v>
      </c>
      <c r="B2227" s="1">
        <v>43419</v>
      </c>
      <c r="C2227" t="s">
        <v>28</v>
      </c>
      <c r="D2227" t="s">
        <v>69</v>
      </c>
      <c r="E2227" t="s">
        <v>108</v>
      </c>
      <c r="F2227" t="s">
        <v>55</v>
      </c>
      <c r="G2227" t="s">
        <v>56</v>
      </c>
      <c r="H2227" t="s">
        <v>46</v>
      </c>
      <c r="I2227" t="s">
        <v>34</v>
      </c>
      <c r="J2227" t="s">
        <v>110</v>
      </c>
      <c r="K2227" s="2">
        <v>17996</v>
      </c>
      <c r="L2227" t="s">
        <v>36</v>
      </c>
      <c r="M2227" t="s">
        <v>37</v>
      </c>
      <c r="N2227" t="s">
        <v>72</v>
      </c>
      <c r="O2227" t="s">
        <v>39</v>
      </c>
      <c r="P2227" t="s">
        <v>40</v>
      </c>
      <c r="Q2227">
        <v>5</v>
      </c>
      <c r="R2227" s="2">
        <v>45101</v>
      </c>
      <c r="S2227">
        <v>5</v>
      </c>
      <c r="T2227">
        <v>3</v>
      </c>
      <c r="U2227">
        <v>4</v>
      </c>
      <c r="V2227" s="1">
        <v>44884</v>
      </c>
      <c r="W2227" t="s">
        <v>50</v>
      </c>
      <c r="X2227" t="s">
        <v>51</v>
      </c>
      <c r="Y2227" t="s">
        <v>43</v>
      </c>
      <c r="Z2227">
        <v>5</v>
      </c>
      <c r="AA2227">
        <v>149.65</v>
      </c>
      <c r="AB2227">
        <v>69</v>
      </c>
    </row>
    <row r="2228" spans="1:28" x14ac:dyDescent="0.2">
      <c r="A2228">
        <v>2750</v>
      </c>
      <c r="B2228" s="1">
        <v>44716</v>
      </c>
      <c r="C2228" t="s">
        <v>106</v>
      </c>
      <c r="D2228" t="s">
        <v>64</v>
      </c>
      <c r="E2228" t="s">
        <v>30</v>
      </c>
      <c r="F2228" t="s">
        <v>55</v>
      </c>
      <c r="G2228" t="s">
        <v>56</v>
      </c>
      <c r="H2228" t="s">
        <v>55</v>
      </c>
      <c r="I2228" t="s">
        <v>34</v>
      </c>
      <c r="J2228" t="s">
        <v>70</v>
      </c>
      <c r="K2228" s="2">
        <v>17991</v>
      </c>
      <c r="L2228" t="s">
        <v>36</v>
      </c>
      <c r="M2228" t="s">
        <v>48</v>
      </c>
      <c r="N2228" t="s">
        <v>84</v>
      </c>
      <c r="O2228" t="s">
        <v>77</v>
      </c>
      <c r="P2228" t="s">
        <v>40</v>
      </c>
      <c r="Q2228">
        <v>4</v>
      </c>
      <c r="R2228" s="2">
        <v>45118</v>
      </c>
      <c r="S2228">
        <v>3</v>
      </c>
      <c r="T2228">
        <v>4</v>
      </c>
      <c r="U2228">
        <v>4</v>
      </c>
      <c r="V2228" s="1">
        <v>44984</v>
      </c>
      <c r="W2228" t="s">
        <v>50</v>
      </c>
      <c r="X2228" t="s">
        <v>42</v>
      </c>
      <c r="Y2228" t="s">
        <v>73</v>
      </c>
      <c r="Z2228">
        <v>1</v>
      </c>
      <c r="AA2228">
        <v>462.45</v>
      </c>
      <c r="AB2228">
        <v>73</v>
      </c>
    </row>
    <row r="2229" spans="1:28" x14ac:dyDescent="0.2">
      <c r="A2229">
        <v>2752</v>
      </c>
      <c r="B2229" s="1">
        <v>44855</v>
      </c>
      <c r="C2229" t="s">
        <v>28</v>
      </c>
      <c r="D2229" t="s">
        <v>64</v>
      </c>
      <c r="E2229" t="s">
        <v>30</v>
      </c>
      <c r="F2229" t="s">
        <v>46</v>
      </c>
      <c r="G2229" t="s">
        <v>45</v>
      </c>
      <c r="H2229" t="s">
        <v>33</v>
      </c>
      <c r="I2229" t="s">
        <v>34</v>
      </c>
      <c r="J2229" t="s">
        <v>65</v>
      </c>
      <c r="K2229" s="2">
        <v>27908</v>
      </c>
      <c r="L2229" t="s">
        <v>36</v>
      </c>
      <c r="M2229" t="s">
        <v>48</v>
      </c>
      <c r="N2229" t="s">
        <v>49</v>
      </c>
      <c r="O2229" t="s">
        <v>77</v>
      </c>
      <c r="P2229" t="s">
        <v>40</v>
      </c>
      <c r="Q2229">
        <v>4</v>
      </c>
      <c r="R2229" s="2">
        <v>45053</v>
      </c>
      <c r="S2229">
        <v>3</v>
      </c>
      <c r="T2229">
        <v>5</v>
      </c>
      <c r="U2229">
        <v>1</v>
      </c>
      <c r="V2229" s="1">
        <v>44901</v>
      </c>
      <c r="W2229" t="s">
        <v>50</v>
      </c>
      <c r="X2229" t="s">
        <v>42</v>
      </c>
      <c r="Y2229" t="s">
        <v>52</v>
      </c>
      <c r="Z2229">
        <v>5</v>
      </c>
      <c r="AA2229">
        <v>450.64</v>
      </c>
      <c r="AB2229">
        <v>46</v>
      </c>
    </row>
    <row r="2230" spans="1:28" x14ac:dyDescent="0.2">
      <c r="A2230">
        <v>2753</v>
      </c>
      <c r="B2230" s="1">
        <v>44939</v>
      </c>
      <c r="C2230" t="s">
        <v>28</v>
      </c>
      <c r="D2230" t="s">
        <v>29</v>
      </c>
      <c r="E2230" t="s">
        <v>30</v>
      </c>
      <c r="F2230" t="s">
        <v>31</v>
      </c>
      <c r="G2230" t="s">
        <v>56</v>
      </c>
      <c r="H2230" t="s">
        <v>46</v>
      </c>
      <c r="I2230" t="s">
        <v>34</v>
      </c>
      <c r="J2230" t="s">
        <v>70</v>
      </c>
      <c r="K2230" s="2">
        <v>30844</v>
      </c>
      <c r="L2230" t="s">
        <v>36</v>
      </c>
      <c r="M2230" t="s">
        <v>37</v>
      </c>
      <c r="N2230" t="s">
        <v>72</v>
      </c>
      <c r="O2230" t="s">
        <v>39</v>
      </c>
      <c r="P2230" t="s">
        <v>40</v>
      </c>
      <c r="Q2230">
        <v>4</v>
      </c>
      <c r="R2230" s="2">
        <v>45051</v>
      </c>
      <c r="S2230">
        <v>3</v>
      </c>
      <c r="T2230">
        <v>1</v>
      </c>
      <c r="U2230">
        <v>4</v>
      </c>
      <c r="V2230" s="1">
        <v>44852</v>
      </c>
      <c r="W2230" t="s">
        <v>92</v>
      </c>
      <c r="X2230" t="s">
        <v>42</v>
      </c>
      <c r="Y2230" t="s">
        <v>63</v>
      </c>
      <c r="Z2230">
        <v>1</v>
      </c>
      <c r="AA2230">
        <v>437.7</v>
      </c>
      <c r="AB2230">
        <v>39</v>
      </c>
    </row>
    <row r="2231" spans="1:28" x14ac:dyDescent="0.2">
      <c r="A2231">
        <v>2754</v>
      </c>
      <c r="B2231" s="1">
        <v>43926</v>
      </c>
      <c r="C2231" t="s">
        <v>28</v>
      </c>
      <c r="D2231" t="s">
        <v>85</v>
      </c>
      <c r="E2231" t="s">
        <v>30</v>
      </c>
      <c r="F2231" t="s">
        <v>55</v>
      </c>
      <c r="G2231" t="s">
        <v>32</v>
      </c>
      <c r="H2231" t="s">
        <v>55</v>
      </c>
      <c r="I2231" t="s">
        <v>34</v>
      </c>
      <c r="J2231" t="s">
        <v>79</v>
      </c>
      <c r="K2231" s="2">
        <v>28250</v>
      </c>
      <c r="L2231" t="s">
        <v>36</v>
      </c>
      <c r="M2231" t="s">
        <v>48</v>
      </c>
      <c r="N2231" t="s">
        <v>60</v>
      </c>
      <c r="O2231" t="s">
        <v>67</v>
      </c>
      <c r="P2231" t="s">
        <v>40</v>
      </c>
      <c r="Q2231">
        <v>2</v>
      </c>
      <c r="R2231" s="2">
        <v>44971</v>
      </c>
      <c r="S2231">
        <v>1</v>
      </c>
      <c r="T2231">
        <v>5</v>
      </c>
      <c r="U2231">
        <v>1</v>
      </c>
      <c r="V2231" s="1">
        <v>45020</v>
      </c>
      <c r="W2231" t="s">
        <v>62</v>
      </c>
      <c r="X2231" t="s">
        <v>42</v>
      </c>
      <c r="Y2231" t="s">
        <v>43</v>
      </c>
      <c r="Z2231">
        <v>1</v>
      </c>
      <c r="AA2231">
        <v>823.08</v>
      </c>
      <c r="AB2231">
        <v>43</v>
      </c>
    </row>
    <row r="2232" spans="1:28" x14ac:dyDescent="0.2">
      <c r="A2232">
        <v>2755</v>
      </c>
      <c r="B2232" s="1">
        <v>44707</v>
      </c>
      <c r="C2232" t="s">
        <v>28</v>
      </c>
      <c r="D2232" t="s">
        <v>44</v>
      </c>
      <c r="E2232" t="s">
        <v>30</v>
      </c>
      <c r="F2232" t="s">
        <v>31</v>
      </c>
      <c r="G2232" t="s">
        <v>56</v>
      </c>
      <c r="H2232" t="s">
        <v>33</v>
      </c>
      <c r="I2232" t="s">
        <v>34</v>
      </c>
      <c r="J2232" t="s">
        <v>65</v>
      </c>
      <c r="K2232" s="2">
        <v>20413</v>
      </c>
      <c r="L2232" t="s">
        <v>36</v>
      </c>
      <c r="M2232" t="s">
        <v>48</v>
      </c>
      <c r="N2232" t="s">
        <v>60</v>
      </c>
      <c r="O2232" t="s">
        <v>61</v>
      </c>
      <c r="P2232" t="s">
        <v>40</v>
      </c>
      <c r="Q2232">
        <v>2</v>
      </c>
      <c r="R2232" s="2">
        <v>44910</v>
      </c>
      <c r="S2232">
        <v>5</v>
      </c>
      <c r="T2232">
        <v>5</v>
      </c>
      <c r="U2232">
        <v>4</v>
      </c>
      <c r="V2232" s="1">
        <v>44916</v>
      </c>
      <c r="W2232" t="s">
        <v>68</v>
      </c>
      <c r="X2232" t="s">
        <v>42</v>
      </c>
      <c r="Y2232" t="s">
        <v>63</v>
      </c>
      <c r="Z2232">
        <v>4</v>
      </c>
      <c r="AA2232">
        <v>118.68</v>
      </c>
      <c r="AB2232">
        <v>67</v>
      </c>
    </row>
    <row r="2233" spans="1:28" x14ac:dyDescent="0.2">
      <c r="A2233">
        <v>2756</v>
      </c>
      <c r="B2233" s="1">
        <v>44321</v>
      </c>
      <c r="C2233" t="s">
        <v>106</v>
      </c>
      <c r="D2233" t="s">
        <v>64</v>
      </c>
      <c r="E2233" t="s">
        <v>30</v>
      </c>
      <c r="F2233" t="s">
        <v>46</v>
      </c>
      <c r="G2233" t="s">
        <v>45</v>
      </c>
      <c r="H2233" t="s">
        <v>46</v>
      </c>
      <c r="I2233" t="s">
        <v>34</v>
      </c>
      <c r="J2233" t="s">
        <v>70</v>
      </c>
      <c r="K2233" s="2">
        <v>31614</v>
      </c>
      <c r="L2233" t="s">
        <v>36</v>
      </c>
      <c r="M2233" t="s">
        <v>48</v>
      </c>
      <c r="N2233" t="s">
        <v>38</v>
      </c>
      <c r="O2233" t="s">
        <v>77</v>
      </c>
      <c r="P2233" t="s">
        <v>40</v>
      </c>
      <c r="Q2233">
        <v>2</v>
      </c>
      <c r="R2233" s="2">
        <v>44864</v>
      </c>
      <c r="S2233">
        <v>1</v>
      </c>
      <c r="T2233">
        <v>3</v>
      </c>
      <c r="U2233">
        <v>1</v>
      </c>
      <c r="V2233" s="1">
        <v>45020</v>
      </c>
      <c r="W2233" t="s">
        <v>92</v>
      </c>
      <c r="X2233" t="s">
        <v>51</v>
      </c>
      <c r="Y2233" t="s">
        <v>63</v>
      </c>
      <c r="Z2233">
        <v>5</v>
      </c>
      <c r="AA2233">
        <v>120.79</v>
      </c>
      <c r="AB2233">
        <v>35</v>
      </c>
    </row>
    <row r="2234" spans="1:28" x14ac:dyDescent="0.2">
      <c r="A2234">
        <v>2758</v>
      </c>
      <c r="B2234" s="1">
        <v>43454</v>
      </c>
      <c r="C2234" t="s">
        <v>28</v>
      </c>
      <c r="D2234" t="s">
        <v>64</v>
      </c>
      <c r="E2234" t="s">
        <v>108</v>
      </c>
      <c r="F2234" t="s">
        <v>46</v>
      </c>
      <c r="G2234" t="s">
        <v>45</v>
      </c>
      <c r="H2234" t="s">
        <v>55</v>
      </c>
      <c r="I2234" t="s">
        <v>34</v>
      </c>
      <c r="J2234" t="s">
        <v>101</v>
      </c>
      <c r="K2234" s="2">
        <v>16845</v>
      </c>
      <c r="L2234" t="s">
        <v>36</v>
      </c>
      <c r="M2234" t="s">
        <v>48</v>
      </c>
      <c r="N2234" t="s">
        <v>60</v>
      </c>
      <c r="O2234" t="s">
        <v>77</v>
      </c>
      <c r="P2234" t="s">
        <v>40</v>
      </c>
      <c r="Q2234">
        <v>2</v>
      </c>
      <c r="R2234" s="2">
        <v>44972</v>
      </c>
      <c r="S2234">
        <v>1</v>
      </c>
      <c r="T2234">
        <v>3</v>
      </c>
      <c r="U2234">
        <v>1</v>
      </c>
      <c r="V2234" s="1">
        <v>45063</v>
      </c>
      <c r="W2234" t="s">
        <v>68</v>
      </c>
      <c r="X2234" t="s">
        <v>51</v>
      </c>
      <c r="Y2234" t="s">
        <v>52</v>
      </c>
      <c r="Z2234">
        <v>4</v>
      </c>
      <c r="AA2234">
        <v>100.17</v>
      </c>
      <c r="AB2234">
        <v>72</v>
      </c>
    </row>
    <row r="2235" spans="1:28" x14ac:dyDescent="0.2">
      <c r="A2235">
        <v>2759</v>
      </c>
      <c r="B2235" s="1">
        <v>43338</v>
      </c>
      <c r="C2235" t="s">
        <v>28</v>
      </c>
      <c r="D2235" t="s">
        <v>94</v>
      </c>
      <c r="E2235" t="s">
        <v>30</v>
      </c>
      <c r="F2235" t="s">
        <v>55</v>
      </c>
      <c r="G2235" t="s">
        <v>56</v>
      </c>
      <c r="H2235" t="s">
        <v>55</v>
      </c>
      <c r="I2235" t="s">
        <v>34</v>
      </c>
      <c r="J2235" t="s">
        <v>47</v>
      </c>
      <c r="K2235" s="2">
        <v>32632</v>
      </c>
      <c r="L2235" t="s">
        <v>36</v>
      </c>
      <c r="M2235" t="s">
        <v>48</v>
      </c>
      <c r="N2235" t="s">
        <v>38</v>
      </c>
      <c r="O2235" t="s">
        <v>77</v>
      </c>
      <c r="P2235" t="s">
        <v>40</v>
      </c>
      <c r="Q2235">
        <v>2</v>
      </c>
      <c r="R2235" s="2">
        <v>44871</v>
      </c>
      <c r="S2235">
        <v>3</v>
      </c>
      <c r="T2235">
        <v>1</v>
      </c>
      <c r="U2235">
        <v>3</v>
      </c>
      <c r="V2235" s="1">
        <v>45107</v>
      </c>
      <c r="W2235" t="s">
        <v>62</v>
      </c>
      <c r="X2235" t="s">
        <v>42</v>
      </c>
      <c r="Y2235" t="s">
        <v>52</v>
      </c>
      <c r="Z2235">
        <v>1</v>
      </c>
      <c r="AA2235">
        <v>662.8</v>
      </c>
      <c r="AB2235">
        <v>29</v>
      </c>
    </row>
    <row r="2236" spans="1:28" x14ac:dyDescent="0.2">
      <c r="A2236">
        <v>2760</v>
      </c>
      <c r="B2236" s="1">
        <v>44171</v>
      </c>
      <c r="C2236" t="s">
        <v>106</v>
      </c>
      <c r="D2236" t="s">
        <v>69</v>
      </c>
      <c r="E2236" t="s">
        <v>30</v>
      </c>
      <c r="F2236" t="s">
        <v>46</v>
      </c>
      <c r="G2236" t="s">
        <v>56</v>
      </c>
      <c r="H2236" t="s">
        <v>33</v>
      </c>
      <c r="I2236" t="s">
        <v>34</v>
      </c>
      <c r="J2236" t="s">
        <v>97</v>
      </c>
      <c r="K2236" s="2">
        <v>25404</v>
      </c>
      <c r="L2236" t="s">
        <v>36</v>
      </c>
      <c r="M2236" t="s">
        <v>48</v>
      </c>
      <c r="N2236" t="s">
        <v>60</v>
      </c>
      <c r="O2236" t="s">
        <v>61</v>
      </c>
      <c r="P2236" t="s">
        <v>40</v>
      </c>
      <c r="Q2236">
        <v>2</v>
      </c>
      <c r="R2236" s="2">
        <v>44830</v>
      </c>
      <c r="S2236">
        <v>2</v>
      </c>
      <c r="T2236">
        <v>1</v>
      </c>
      <c r="U2236">
        <v>4</v>
      </c>
      <c r="V2236" s="1">
        <v>45049</v>
      </c>
      <c r="W2236" t="s">
        <v>41</v>
      </c>
      <c r="X2236" t="s">
        <v>42</v>
      </c>
      <c r="Y2236" t="s">
        <v>63</v>
      </c>
      <c r="Z2236">
        <v>3</v>
      </c>
      <c r="AA2236">
        <v>287.58999999999997</v>
      </c>
      <c r="AB2236">
        <v>51</v>
      </c>
    </row>
    <row r="2237" spans="1:28" x14ac:dyDescent="0.2">
      <c r="A2237">
        <v>2761</v>
      </c>
      <c r="B2237" s="1">
        <v>44543</v>
      </c>
      <c r="C2237" t="s">
        <v>28</v>
      </c>
      <c r="D2237" t="s">
        <v>44</v>
      </c>
      <c r="E2237" t="s">
        <v>30</v>
      </c>
      <c r="F2237" t="s">
        <v>31</v>
      </c>
      <c r="G2237" t="s">
        <v>32</v>
      </c>
      <c r="H2237" t="s">
        <v>33</v>
      </c>
      <c r="I2237" t="s">
        <v>34</v>
      </c>
      <c r="J2237" t="s">
        <v>101</v>
      </c>
      <c r="K2237" s="2">
        <v>35468</v>
      </c>
      <c r="L2237" t="s">
        <v>36</v>
      </c>
      <c r="M2237" t="s">
        <v>37</v>
      </c>
      <c r="N2237" t="s">
        <v>84</v>
      </c>
      <c r="O2237" t="s">
        <v>67</v>
      </c>
      <c r="P2237" t="s">
        <v>40</v>
      </c>
      <c r="Q2237">
        <v>4</v>
      </c>
      <c r="R2237" s="2">
        <v>44972</v>
      </c>
      <c r="S2237">
        <v>1</v>
      </c>
      <c r="T2237">
        <v>4</v>
      </c>
      <c r="U2237">
        <v>3</v>
      </c>
      <c r="V2237" s="1">
        <v>44891</v>
      </c>
      <c r="W2237" t="s">
        <v>62</v>
      </c>
      <c r="X2237" t="s">
        <v>51</v>
      </c>
      <c r="Y2237" t="s">
        <v>52</v>
      </c>
      <c r="Z2237">
        <v>4</v>
      </c>
      <c r="AA2237">
        <v>653.32000000000005</v>
      </c>
      <c r="AB2237">
        <v>24</v>
      </c>
    </row>
    <row r="2238" spans="1:28" x14ac:dyDescent="0.2">
      <c r="A2238">
        <v>2762</v>
      </c>
      <c r="B2238" s="1">
        <v>44374</v>
      </c>
      <c r="C2238" t="s">
        <v>106</v>
      </c>
      <c r="D2238" t="s">
        <v>29</v>
      </c>
      <c r="E2238" t="s">
        <v>108</v>
      </c>
      <c r="F2238" t="s">
        <v>46</v>
      </c>
      <c r="G2238" t="s">
        <v>45</v>
      </c>
      <c r="H2238" t="s">
        <v>33</v>
      </c>
      <c r="I2238" t="s">
        <v>34</v>
      </c>
      <c r="J2238" t="s">
        <v>70</v>
      </c>
      <c r="K2238" s="2">
        <v>16415</v>
      </c>
      <c r="L2238" t="s">
        <v>36</v>
      </c>
      <c r="M2238" t="s">
        <v>37</v>
      </c>
      <c r="N2238" t="s">
        <v>84</v>
      </c>
      <c r="O2238" t="s">
        <v>61</v>
      </c>
      <c r="P2238" t="s">
        <v>40</v>
      </c>
      <c r="Q2238">
        <v>4</v>
      </c>
      <c r="R2238" s="2">
        <v>44934</v>
      </c>
      <c r="S2238">
        <v>3</v>
      </c>
      <c r="T2238">
        <v>1</v>
      </c>
      <c r="U2238">
        <v>2</v>
      </c>
      <c r="V2238" s="1">
        <v>45042</v>
      </c>
      <c r="W2238" t="s">
        <v>41</v>
      </c>
      <c r="X2238" t="s">
        <v>42</v>
      </c>
      <c r="Y2238" t="s">
        <v>43</v>
      </c>
      <c r="Z2238">
        <v>3</v>
      </c>
      <c r="AA2238">
        <v>254.85</v>
      </c>
      <c r="AB2238">
        <v>77</v>
      </c>
    </row>
    <row r="2239" spans="1:28" x14ac:dyDescent="0.2">
      <c r="A2239">
        <v>2763</v>
      </c>
      <c r="B2239" s="1">
        <v>43757</v>
      </c>
      <c r="C2239" t="s">
        <v>28</v>
      </c>
      <c r="D2239" t="s">
        <v>81</v>
      </c>
      <c r="E2239" t="s">
        <v>30</v>
      </c>
      <c r="F2239" t="s">
        <v>46</v>
      </c>
      <c r="G2239" t="s">
        <v>32</v>
      </c>
      <c r="H2239" t="s">
        <v>55</v>
      </c>
      <c r="I2239" t="s">
        <v>34</v>
      </c>
      <c r="J2239" t="s">
        <v>70</v>
      </c>
      <c r="K2239" s="2">
        <v>33376</v>
      </c>
      <c r="L2239" t="s">
        <v>36</v>
      </c>
      <c r="M2239" t="s">
        <v>37</v>
      </c>
      <c r="N2239" t="s">
        <v>49</v>
      </c>
      <c r="O2239" t="s">
        <v>61</v>
      </c>
      <c r="P2239" t="s">
        <v>40</v>
      </c>
      <c r="Q2239">
        <v>2</v>
      </c>
      <c r="R2239" s="2">
        <v>44778</v>
      </c>
      <c r="S2239">
        <v>4</v>
      </c>
      <c r="T2239">
        <v>2</v>
      </c>
      <c r="U2239">
        <v>4</v>
      </c>
      <c r="V2239" s="1">
        <v>44889</v>
      </c>
      <c r="W2239" t="s">
        <v>68</v>
      </c>
      <c r="X2239" t="s">
        <v>51</v>
      </c>
      <c r="Y2239" t="s">
        <v>63</v>
      </c>
      <c r="Z2239">
        <v>4</v>
      </c>
      <c r="AA2239">
        <v>430.35</v>
      </c>
      <c r="AB2239">
        <v>28</v>
      </c>
    </row>
    <row r="2240" spans="1:28" x14ac:dyDescent="0.2">
      <c r="A2240">
        <v>2764</v>
      </c>
      <c r="B2240" s="1">
        <v>44891</v>
      </c>
      <c r="C2240" t="s">
        <v>28</v>
      </c>
      <c r="D2240" t="s">
        <v>74</v>
      </c>
      <c r="E2240" t="s">
        <v>30</v>
      </c>
      <c r="F2240" t="s">
        <v>46</v>
      </c>
      <c r="G2240" t="s">
        <v>32</v>
      </c>
      <c r="H2240" t="s">
        <v>55</v>
      </c>
      <c r="I2240" t="s">
        <v>34</v>
      </c>
      <c r="J2240" t="s">
        <v>79</v>
      </c>
      <c r="K2240" s="2">
        <v>34052</v>
      </c>
      <c r="L2240" t="s">
        <v>36</v>
      </c>
      <c r="M2240" t="s">
        <v>48</v>
      </c>
      <c r="N2240" t="s">
        <v>72</v>
      </c>
      <c r="O2240" t="s">
        <v>61</v>
      </c>
      <c r="P2240" t="s">
        <v>40</v>
      </c>
      <c r="Q2240">
        <v>2</v>
      </c>
      <c r="R2240" s="2">
        <v>44856</v>
      </c>
      <c r="S2240">
        <v>2</v>
      </c>
      <c r="T2240">
        <v>4</v>
      </c>
      <c r="U2240">
        <v>3</v>
      </c>
      <c r="V2240" s="1">
        <v>45091</v>
      </c>
      <c r="W2240" t="s">
        <v>92</v>
      </c>
      <c r="X2240" t="s">
        <v>51</v>
      </c>
      <c r="Y2240" t="s">
        <v>52</v>
      </c>
      <c r="Z2240">
        <v>5</v>
      </c>
      <c r="AA2240">
        <v>755.77</v>
      </c>
      <c r="AB2240">
        <v>29</v>
      </c>
    </row>
    <row r="2241" spans="1:28" x14ac:dyDescent="0.2">
      <c r="A2241">
        <v>2765</v>
      </c>
      <c r="B2241" s="1">
        <v>43696</v>
      </c>
      <c r="C2241" t="s">
        <v>28</v>
      </c>
      <c r="D2241" t="s">
        <v>54</v>
      </c>
      <c r="E2241" t="s">
        <v>30</v>
      </c>
      <c r="F2241" t="s">
        <v>55</v>
      </c>
      <c r="G2241" t="s">
        <v>32</v>
      </c>
      <c r="H2241" t="s">
        <v>55</v>
      </c>
      <c r="I2241" t="s">
        <v>34</v>
      </c>
      <c r="J2241" t="s">
        <v>101</v>
      </c>
      <c r="K2241" s="2">
        <v>24662</v>
      </c>
      <c r="L2241" t="s">
        <v>36</v>
      </c>
      <c r="M2241" t="s">
        <v>48</v>
      </c>
      <c r="N2241" t="s">
        <v>72</v>
      </c>
      <c r="O2241" t="s">
        <v>39</v>
      </c>
      <c r="P2241" t="s">
        <v>40</v>
      </c>
      <c r="Q2241">
        <v>4</v>
      </c>
      <c r="R2241" s="2">
        <v>44931</v>
      </c>
      <c r="S2241">
        <v>3</v>
      </c>
      <c r="T2241">
        <v>1</v>
      </c>
      <c r="U2241">
        <v>3</v>
      </c>
      <c r="V2241" s="1">
        <v>45015</v>
      </c>
      <c r="W2241" t="s">
        <v>50</v>
      </c>
      <c r="X2241" t="s">
        <v>42</v>
      </c>
      <c r="Y2241" t="s">
        <v>52</v>
      </c>
      <c r="Z2241">
        <v>2</v>
      </c>
      <c r="AA2241">
        <v>529.91</v>
      </c>
      <c r="AB2241">
        <v>52</v>
      </c>
    </row>
    <row r="2242" spans="1:28" x14ac:dyDescent="0.2">
      <c r="A2242">
        <v>2766</v>
      </c>
      <c r="B2242" s="1">
        <v>43334</v>
      </c>
      <c r="C2242" t="s">
        <v>106</v>
      </c>
      <c r="D2242" t="s">
        <v>44</v>
      </c>
      <c r="E2242" t="s">
        <v>108</v>
      </c>
      <c r="F2242" t="s">
        <v>46</v>
      </c>
      <c r="G2242" t="s">
        <v>45</v>
      </c>
      <c r="H2242" t="s">
        <v>55</v>
      </c>
      <c r="I2242" t="s">
        <v>34</v>
      </c>
      <c r="J2242" t="s">
        <v>79</v>
      </c>
      <c r="K2242" s="2">
        <v>20999</v>
      </c>
      <c r="L2242" t="s">
        <v>36</v>
      </c>
      <c r="M2242" t="s">
        <v>37</v>
      </c>
      <c r="N2242" t="s">
        <v>49</v>
      </c>
      <c r="O2242" t="s">
        <v>67</v>
      </c>
      <c r="P2242" t="s">
        <v>40</v>
      </c>
      <c r="Q2242">
        <v>2</v>
      </c>
      <c r="R2242" s="2">
        <v>44826</v>
      </c>
      <c r="S2242">
        <v>3</v>
      </c>
      <c r="T2242">
        <v>5</v>
      </c>
      <c r="U2242">
        <v>5</v>
      </c>
      <c r="V2242" s="1">
        <v>45010</v>
      </c>
      <c r="W2242" t="s">
        <v>68</v>
      </c>
      <c r="X2242" t="s">
        <v>51</v>
      </c>
      <c r="Y2242" t="s">
        <v>63</v>
      </c>
      <c r="Z2242">
        <v>1</v>
      </c>
      <c r="AA2242">
        <v>440.14</v>
      </c>
      <c r="AB2242">
        <v>61</v>
      </c>
    </row>
    <row r="2243" spans="1:28" x14ac:dyDescent="0.2">
      <c r="A2243">
        <v>2767</v>
      </c>
      <c r="B2243" s="1">
        <v>44685</v>
      </c>
      <c r="C2243" t="s">
        <v>28</v>
      </c>
      <c r="D2243" t="s">
        <v>69</v>
      </c>
      <c r="E2243" t="s">
        <v>30</v>
      </c>
      <c r="F2243" t="s">
        <v>55</v>
      </c>
      <c r="G2243" t="s">
        <v>45</v>
      </c>
      <c r="H2243" t="s">
        <v>55</v>
      </c>
      <c r="I2243" t="s">
        <v>34</v>
      </c>
      <c r="J2243" t="s">
        <v>70</v>
      </c>
      <c r="K2243" s="2">
        <v>17913</v>
      </c>
      <c r="L2243" t="s">
        <v>36</v>
      </c>
      <c r="M2243" t="s">
        <v>37</v>
      </c>
      <c r="N2243" t="s">
        <v>84</v>
      </c>
      <c r="O2243" t="s">
        <v>77</v>
      </c>
      <c r="P2243" t="s">
        <v>40</v>
      </c>
      <c r="Q2243">
        <v>2</v>
      </c>
      <c r="R2243" s="2">
        <v>44909</v>
      </c>
      <c r="S2243">
        <v>3</v>
      </c>
      <c r="T2243">
        <v>3</v>
      </c>
      <c r="U2243">
        <v>4</v>
      </c>
      <c r="V2243" s="1">
        <v>44947</v>
      </c>
      <c r="W2243" t="s">
        <v>50</v>
      </c>
      <c r="X2243" t="s">
        <v>42</v>
      </c>
      <c r="Y2243" t="s">
        <v>73</v>
      </c>
      <c r="Z2243">
        <v>2</v>
      </c>
      <c r="AA2243">
        <v>972.3</v>
      </c>
      <c r="AB2243">
        <v>73</v>
      </c>
    </row>
    <row r="2244" spans="1:28" x14ac:dyDescent="0.2">
      <c r="A2244">
        <v>2768</v>
      </c>
      <c r="B2244" s="1">
        <v>44724</v>
      </c>
      <c r="C2244" t="s">
        <v>28</v>
      </c>
      <c r="D2244" t="s">
        <v>74</v>
      </c>
      <c r="E2244" t="s">
        <v>30</v>
      </c>
      <c r="F2244" t="s">
        <v>46</v>
      </c>
      <c r="G2244" t="s">
        <v>56</v>
      </c>
      <c r="H2244" t="s">
        <v>33</v>
      </c>
      <c r="I2244" t="s">
        <v>34</v>
      </c>
      <c r="J2244" t="s">
        <v>111</v>
      </c>
      <c r="K2244" s="2">
        <v>29637</v>
      </c>
      <c r="L2244" t="s">
        <v>36</v>
      </c>
      <c r="M2244" t="s">
        <v>48</v>
      </c>
      <c r="N2244" t="s">
        <v>84</v>
      </c>
      <c r="O2244" t="s">
        <v>67</v>
      </c>
      <c r="P2244" t="s">
        <v>40</v>
      </c>
      <c r="Q2244">
        <v>2</v>
      </c>
      <c r="R2244" s="2">
        <v>44793</v>
      </c>
      <c r="S2244">
        <v>2</v>
      </c>
      <c r="T2244">
        <v>1</v>
      </c>
      <c r="U2244">
        <v>5</v>
      </c>
      <c r="V2244" s="1">
        <v>44858</v>
      </c>
      <c r="W2244" t="s">
        <v>62</v>
      </c>
      <c r="X2244" t="s">
        <v>42</v>
      </c>
      <c r="Y2244" t="s">
        <v>52</v>
      </c>
      <c r="Z2244">
        <v>5</v>
      </c>
      <c r="AA2244">
        <v>176.6</v>
      </c>
      <c r="AB2244">
        <v>41</v>
      </c>
    </row>
    <row r="2245" spans="1:28" x14ac:dyDescent="0.2">
      <c r="A2245">
        <v>2769</v>
      </c>
      <c r="B2245" s="1">
        <v>43412</v>
      </c>
      <c r="C2245" t="s">
        <v>28</v>
      </c>
      <c r="D2245" t="s">
        <v>81</v>
      </c>
      <c r="E2245" t="s">
        <v>30</v>
      </c>
      <c r="F2245" t="s">
        <v>31</v>
      </c>
      <c r="G2245" t="s">
        <v>45</v>
      </c>
      <c r="H2245" t="s">
        <v>46</v>
      </c>
      <c r="I2245" t="s">
        <v>34</v>
      </c>
      <c r="J2245" t="s">
        <v>47</v>
      </c>
      <c r="K2245" s="2">
        <v>18506</v>
      </c>
      <c r="L2245" t="s">
        <v>36</v>
      </c>
      <c r="M2245" t="s">
        <v>48</v>
      </c>
      <c r="N2245" t="s">
        <v>60</v>
      </c>
      <c r="O2245" t="s">
        <v>39</v>
      </c>
      <c r="P2245" t="s">
        <v>40</v>
      </c>
      <c r="Q2245">
        <v>4</v>
      </c>
      <c r="R2245" s="2">
        <v>44780</v>
      </c>
      <c r="S2245">
        <v>3</v>
      </c>
      <c r="T2245">
        <v>1</v>
      </c>
      <c r="U2245">
        <v>3</v>
      </c>
      <c r="V2245" s="1">
        <v>45124</v>
      </c>
      <c r="W2245" t="s">
        <v>62</v>
      </c>
      <c r="X2245" t="s">
        <v>42</v>
      </c>
      <c r="Y2245" t="s">
        <v>63</v>
      </c>
      <c r="Z2245">
        <v>1</v>
      </c>
      <c r="AA2245">
        <v>747.74</v>
      </c>
      <c r="AB2245">
        <v>68</v>
      </c>
    </row>
    <row r="2246" spans="1:28" x14ac:dyDescent="0.2">
      <c r="A2246">
        <v>2770</v>
      </c>
      <c r="B2246" s="1">
        <v>44382</v>
      </c>
      <c r="C2246" t="s">
        <v>28</v>
      </c>
      <c r="D2246" t="s">
        <v>54</v>
      </c>
      <c r="E2246" t="s">
        <v>30</v>
      </c>
      <c r="F2246" t="s">
        <v>46</v>
      </c>
      <c r="G2246" t="s">
        <v>45</v>
      </c>
      <c r="H2246" t="s">
        <v>46</v>
      </c>
      <c r="I2246" t="s">
        <v>34</v>
      </c>
      <c r="J2246" t="s">
        <v>70</v>
      </c>
      <c r="K2246" s="2">
        <v>16760</v>
      </c>
      <c r="L2246" t="s">
        <v>36</v>
      </c>
      <c r="M2246" t="s">
        <v>48</v>
      </c>
      <c r="N2246" t="s">
        <v>72</v>
      </c>
      <c r="O2246" t="s">
        <v>77</v>
      </c>
      <c r="P2246" t="s">
        <v>40</v>
      </c>
      <c r="Q2246">
        <v>5</v>
      </c>
      <c r="R2246" s="2">
        <v>44982</v>
      </c>
      <c r="S2246">
        <v>1</v>
      </c>
      <c r="T2246">
        <v>2</v>
      </c>
      <c r="U2246">
        <v>3</v>
      </c>
      <c r="V2246" s="1">
        <v>45114</v>
      </c>
      <c r="W2246" t="s">
        <v>50</v>
      </c>
      <c r="X2246" t="s">
        <v>51</v>
      </c>
      <c r="Y2246" t="s">
        <v>73</v>
      </c>
      <c r="Z2246">
        <v>5</v>
      </c>
      <c r="AA2246">
        <v>451.03</v>
      </c>
      <c r="AB2246">
        <v>76</v>
      </c>
    </row>
    <row r="2247" spans="1:28" x14ac:dyDescent="0.2">
      <c r="A2247">
        <v>2771</v>
      </c>
      <c r="B2247" s="1">
        <v>44020</v>
      </c>
      <c r="C2247" t="s">
        <v>28</v>
      </c>
      <c r="D2247" t="s">
        <v>69</v>
      </c>
      <c r="E2247" t="s">
        <v>108</v>
      </c>
      <c r="F2247" t="s">
        <v>55</v>
      </c>
      <c r="G2247" t="s">
        <v>45</v>
      </c>
      <c r="H2247" t="s">
        <v>33</v>
      </c>
      <c r="I2247" t="s">
        <v>34</v>
      </c>
      <c r="J2247" t="s">
        <v>101</v>
      </c>
      <c r="K2247" s="2">
        <v>18332</v>
      </c>
      <c r="L2247" t="s">
        <v>36</v>
      </c>
      <c r="M2247" t="s">
        <v>48</v>
      </c>
      <c r="N2247" t="s">
        <v>60</v>
      </c>
      <c r="O2247" t="s">
        <v>77</v>
      </c>
      <c r="P2247" t="s">
        <v>40</v>
      </c>
      <c r="Q2247">
        <v>5</v>
      </c>
      <c r="R2247" s="2">
        <v>44954</v>
      </c>
      <c r="S2247">
        <v>2</v>
      </c>
      <c r="T2247">
        <v>4</v>
      </c>
      <c r="U2247">
        <v>2</v>
      </c>
      <c r="V2247" s="1">
        <v>44906</v>
      </c>
      <c r="W2247" t="s">
        <v>68</v>
      </c>
      <c r="X2247" t="s">
        <v>42</v>
      </c>
      <c r="Y2247" t="s">
        <v>52</v>
      </c>
      <c r="Z2247">
        <v>5</v>
      </c>
      <c r="AA2247">
        <v>255.16</v>
      </c>
      <c r="AB2247">
        <v>70</v>
      </c>
    </row>
    <row r="2248" spans="1:28" x14ac:dyDescent="0.2">
      <c r="A2248">
        <v>2772</v>
      </c>
      <c r="B2248" s="1">
        <v>43903</v>
      </c>
      <c r="C2248" t="s">
        <v>28</v>
      </c>
      <c r="D2248" t="s">
        <v>29</v>
      </c>
      <c r="E2248" t="s">
        <v>30</v>
      </c>
      <c r="F2248" t="s">
        <v>55</v>
      </c>
      <c r="G2248" t="s">
        <v>45</v>
      </c>
      <c r="H2248" t="s">
        <v>33</v>
      </c>
      <c r="I2248" t="s">
        <v>34</v>
      </c>
      <c r="J2248" t="s">
        <v>101</v>
      </c>
      <c r="K2248" s="2">
        <v>26769</v>
      </c>
      <c r="L2248" t="s">
        <v>36</v>
      </c>
      <c r="M2248" t="s">
        <v>48</v>
      </c>
      <c r="N2248" t="s">
        <v>60</v>
      </c>
      <c r="O2248" t="s">
        <v>67</v>
      </c>
      <c r="P2248" t="s">
        <v>40</v>
      </c>
      <c r="Q2248">
        <v>1</v>
      </c>
      <c r="R2248" s="2">
        <v>45041</v>
      </c>
      <c r="S2248">
        <v>2</v>
      </c>
      <c r="T2248">
        <v>4</v>
      </c>
      <c r="U2248">
        <v>5</v>
      </c>
      <c r="V2248" s="1">
        <v>44963</v>
      </c>
      <c r="W2248" t="s">
        <v>41</v>
      </c>
      <c r="X2248" t="s">
        <v>42</v>
      </c>
      <c r="Y2248" t="s">
        <v>73</v>
      </c>
      <c r="Z2248">
        <v>5</v>
      </c>
      <c r="AA2248">
        <v>258.08</v>
      </c>
      <c r="AB2248">
        <v>47</v>
      </c>
    </row>
    <row r="2249" spans="1:28" x14ac:dyDescent="0.2">
      <c r="A2249">
        <v>2773</v>
      </c>
      <c r="B2249" s="1">
        <v>44923</v>
      </c>
      <c r="C2249" t="s">
        <v>28</v>
      </c>
      <c r="D2249" t="s">
        <v>85</v>
      </c>
      <c r="E2249" t="s">
        <v>30</v>
      </c>
      <c r="F2249" t="s">
        <v>55</v>
      </c>
      <c r="G2249" t="s">
        <v>56</v>
      </c>
      <c r="H2249" t="s">
        <v>55</v>
      </c>
      <c r="I2249" t="s">
        <v>34</v>
      </c>
      <c r="J2249" t="s">
        <v>89</v>
      </c>
      <c r="K2249" s="2">
        <v>23548</v>
      </c>
      <c r="L2249" t="s">
        <v>36</v>
      </c>
      <c r="M2249" t="s">
        <v>48</v>
      </c>
      <c r="N2249" t="s">
        <v>38</v>
      </c>
      <c r="O2249" t="s">
        <v>39</v>
      </c>
      <c r="P2249" t="s">
        <v>40</v>
      </c>
      <c r="Q2249">
        <v>2</v>
      </c>
      <c r="R2249" s="2">
        <v>45075</v>
      </c>
      <c r="S2249">
        <v>2</v>
      </c>
      <c r="T2249">
        <v>5</v>
      </c>
      <c r="U2249">
        <v>4</v>
      </c>
      <c r="V2249" s="1">
        <v>44959</v>
      </c>
      <c r="W2249" t="s">
        <v>92</v>
      </c>
      <c r="X2249" t="s">
        <v>42</v>
      </c>
      <c r="Y2249" t="s">
        <v>63</v>
      </c>
      <c r="Z2249">
        <v>4</v>
      </c>
      <c r="AA2249">
        <v>697.67</v>
      </c>
      <c r="AB2249">
        <v>58</v>
      </c>
    </row>
    <row r="2250" spans="1:28" x14ac:dyDescent="0.2">
      <c r="A2250">
        <v>2774</v>
      </c>
      <c r="B2250" s="1">
        <v>43907</v>
      </c>
      <c r="C2250" t="s">
        <v>28</v>
      </c>
      <c r="D2250" t="s">
        <v>44</v>
      </c>
      <c r="E2250" t="s">
        <v>30</v>
      </c>
      <c r="F2250" t="s">
        <v>55</v>
      </c>
      <c r="G2250" t="s">
        <v>56</v>
      </c>
      <c r="H2250" t="s">
        <v>46</v>
      </c>
      <c r="I2250" t="s">
        <v>34</v>
      </c>
      <c r="J2250" t="s">
        <v>70</v>
      </c>
      <c r="K2250" s="2">
        <v>34125</v>
      </c>
      <c r="L2250" t="s">
        <v>36</v>
      </c>
      <c r="M2250" t="s">
        <v>48</v>
      </c>
      <c r="N2250" t="s">
        <v>60</v>
      </c>
      <c r="O2250" t="s">
        <v>77</v>
      </c>
      <c r="P2250" t="s">
        <v>40</v>
      </c>
      <c r="Q2250">
        <v>5</v>
      </c>
      <c r="R2250" s="2">
        <v>45074</v>
      </c>
      <c r="S2250">
        <v>1</v>
      </c>
      <c r="T2250">
        <v>5</v>
      </c>
      <c r="U2250">
        <v>3</v>
      </c>
      <c r="V2250" s="1">
        <v>45143</v>
      </c>
      <c r="W2250" t="s">
        <v>92</v>
      </c>
      <c r="X2250" t="s">
        <v>42</v>
      </c>
      <c r="Y2250" t="s">
        <v>73</v>
      </c>
      <c r="Z2250">
        <v>5</v>
      </c>
      <c r="AA2250">
        <v>694.23</v>
      </c>
      <c r="AB2250">
        <v>27</v>
      </c>
    </row>
    <row r="2251" spans="1:28" x14ac:dyDescent="0.2">
      <c r="A2251">
        <v>2775</v>
      </c>
      <c r="B2251" s="1">
        <v>44933</v>
      </c>
      <c r="C2251" t="s">
        <v>28</v>
      </c>
      <c r="D2251" t="s">
        <v>87</v>
      </c>
      <c r="E2251" t="s">
        <v>30</v>
      </c>
      <c r="F2251" t="s">
        <v>46</v>
      </c>
      <c r="G2251" t="s">
        <v>56</v>
      </c>
      <c r="H2251" t="s">
        <v>33</v>
      </c>
      <c r="I2251" t="s">
        <v>34</v>
      </c>
      <c r="J2251" t="s">
        <v>70</v>
      </c>
      <c r="K2251" s="2">
        <v>24157</v>
      </c>
      <c r="L2251" t="s">
        <v>36</v>
      </c>
      <c r="M2251" t="s">
        <v>37</v>
      </c>
      <c r="N2251" t="s">
        <v>38</v>
      </c>
      <c r="O2251" t="s">
        <v>61</v>
      </c>
      <c r="P2251" t="s">
        <v>40</v>
      </c>
      <c r="Q2251">
        <v>2</v>
      </c>
      <c r="R2251" s="2">
        <v>45142</v>
      </c>
      <c r="S2251">
        <v>1</v>
      </c>
      <c r="T2251">
        <v>4</v>
      </c>
      <c r="U2251">
        <v>3</v>
      </c>
      <c r="V2251" s="1">
        <v>44870</v>
      </c>
      <c r="W2251" t="s">
        <v>68</v>
      </c>
      <c r="X2251" t="s">
        <v>42</v>
      </c>
      <c r="Y2251" t="s">
        <v>52</v>
      </c>
      <c r="Z2251">
        <v>1</v>
      </c>
      <c r="AA2251">
        <v>703.45</v>
      </c>
      <c r="AB2251">
        <v>57</v>
      </c>
    </row>
    <row r="2252" spans="1:28" x14ac:dyDescent="0.2">
      <c r="A2252">
        <v>2776</v>
      </c>
      <c r="B2252" s="1">
        <v>44552</v>
      </c>
      <c r="C2252" t="s">
        <v>28</v>
      </c>
      <c r="D2252" t="s">
        <v>64</v>
      </c>
      <c r="E2252" t="s">
        <v>30</v>
      </c>
      <c r="F2252" t="s">
        <v>55</v>
      </c>
      <c r="G2252" t="s">
        <v>56</v>
      </c>
      <c r="H2252" t="s">
        <v>46</v>
      </c>
      <c r="I2252" t="s">
        <v>34</v>
      </c>
      <c r="J2252" t="s">
        <v>75</v>
      </c>
      <c r="K2252" s="2">
        <v>27431</v>
      </c>
      <c r="L2252" t="s">
        <v>36</v>
      </c>
      <c r="M2252" t="s">
        <v>48</v>
      </c>
      <c r="N2252" t="s">
        <v>38</v>
      </c>
      <c r="O2252" t="s">
        <v>61</v>
      </c>
      <c r="P2252" t="s">
        <v>40</v>
      </c>
      <c r="Q2252">
        <v>4</v>
      </c>
      <c r="R2252" s="2">
        <v>44921</v>
      </c>
      <c r="S2252">
        <v>5</v>
      </c>
      <c r="T2252">
        <v>3</v>
      </c>
      <c r="U2252">
        <v>5</v>
      </c>
      <c r="V2252" s="1">
        <v>45116</v>
      </c>
      <c r="W2252" t="s">
        <v>41</v>
      </c>
      <c r="X2252" t="s">
        <v>51</v>
      </c>
      <c r="Y2252" t="s">
        <v>52</v>
      </c>
      <c r="Z2252">
        <v>1</v>
      </c>
      <c r="AA2252">
        <v>134.44</v>
      </c>
      <c r="AB2252">
        <v>46</v>
      </c>
    </row>
    <row r="2253" spans="1:28" x14ac:dyDescent="0.2">
      <c r="A2253">
        <v>2777</v>
      </c>
      <c r="B2253" s="1">
        <v>43950</v>
      </c>
      <c r="C2253" t="s">
        <v>28</v>
      </c>
      <c r="D2253" t="s">
        <v>94</v>
      </c>
      <c r="E2253" t="s">
        <v>30</v>
      </c>
      <c r="F2253" t="s">
        <v>46</v>
      </c>
      <c r="G2253" t="s">
        <v>56</v>
      </c>
      <c r="H2253" t="s">
        <v>55</v>
      </c>
      <c r="I2253" t="s">
        <v>34</v>
      </c>
      <c r="J2253" t="s">
        <v>65</v>
      </c>
      <c r="K2253" s="2">
        <v>16284</v>
      </c>
      <c r="L2253" t="s">
        <v>36</v>
      </c>
      <c r="M2253" t="s">
        <v>48</v>
      </c>
      <c r="N2253" t="s">
        <v>49</v>
      </c>
      <c r="O2253" t="s">
        <v>61</v>
      </c>
      <c r="P2253" t="s">
        <v>40</v>
      </c>
      <c r="Q2253">
        <v>5</v>
      </c>
      <c r="R2253" s="2">
        <v>45140</v>
      </c>
      <c r="S2253">
        <v>5</v>
      </c>
      <c r="T2253">
        <v>1</v>
      </c>
      <c r="U2253">
        <v>3</v>
      </c>
      <c r="V2253" s="1">
        <v>45132</v>
      </c>
      <c r="W2253" t="s">
        <v>92</v>
      </c>
      <c r="X2253" t="s">
        <v>42</v>
      </c>
      <c r="Y2253" t="s">
        <v>43</v>
      </c>
      <c r="Z2253">
        <v>2</v>
      </c>
      <c r="AA2253">
        <v>458.37</v>
      </c>
      <c r="AB2253">
        <v>76</v>
      </c>
    </row>
    <row r="2254" spans="1:28" x14ac:dyDescent="0.2">
      <c r="A2254">
        <v>2778</v>
      </c>
      <c r="B2254" s="1">
        <v>44167</v>
      </c>
      <c r="C2254" t="s">
        <v>28</v>
      </c>
      <c r="D2254" t="s">
        <v>74</v>
      </c>
      <c r="E2254" t="s">
        <v>30</v>
      </c>
      <c r="F2254" t="s">
        <v>46</v>
      </c>
      <c r="G2254" t="s">
        <v>32</v>
      </c>
      <c r="H2254" t="s">
        <v>33</v>
      </c>
      <c r="I2254" t="s">
        <v>34</v>
      </c>
      <c r="J2254" t="s">
        <v>103</v>
      </c>
      <c r="K2254" s="2">
        <v>20148</v>
      </c>
      <c r="L2254" t="s">
        <v>36</v>
      </c>
      <c r="M2254" t="s">
        <v>48</v>
      </c>
      <c r="N2254" t="s">
        <v>84</v>
      </c>
      <c r="O2254" t="s">
        <v>77</v>
      </c>
      <c r="P2254" t="s">
        <v>40</v>
      </c>
      <c r="Q2254">
        <v>5</v>
      </c>
      <c r="R2254" s="2">
        <v>44976</v>
      </c>
      <c r="S2254">
        <v>1</v>
      </c>
      <c r="T2254">
        <v>1</v>
      </c>
      <c r="U2254">
        <v>4</v>
      </c>
      <c r="V2254" s="1">
        <v>44840</v>
      </c>
      <c r="W2254" t="s">
        <v>62</v>
      </c>
      <c r="X2254" t="s">
        <v>51</v>
      </c>
      <c r="Y2254" t="s">
        <v>43</v>
      </c>
      <c r="Z2254">
        <v>5</v>
      </c>
      <c r="AA2254">
        <v>594.73</v>
      </c>
      <c r="AB2254">
        <v>65</v>
      </c>
    </row>
    <row r="2255" spans="1:28" x14ac:dyDescent="0.2">
      <c r="A2255">
        <v>2779</v>
      </c>
      <c r="B2255" s="1">
        <v>44538</v>
      </c>
      <c r="C2255" t="s">
        <v>28</v>
      </c>
      <c r="D2255" t="s">
        <v>81</v>
      </c>
      <c r="E2255" t="s">
        <v>30</v>
      </c>
      <c r="F2255" t="s">
        <v>31</v>
      </c>
      <c r="G2255" t="s">
        <v>45</v>
      </c>
      <c r="H2255" t="s">
        <v>46</v>
      </c>
      <c r="I2255" t="s">
        <v>34</v>
      </c>
      <c r="J2255" t="s">
        <v>70</v>
      </c>
      <c r="K2255" s="2">
        <v>21017</v>
      </c>
      <c r="L2255" t="s">
        <v>36</v>
      </c>
      <c r="M2255" t="s">
        <v>48</v>
      </c>
      <c r="N2255" t="s">
        <v>49</v>
      </c>
      <c r="O2255" t="s">
        <v>67</v>
      </c>
      <c r="P2255" t="s">
        <v>40</v>
      </c>
      <c r="Q2255">
        <v>2</v>
      </c>
      <c r="R2255" s="2">
        <v>44801</v>
      </c>
      <c r="S2255">
        <v>4</v>
      </c>
      <c r="T2255">
        <v>1</v>
      </c>
      <c r="U2255">
        <v>1</v>
      </c>
      <c r="V2255" s="1">
        <v>44970</v>
      </c>
      <c r="W2255" t="s">
        <v>41</v>
      </c>
      <c r="X2255" t="s">
        <v>42</v>
      </c>
      <c r="Y2255" t="s">
        <v>63</v>
      </c>
      <c r="Z2255">
        <v>3</v>
      </c>
      <c r="AA2255">
        <v>330.68</v>
      </c>
      <c r="AB2255">
        <v>64</v>
      </c>
    </row>
    <row r="2256" spans="1:28" x14ac:dyDescent="0.2">
      <c r="A2256">
        <v>2780</v>
      </c>
      <c r="B2256" s="1">
        <v>44664</v>
      </c>
      <c r="C2256" t="s">
        <v>28</v>
      </c>
      <c r="D2256" t="s">
        <v>54</v>
      </c>
      <c r="E2256" t="s">
        <v>30</v>
      </c>
      <c r="F2256" t="s">
        <v>31</v>
      </c>
      <c r="G2256" t="s">
        <v>56</v>
      </c>
      <c r="H2256" t="s">
        <v>46</v>
      </c>
      <c r="I2256" t="s">
        <v>34</v>
      </c>
      <c r="J2256" t="s">
        <v>65</v>
      </c>
      <c r="K2256" s="2">
        <v>18744</v>
      </c>
      <c r="L2256" t="s">
        <v>36</v>
      </c>
      <c r="M2256" t="s">
        <v>48</v>
      </c>
      <c r="N2256" t="s">
        <v>38</v>
      </c>
      <c r="O2256" t="s">
        <v>67</v>
      </c>
      <c r="P2256" t="s">
        <v>40</v>
      </c>
      <c r="Q2256">
        <v>4</v>
      </c>
      <c r="R2256" s="2">
        <v>44802</v>
      </c>
      <c r="S2256">
        <v>3</v>
      </c>
      <c r="T2256">
        <v>5</v>
      </c>
      <c r="U2256">
        <v>2</v>
      </c>
      <c r="V2256" s="1">
        <v>44919</v>
      </c>
      <c r="W2256" t="s">
        <v>92</v>
      </c>
      <c r="X2256" t="s">
        <v>42</v>
      </c>
      <c r="Y2256" t="s">
        <v>52</v>
      </c>
      <c r="Z2256">
        <v>3</v>
      </c>
      <c r="AA2256">
        <v>625.69000000000005</v>
      </c>
      <c r="AB2256">
        <v>71</v>
      </c>
    </row>
    <row r="2257" spans="1:28" x14ac:dyDescent="0.2">
      <c r="A2257">
        <v>2781</v>
      </c>
      <c r="B2257" s="1">
        <v>44188</v>
      </c>
      <c r="C2257" t="s">
        <v>28</v>
      </c>
      <c r="D2257" t="s">
        <v>69</v>
      </c>
      <c r="E2257" t="s">
        <v>108</v>
      </c>
      <c r="F2257" t="s">
        <v>31</v>
      </c>
      <c r="G2257" t="s">
        <v>45</v>
      </c>
      <c r="H2257" t="s">
        <v>46</v>
      </c>
      <c r="I2257" t="s">
        <v>34</v>
      </c>
      <c r="J2257" t="s">
        <v>70</v>
      </c>
      <c r="K2257" s="2">
        <v>25498</v>
      </c>
      <c r="L2257" t="s">
        <v>36</v>
      </c>
      <c r="M2257" t="s">
        <v>48</v>
      </c>
      <c r="N2257" t="s">
        <v>84</v>
      </c>
      <c r="O2257" t="s">
        <v>77</v>
      </c>
      <c r="P2257" t="s">
        <v>40</v>
      </c>
      <c r="Q2257">
        <v>4</v>
      </c>
      <c r="R2257" s="2">
        <v>44969</v>
      </c>
      <c r="S2257">
        <v>1</v>
      </c>
      <c r="T2257">
        <v>2</v>
      </c>
      <c r="U2257">
        <v>2</v>
      </c>
      <c r="V2257" s="1">
        <v>44877</v>
      </c>
      <c r="W2257" t="s">
        <v>41</v>
      </c>
      <c r="X2257" t="s">
        <v>42</v>
      </c>
      <c r="Y2257" t="s">
        <v>63</v>
      </c>
      <c r="Z2257">
        <v>5</v>
      </c>
      <c r="AA2257">
        <v>437.26</v>
      </c>
      <c r="AB2257">
        <v>51</v>
      </c>
    </row>
    <row r="2258" spans="1:28" x14ac:dyDescent="0.2">
      <c r="A2258">
        <v>2782</v>
      </c>
      <c r="B2258" s="1">
        <v>43555</v>
      </c>
      <c r="C2258" t="s">
        <v>28</v>
      </c>
      <c r="D2258" t="s">
        <v>29</v>
      </c>
      <c r="E2258" t="s">
        <v>30</v>
      </c>
      <c r="F2258" t="s">
        <v>55</v>
      </c>
      <c r="G2258" t="s">
        <v>32</v>
      </c>
      <c r="H2258" t="s">
        <v>33</v>
      </c>
      <c r="I2258" t="s">
        <v>34</v>
      </c>
      <c r="J2258" t="s">
        <v>65</v>
      </c>
      <c r="K2258" s="2">
        <v>31946</v>
      </c>
      <c r="L2258" t="s">
        <v>36</v>
      </c>
      <c r="M2258" t="s">
        <v>37</v>
      </c>
      <c r="N2258" t="s">
        <v>72</v>
      </c>
      <c r="O2258" t="s">
        <v>61</v>
      </c>
      <c r="P2258" t="s">
        <v>40</v>
      </c>
      <c r="Q2258">
        <v>2</v>
      </c>
      <c r="R2258" s="2">
        <v>44841</v>
      </c>
      <c r="S2258">
        <v>3</v>
      </c>
      <c r="T2258">
        <v>5</v>
      </c>
      <c r="U2258">
        <v>3</v>
      </c>
      <c r="V2258" s="1">
        <v>44851</v>
      </c>
      <c r="W2258" t="s">
        <v>41</v>
      </c>
      <c r="X2258" t="s">
        <v>42</v>
      </c>
      <c r="Y2258" t="s">
        <v>73</v>
      </c>
      <c r="Z2258">
        <v>2</v>
      </c>
      <c r="AA2258">
        <v>134.99</v>
      </c>
      <c r="AB2258">
        <v>32</v>
      </c>
    </row>
    <row r="2259" spans="1:28" x14ac:dyDescent="0.2">
      <c r="A2259">
        <v>2783</v>
      </c>
      <c r="B2259" s="1">
        <v>45088</v>
      </c>
      <c r="C2259" t="s">
        <v>106</v>
      </c>
      <c r="D2259" t="s">
        <v>85</v>
      </c>
      <c r="E2259" t="s">
        <v>30</v>
      </c>
      <c r="F2259" t="s">
        <v>46</v>
      </c>
      <c r="G2259" t="s">
        <v>45</v>
      </c>
      <c r="H2259" t="s">
        <v>33</v>
      </c>
      <c r="I2259" t="s">
        <v>34</v>
      </c>
      <c r="J2259" t="s">
        <v>101</v>
      </c>
      <c r="K2259" s="2">
        <v>28419</v>
      </c>
      <c r="L2259" t="s">
        <v>36</v>
      </c>
      <c r="M2259" t="s">
        <v>48</v>
      </c>
      <c r="N2259" t="s">
        <v>38</v>
      </c>
      <c r="O2259" t="s">
        <v>67</v>
      </c>
      <c r="P2259" t="s">
        <v>40</v>
      </c>
      <c r="Q2259">
        <v>1</v>
      </c>
      <c r="R2259" s="2">
        <v>44932</v>
      </c>
      <c r="S2259">
        <v>3</v>
      </c>
      <c r="T2259">
        <v>1</v>
      </c>
      <c r="U2259">
        <v>1</v>
      </c>
      <c r="V2259" s="1">
        <v>45066</v>
      </c>
      <c r="W2259" t="s">
        <v>68</v>
      </c>
      <c r="X2259" t="s">
        <v>51</v>
      </c>
      <c r="Y2259" t="s">
        <v>52</v>
      </c>
      <c r="Z2259">
        <v>4</v>
      </c>
      <c r="AA2259">
        <v>880.21</v>
      </c>
      <c r="AB2259">
        <v>46</v>
      </c>
    </row>
    <row r="2260" spans="1:28" x14ac:dyDescent="0.2">
      <c r="A2260">
        <v>2784</v>
      </c>
      <c r="B2260" s="1">
        <v>44336</v>
      </c>
      <c r="C2260" t="s">
        <v>106</v>
      </c>
      <c r="D2260" t="s">
        <v>64</v>
      </c>
      <c r="E2260" t="s">
        <v>30</v>
      </c>
      <c r="F2260" t="s">
        <v>31</v>
      </c>
      <c r="G2260" t="s">
        <v>56</v>
      </c>
      <c r="H2260" t="s">
        <v>55</v>
      </c>
      <c r="I2260" t="s">
        <v>34</v>
      </c>
      <c r="J2260" t="s">
        <v>70</v>
      </c>
      <c r="K2260" s="2">
        <v>29653</v>
      </c>
      <c r="L2260" t="s">
        <v>36</v>
      </c>
      <c r="M2260" t="s">
        <v>48</v>
      </c>
      <c r="N2260" t="s">
        <v>38</v>
      </c>
      <c r="O2260" t="s">
        <v>77</v>
      </c>
      <c r="P2260" t="s">
        <v>40</v>
      </c>
      <c r="Q2260">
        <v>2</v>
      </c>
      <c r="R2260" s="2">
        <v>44935</v>
      </c>
      <c r="S2260">
        <v>4</v>
      </c>
      <c r="T2260">
        <v>3</v>
      </c>
      <c r="U2260">
        <v>4</v>
      </c>
      <c r="V2260" s="1">
        <v>44812</v>
      </c>
      <c r="W2260" t="s">
        <v>50</v>
      </c>
      <c r="X2260" t="s">
        <v>42</v>
      </c>
      <c r="Y2260" t="s">
        <v>63</v>
      </c>
      <c r="Z2260">
        <v>5</v>
      </c>
      <c r="AA2260">
        <v>427.99</v>
      </c>
      <c r="AB2260">
        <v>40</v>
      </c>
    </row>
    <row r="2261" spans="1:28" x14ac:dyDescent="0.2">
      <c r="A2261">
        <v>2785</v>
      </c>
      <c r="B2261" s="1">
        <v>44149</v>
      </c>
      <c r="C2261" t="s">
        <v>106</v>
      </c>
      <c r="D2261" t="s">
        <v>74</v>
      </c>
      <c r="E2261" t="s">
        <v>30</v>
      </c>
      <c r="F2261" t="s">
        <v>55</v>
      </c>
      <c r="G2261" t="s">
        <v>32</v>
      </c>
      <c r="H2261" t="s">
        <v>55</v>
      </c>
      <c r="I2261" t="s">
        <v>34</v>
      </c>
      <c r="J2261" t="s">
        <v>70</v>
      </c>
      <c r="K2261" s="2">
        <v>24659</v>
      </c>
      <c r="L2261" t="s">
        <v>36</v>
      </c>
      <c r="M2261" t="s">
        <v>48</v>
      </c>
      <c r="N2261" t="s">
        <v>49</v>
      </c>
      <c r="O2261" t="s">
        <v>39</v>
      </c>
      <c r="P2261" t="s">
        <v>40</v>
      </c>
      <c r="Q2261">
        <v>4</v>
      </c>
      <c r="R2261" s="2">
        <v>44788</v>
      </c>
      <c r="S2261">
        <v>3</v>
      </c>
      <c r="T2261">
        <v>1</v>
      </c>
      <c r="U2261">
        <v>5</v>
      </c>
      <c r="V2261" s="1">
        <v>44891</v>
      </c>
      <c r="W2261" t="s">
        <v>68</v>
      </c>
      <c r="X2261" t="s">
        <v>42</v>
      </c>
      <c r="Y2261" t="s">
        <v>63</v>
      </c>
      <c r="Z2261">
        <v>1</v>
      </c>
      <c r="AA2261">
        <v>925.68</v>
      </c>
      <c r="AB2261">
        <v>53</v>
      </c>
    </row>
    <row r="2262" spans="1:28" x14ac:dyDescent="0.2">
      <c r="A2262">
        <v>2786</v>
      </c>
      <c r="B2262" s="1">
        <v>43463</v>
      </c>
      <c r="C2262" t="s">
        <v>106</v>
      </c>
      <c r="D2262" t="s">
        <v>94</v>
      </c>
      <c r="E2262" t="s">
        <v>30</v>
      </c>
      <c r="F2262" t="s">
        <v>31</v>
      </c>
      <c r="G2262" t="s">
        <v>45</v>
      </c>
      <c r="H2262" t="s">
        <v>55</v>
      </c>
      <c r="I2262" t="s">
        <v>34</v>
      </c>
      <c r="J2262" t="s">
        <v>70</v>
      </c>
      <c r="K2262" s="2">
        <v>36720</v>
      </c>
      <c r="L2262" t="s">
        <v>36</v>
      </c>
      <c r="M2262" t="s">
        <v>37</v>
      </c>
      <c r="N2262" t="s">
        <v>84</v>
      </c>
      <c r="O2262" t="s">
        <v>39</v>
      </c>
      <c r="P2262" t="s">
        <v>40</v>
      </c>
      <c r="Q2262">
        <v>1</v>
      </c>
      <c r="R2262" s="2">
        <v>44902</v>
      </c>
      <c r="S2262">
        <v>4</v>
      </c>
      <c r="T2262">
        <v>3</v>
      </c>
      <c r="U2262">
        <v>1</v>
      </c>
      <c r="V2262" s="1">
        <v>45093</v>
      </c>
      <c r="W2262" t="s">
        <v>92</v>
      </c>
      <c r="X2262" t="s">
        <v>51</v>
      </c>
      <c r="Y2262" t="s">
        <v>52</v>
      </c>
      <c r="Z2262">
        <v>4</v>
      </c>
      <c r="AA2262">
        <v>485.05</v>
      </c>
      <c r="AB2262">
        <v>18</v>
      </c>
    </row>
    <row r="2263" spans="1:28" x14ac:dyDescent="0.2">
      <c r="A2263">
        <v>2787</v>
      </c>
      <c r="B2263" s="1">
        <v>44308</v>
      </c>
      <c r="C2263" t="s">
        <v>106</v>
      </c>
      <c r="D2263" t="s">
        <v>74</v>
      </c>
      <c r="E2263" t="s">
        <v>30</v>
      </c>
      <c r="F2263" t="s">
        <v>31</v>
      </c>
      <c r="G2263" t="s">
        <v>45</v>
      </c>
      <c r="H2263" t="s">
        <v>55</v>
      </c>
      <c r="I2263" t="s">
        <v>34</v>
      </c>
      <c r="J2263" t="s">
        <v>82</v>
      </c>
      <c r="K2263" s="2">
        <v>17877</v>
      </c>
      <c r="L2263" t="s">
        <v>36</v>
      </c>
      <c r="M2263" t="s">
        <v>37</v>
      </c>
      <c r="N2263" t="s">
        <v>38</v>
      </c>
      <c r="O2263" t="s">
        <v>77</v>
      </c>
      <c r="P2263" t="s">
        <v>40</v>
      </c>
      <c r="Q2263">
        <v>4</v>
      </c>
      <c r="R2263" s="2">
        <v>45026</v>
      </c>
      <c r="S2263">
        <v>4</v>
      </c>
      <c r="T2263">
        <v>2</v>
      </c>
      <c r="U2263">
        <v>5</v>
      </c>
      <c r="V2263" s="1">
        <v>45034</v>
      </c>
      <c r="W2263" t="s">
        <v>68</v>
      </c>
      <c r="X2263" t="s">
        <v>51</v>
      </c>
      <c r="Y2263" t="s">
        <v>73</v>
      </c>
      <c r="Z2263">
        <v>5</v>
      </c>
      <c r="AA2263">
        <v>720.07</v>
      </c>
      <c r="AB2263">
        <v>73</v>
      </c>
    </row>
    <row r="2264" spans="1:28" x14ac:dyDescent="0.2">
      <c r="A2264">
        <v>2788</v>
      </c>
      <c r="B2264" s="1">
        <v>45080</v>
      </c>
      <c r="C2264" t="s">
        <v>106</v>
      </c>
      <c r="D2264" t="s">
        <v>81</v>
      </c>
      <c r="E2264" t="s">
        <v>108</v>
      </c>
      <c r="F2264" t="s">
        <v>31</v>
      </c>
      <c r="G2264" t="s">
        <v>32</v>
      </c>
      <c r="H2264" t="s">
        <v>55</v>
      </c>
      <c r="I2264" t="s">
        <v>34</v>
      </c>
      <c r="J2264" t="s">
        <v>96</v>
      </c>
      <c r="K2264" s="2">
        <v>17936</v>
      </c>
      <c r="L2264" t="s">
        <v>36</v>
      </c>
      <c r="M2264" t="s">
        <v>37</v>
      </c>
      <c r="N2264" t="s">
        <v>72</v>
      </c>
      <c r="O2264" t="s">
        <v>39</v>
      </c>
      <c r="P2264" t="s">
        <v>40</v>
      </c>
      <c r="Q2264">
        <v>1</v>
      </c>
      <c r="R2264" s="2">
        <v>45075</v>
      </c>
      <c r="S2264">
        <v>4</v>
      </c>
      <c r="T2264">
        <v>1</v>
      </c>
      <c r="U2264">
        <v>3</v>
      </c>
      <c r="V2264" s="1">
        <v>44947</v>
      </c>
      <c r="W2264" t="s">
        <v>62</v>
      </c>
      <c r="X2264" t="s">
        <v>51</v>
      </c>
      <c r="Y2264" t="s">
        <v>52</v>
      </c>
      <c r="Z2264">
        <v>5</v>
      </c>
      <c r="AA2264">
        <v>161.15</v>
      </c>
      <c r="AB2264">
        <v>74</v>
      </c>
    </row>
    <row r="2265" spans="1:28" x14ac:dyDescent="0.2">
      <c r="A2265">
        <v>2789</v>
      </c>
      <c r="B2265" s="1">
        <v>44312</v>
      </c>
      <c r="C2265" t="s">
        <v>28</v>
      </c>
      <c r="D2265" t="s">
        <v>29</v>
      </c>
      <c r="E2265" t="s">
        <v>30</v>
      </c>
      <c r="F2265" t="s">
        <v>31</v>
      </c>
      <c r="G2265" t="s">
        <v>56</v>
      </c>
      <c r="H2265" t="s">
        <v>33</v>
      </c>
      <c r="I2265" t="s">
        <v>34</v>
      </c>
      <c r="J2265" t="s">
        <v>103</v>
      </c>
      <c r="K2265" s="2">
        <v>15496</v>
      </c>
      <c r="L2265" t="s">
        <v>36</v>
      </c>
      <c r="M2265" t="s">
        <v>48</v>
      </c>
      <c r="N2265" t="s">
        <v>84</v>
      </c>
      <c r="O2265" t="s">
        <v>77</v>
      </c>
      <c r="P2265" t="s">
        <v>40</v>
      </c>
      <c r="Q2265">
        <v>4</v>
      </c>
      <c r="R2265" s="2">
        <v>44898</v>
      </c>
      <c r="S2265">
        <v>1</v>
      </c>
      <c r="T2265">
        <v>2</v>
      </c>
      <c r="U2265">
        <v>2</v>
      </c>
      <c r="V2265" s="1">
        <v>45083</v>
      </c>
      <c r="W2265" t="s">
        <v>62</v>
      </c>
      <c r="X2265" t="s">
        <v>42</v>
      </c>
      <c r="Y2265" t="s">
        <v>63</v>
      </c>
      <c r="Z2265">
        <v>4</v>
      </c>
      <c r="AA2265">
        <v>899.17</v>
      </c>
      <c r="AB2265">
        <v>79</v>
      </c>
    </row>
    <row r="2266" spans="1:28" x14ac:dyDescent="0.2">
      <c r="A2266">
        <v>2790</v>
      </c>
      <c r="B2266" s="1">
        <v>43585</v>
      </c>
      <c r="C2266" t="s">
        <v>28</v>
      </c>
      <c r="D2266" t="s">
        <v>44</v>
      </c>
      <c r="E2266" t="s">
        <v>30</v>
      </c>
      <c r="F2266" t="s">
        <v>31</v>
      </c>
      <c r="G2266" t="s">
        <v>56</v>
      </c>
      <c r="H2266" t="s">
        <v>46</v>
      </c>
      <c r="I2266" t="s">
        <v>34</v>
      </c>
      <c r="J2266" t="s">
        <v>102</v>
      </c>
      <c r="K2266" s="2">
        <v>21770</v>
      </c>
      <c r="L2266" t="s">
        <v>36</v>
      </c>
      <c r="M2266" t="s">
        <v>48</v>
      </c>
      <c r="N2266" t="s">
        <v>49</v>
      </c>
      <c r="O2266" t="s">
        <v>39</v>
      </c>
      <c r="P2266" t="s">
        <v>40</v>
      </c>
      <c r="Q2266">
        <v>4</v>
      </c>
      <c r="R2266" s="2">
        <v>44929</v>
      </c>
      <c r="S2266">
        <v>1</v>
      </c>
      <c r="T2266">
        <v>5</v>
      </c>
      <c r="U2266">
        <v>2</v>
      </c>
      <c r="V2266" s="1">
        <v>44824</v>
      </c>
      <c r="W2266" t="s">
        <v>92</v>
      </c>
      <c r="X2266" t="s">
        <v>51</v>
      </c>
      <c r="Y2266" t="s">
        <v>52</v>
      </c>
      <c r="Z2266">
        <v>1</v>
      </c>
      <c r="AA2266">
        <v>438.31</v>
      </c>
      <c r="AB2266">
        <v>60</v>
      </c>
    </row>
    <row r="2267" spans="1:28" x14ac:dyDescent="0.2">
      <c r="A2267">
        <v>2791</v>
      </c>
      <c r="B2267" s="1">
        <v>44381</v>
      </c>
      <c r="C2267" t="s">
        <v>28</v>
      </c>
      <c r="D2267" t="s">
        <v>87</v>
      </c>
      <c r="E2267" t="s">
        <v>30</v>
      </c>
      <c r="F2267" t="s">
        <v>31</v>
      </c>
      <c r="G2267" t="s">
        <v>56</v>
      </c>
      <c r="H2267" t="s">
        <v>33</v>
      </c>
      <c r="I2267" t="s">
        <v>34</v>
      </c>
      <c r="J2267" t="s">
        <v>70</v>
      </c>
      <c r="K2267" s="2">
        <v>17103</v>
      </c>
      <c r="L2267" t="s">
        <v>36</v>
      </c>
      <c r="M2267" t="s">
        <v>48</v>
      </c>
      <c r="N2267" t="s">
        <v>38</v>
      </c>
      <c r="O2267" t="s">
        <v>39</v>
      </c>
      <c r="P2267" t="s">
        <v>40</v>
      </c>
      <c r="Q2267">
        <v>2</v>
      </c>
      <c r="R2267" s="2">
        <v>44945</v>
      </c>
      <c r="S2267">
        <v>1</v>
      </c>
      <c r="T2267">
        <v>3</v>
      </c>
      <c r="U2267">
        <v>1</v>
      </c>
      <c r="V2267" s="1">
        <v>45024</v>
      </c>
      <c r="W2267" t="s">
        <v>92</v>
      </c>
      <c r="X2267" t="s">
        <v>42</v>
      </c>
      <c r="Y2267" t="s">
        <v>73</v>
      </c>
      <c r="Z2267">
        <v>3</v>
      </c>
      <c r="AA2267">
        <v>903.18</v>
      </c>
      <c r="AB2267">
        <v>75</v>
      </c>
    </row>
    <row r="2268" spans="1:28" x14ac:dyDescent="0.2">
      <c r="A2268">
        <v>2792</v>
      </c>
      <c r="B2268" s="1">
        <v>44981</v>
      </c>
      <c r="C2268" t="s">
        <v>28</v>
      </c>
      <c r="D2268" t="s">
        <v>81</v>
      </c>
      <c r="E2268" t="s">
        <v>30</v>
      </c>
      <c r="F2268" t="s">
        <v>46</v>
      </c>
      <c r="G2268" t="s">
        <v>45</v>
      </c>
      <c r="H2268" t="s">
        <v>33</v>
      </c>
      <c r="I2268" t="s">
        <v>34</v>
      </c>
      <c r="J2268" t="s">
        <v>79</v>
      </c>
      <c r="K2268" s="2">
        <v>19489</v>
      </c>
      <c r="L2268" t="s">
        <v>36</v>
      </c>
      <c r="M2268" t="s">
        <v>48</v>
      </c>
      <c r="N2268" t="s">
        <v>72</v>
      </c>
      <c r="O2268" t="s">
        <v>61</v>
      </c>
      <c r="P2268" t="s">
        <v>40</v>
      </c>
      <c r="Q2268">
        <v>1</v>
      </c>
      <c r="R2268" s="2">
        <v>44813</v>
      </c>
      <c r="S2268">
        <v>3</v>
      </c>
      <c r="T2268">
        <v>4</v>
      </c>
      <c r="U2268">
        <v>4</v>
      </c>
      <c r="V2268" s="1">
        <v>45067</v>
      </c>
      <c r="W2268" t="s">
        <v>68</v>
      </c>
      <c r="X2268" t="s">
        <v>51</v>
      </c>
      <c r="Y2268" t="s">
        <v>73</v>
      </c>
      <c r="Z2268">
        <v>2</v>
      </c>
      <c r="AA2268">
        <v>607.80999999999995</v>
      </c>
      <c r="AB2268">
        <v>70</v>
      </c>
    </row>
    <row r="2269" spans="1:28" x14ac:dyDescent="0.2">
      <c r="A2269">
        <v>2793</v>
      </c>
      <c r="B2269" s="1">
        <v>44257</v>
      </c>
      <c r="C2269" t="s">
        <v>28</v>
      </c>
      <c r="D2269" t="s">
        <v>54</v>
      </c>
      <c r="E2269" t="s">
        <v>30</v>
      </c>
      <c r="F2269" t="s">
        <v>55</v>
      </c>
      <c r="G2269" t="s">
        <v>45</v>
      </c>
      <c r="H2269" t="s">
        <v>55</v>
      </c>
      <c r="I2269" t="s">
        <v>34</v>
      </c>
      <c r="J2269" t="s">
        <v>105</v>
      </c>
      <c r="K2269" s="2">
        <v>29817</v>
      </c>
      <c r="L2269" t="s">
        <v>36</v>
      </c>
      <c r="M2269" t="s">
        <v>48</v>
      </c>
      <c r="N2269" t="s">
        <v>72</v>
      </c>
      <c r="O2269" t="s">
        <v>77</v>
      </c>
      <c r="P2269" t="s">
        <v>40</v>
      </c>
      <c r="Q2269">
        <v>1</v>
      </c>
      <c r="R2269" s="2">
        <v>45012</v>
      </c>
      <c r="S2269">
        <v>2</v>
      </c>
      <c r="T2269">
        <v>5</v>
      </c>
      <c r="U2269">
        <v>3</v>
      </c>
      <c r="V2269" s="1">
        <v>44843</v>
      </c>
      <c r="W2269" t="s">
        <v>62</v>
      </c>
      <c r="X2269" t="s">
        <v>51</v>
      </c>
      <c r="Y2269" t="s">
        <v>52</v>
      </c>
      <c r="Z2269">
        <v>1</v>
      </c>
      <c r="AA2269">
        <v>774.44</v>
      </c>
      <c r="AB2269">
        <v>40</v>
      </c>
    </row>
    <row r="2270" spans="1:28" x14ac:dyDescent="0.2">
      <c r="A2270">
        <v>2794</v>
      </c>
      <c r="B2270" s="1">
        <v>44557</v>
      </c>
      <c r="C2270" t="s">
        <v>28</v>
      </c>
      <c r="D2270" t="s">
        <v>94</v>
      </c>
      <c r="E2270" t="s">
        <v>30</v>
      </c>
      <c r="F2270" t="s">
        <v>31</v>
      </c>
      <c r="G2270" t="s">
        <v>56</v>
      </c>
      <c r="H2270" t="s">
        <v>33</v>
      </c>
      <c r="I2270" t="s">
        <v>34</v>
      </c>
      <c r="J2270" t="s">
        <v>70</v>
      </c>
      <c r="K2270" s="2">
        <v>27896</v>
      </c>
      <c r="L2270" t="s">
        <v>36</v>
      </c>
      <c r="M2270" t="s">
        <v>48</v>
      </c>
      <c r="N2270" t="s">
        <v>49</v>
      </c>
      <c r="O2270" t="s">
        <v>61</v>
      </c>
      <c r="P2270" t="s">
        <v>40</v>
      </c>
      <c r="Q2270">
        <v>5</v>
      </c>
      <c r="R2270" s="2">
        <v>44807</v>
      </c>
      <c r="S2270">
        <v>5</v>
      </c>
      <c r="T2270">
        <v>4</v>
      </c>
      <c r="U2270">
        <v>4</v>
      </c>
      <c r="V2270" s="1">
        <v>44936</v>
      </c>
      <c r="W2270" t="s">
        <v>50</v>
      </c>
      <c r="X2270" t="s">
        <v>42</v>
      </c>
      <c r="Y2270" t="s">
        <v>52</v>
      </c>
      <c r="Z2270">
        <v>3</v>
      </c>
      <c r="AA2270">
        <v>644.38</v>
      </c>
      <c r="AB2270">
        <v>45</v>
      </c>
    </row>
    <row r="2271" spans="1:28" x14ac:dyDescent="0.2">
      <c r="A2271">
        <v>2795</v>
      </c>
      <c r="B2271" s="1">
        <v>44752</v>
      </c>
      <c r="C2271" t="s">
        <v>28</v>
      </c>
      <c r="D2271" t="s">
        <v>85</v>
      </c>
      <c r="E2271" t="s">
        <v>30</v>
      </c>
      <c r="F2271" t="s">
        <v>46</v>
      </c>
      <c r="G2271" t="s">
        <v>32</v>
      </c>
      <c r="H2271" t="s">
        <v>33</v>
      </c>
      <c r="I2271" t="s">
        <v>34</v>
      </c>
      <c r="J2271" t="s">
        <v>75</v>
      </c>
      <c r="K2271" s="2">
        <v>17924</v>
      </c>
      <c r="L2271" t="s">
        <v>36</v>
      </c>
      <c r="M2271" t="s">
        <v>37</v>
      </c>
      <c r="N2271" t="s">
        <v>84</v>
      </c>
      <c r="O2271" t="s">
        <v>61</v>
      </c>
      <c r="P2271" t="s">
        <v>40</v>
      </c>
      <c r="Q2271">
        <v>4</v>
      </c>
      <c r="R2271" s="2">
        <v>45083</v>
      </c>
      <c r="S2271">
        <v>5</v>
      </c>
      <c r="T2271">
        <v>1</v>
      </c>
      <c r="U2271">
        <v>1</v>
      </c>
      <c r="V2271" s="1">
        <v>45046</v>
      </c>
      <c r="W2271" t="s">
        <v>50</v>
      </c>
      <c r="X2271" t="s">
        <v>42</v>
      </c>
      <c r="Y2271" t="s">
        <v>43</v>
      </c>
      <c r="Z2271">
        <v>4</v>
      </c>
      <c r="AA2271">
        <v>457.74</v>
      </c>
      <c r="AB2271">
        <v>73</v>
      </c>
    </row>
    <row r="2272" spans="1:28" x14ac:dyDescent="0.2">
      <c r="A2272">
        <v>2796</v>
      </c>
      <c r="B2272" s="1">
        <v>44823</v>
      </c>
      <c r="C2272" t="s">
        <v>28</v>
      </c>
      <c r="D2272" t="s">
        <v>64</v>
      </c>
      <c r="E2272" t="s">
        <v>30</v>
      </c>
      <c r="F2272" t="s">
        <v>31</v>
      </c>
      <c r="G2272" t="s">
        <v>45</v>
      </c>
      <c r="H2272" t="s">
        <v>55</v>
      </c>
      <c r="I2272" t="s">
        <v>34</v>
      </c>
      <c r="J2272" t="s">
        <v>79</v>
      </c>
      <c r="K2272" s="2">
        <v>33482</v>
      </c>
      <c r="L2272" t="s">
        <v>36</v>
      </c>
      <c r="M2272" t="s">
        <v>37</v>
      </c>
      <c r="N2272" t="s">
        <v>84</v>
      </c>
      <c r="O2272" t="s">
        <v>67</v>
      </c>
      <c r="P2272" t="s">
        <v>40</v>
      </c>
      <c r="Q2272">
        <v>1</v>
      </c>
      <c r="R2272" s="2">
        <v>45143</v>
      </c>
      <c r="S2272">
        <v>2</v>
      </c>
      <c r="T2272">
        <v>4</v>
      </c>
      <c r="U2272">
        <v>2</v>
      </c>
      <c r="V2272" s="1">
        <v>44853</v>
      </c>
      <c r="W2272" t="s">
        <v>92</v>
      </c>
      <c r="X2272" t="s">
        <v>51</v>
      </c>
      <c r="Y2272" t="s">
        <v>52</v>
      </c>
      <c r="Z2272">
        <v>2</v>
      </c>
      <c r="AA2272">
        <v>840.27</v>
      </c>
      <c r="AB2272">
        <v>31</v>
      </c>
    </row>
    <row r="2273" spans="1:28" x14ac:dyDescent="0.2">
      <c r="A2273">
        <v>2797</v>
      </c>
      <c r="B2273" s="1">
        <v>44346</v>
      </c>
      <c r="C2273" t="s">
        <v>28</v>
      </c>
      <c r="D2273" t="s">
        <v>74</v>
      </c>
      <c r="E2273" t="s">
        <v>30</v>
      </c>
      <c r="F2273" t="s">
        <v>31</v>
      </c>
      <c r="G2273" t="s">
        <v>45</v>
      </c>
      <c r="H2273" t="s">
        <v>33</v>
      </c>
      <c r="I2273" t="s">
        <v>34</v>
      </c>
      <c r="J2273" t="s">
        <v>47</v>
      </c>
      <c r="K2273" s="2">
        <v>23694</v>
      </c>
      <c r="L2273" t="s">
        <v>36</v>
      </c>
      <c r="M2273" t="s">
        <v>48</v>
      </c>
      <c r="N2273" t="s">
        <v>60</v>
      </c>
      <c r="O2273" t="s">
        <v>67</v>
      </c>
      <c r="P2273" t="s">
        <v>78</v>
      </c>
      <c r="Q2273">
        <v>1</v>
      </c>
      <c r="R2273" s="2">
        <v>44778</v>
      </c>
      <c r="S2273">
        <v>2</v>
      </c>
      <c r="T2273">
        <v>1</v>
      </c>
      <c r="U2273">
        <v>2</v>
      </c>
      <c r="V2273" s="1">
        <v>44913</v>
      </c>
      <c r="W2273" t="s">
        <v>92</v>
      </c>
      <c r="X2273" t="s">
        <v>51</v>
      </c>
      <c r="Y2273" t="s">
        <v>43</v>
      </c>
      <c r="Z2273">
        <v>1</v>
      </c>
      <c r="AA2273">
        <v>559.59</v>
      </c>
      <c r="AB2273">
        <v>57</v>
      </c>
    </row>
    <row r="2274" spans="1:28" x14ac:dyDescent="0.2">
      <c r="A2274">
        <v>2798</v>
      </c>
      <c r="B2274" s="1">
        <v>43928</v>
      </c>
      <c r="C2274" t="s">
        <v>28</v>
      </c>
      <c r="D2274" t="s">
        <v>69</v>
      </c>
      <c r="E2274" t="s">
        <v>30</v>
      </c>
      <c r="F2274" t="s">
        <v>31</v>
      </c>
      <c r="G2274" t="s">
        <v>45</v>
      </c>
      <c r="H2274" t="s">
        <v>46</v>
      </c>
      <c r="I2274" t="s">
        <v>34</v>
      </c>
      <c r="J2274" t="s">
        <v>79</v>
      </c>
      <c r="K2274" s="2">
        <v>25340</v>
      </c>
      <c r="L2274" t="s">
        <v>36</v>
      </c>
      <c r="M2274" t="s">
        <v>48</v>
      </c>
      <c r="N2274" t="s">
        <v>84</v>
      </c>
      <c r="O2274" t="s">
        <v>77</v>
      </c>
      <c r="P2274" t="s">
        <v>40</v>
      </c>
      <c r="Q2274">
        <v>2</v>
      </c>
      <c r="R2274" s="2">
        <v>45075</v>
      </c>
      <c r="S2274">
        <v>3</v>
      </c>
      <c r="T2274">
        <v>4</v>
      </c>
      <c r="U2274">
        <v>2</v>
      </c>
      <c r="V2274" s="1">
        <v>45040</v>
      </c>
      <c r="W2274" t="s">
        <v>41</v>
      </c>
      <c r="X2274" t="s">
        <v>51</v>
      </c>
      <c r="Y2274" t="s">
        <v>63</v>
      </c>
      <c r="Z2274">
        <v>1</v>
      </c>
      <c r="AA2274">
        <v>840.65</v>
      </c>
      <c r="AB2274">
        <v>51</v>
      </c>
    </row>
    <row r="2275" spans="1:28" x14ac:dyDescent="0.2">
      <c r="A2275">
        <v>2799</v>
      </c>
      <c r="B2275" s="1">
        <v>44306</v>
      </c>
      <c r="C2275" t="s">
        <v>28</v>
      </c>
      <c r="D2275" t="s">
        <v>29</v>
      </c>
      <c r="E2275" t="s">
        <v>30</v>
      </c>
      <c r="F2275" t="s">
        <v>46</v>
      </c>
      <c r="G2275" t="s">
        <v>45</v>
      </c>
      <c r="H2275" t="s">
        <v>46</v>
      </c>
      <c r="I2275" t="s">
        <v>34</v>
      </c>
      <c r="J2275" t="s">
        <v>79</v>
      </c>
      <c r="K2275" s="2">
        <v>32194</v>
      </c>
      <c r="L2275" t="s">
        <v>36</v>
      </c>
      <c r="M2275" t="s">
        <v>48</v>
      </c>
      <c r="N2275" t="s">
        <v>38</v>
      </c>
      <c r="O2275" t="s">
        <v>77</v>
      </c>
      <c r="P2275" t="s">
        <v>40</v>
      </c>
      <c r="Q2275">
        <v>2</v>
      </c>
      <c r="R2275" s="2">
        <v>44958</v>
      </c>
      <c r="S2275">
        <v>2</v>
      </c>
      <c r="T2275">
        <v>1</v>
      </c>
      <c r="U2275">
        <v>1</v>
      </c>
      <c r="V2275" s="1">
        <v>45135</v>
      </c>
      <c r="W2275" t="s">
        <v>92</v>
      </c>
      <c r="X2275" t="s">
        <v>42</v>
      </c>
      <c r="Y2275" t="s">
        <v>52</v>
      </c>
      <c r="Z2275">
        <v>1</v>
      </c>
      <c r="AA2275">
        <v>543.46</v>
      </c>
      <c r="AB2275">
        <v>33</v>
      </c>
    </row>
    <row r="2276" spans="1:28" x14ac:dyDescent="0.2">
      <c r="A2276">
        <v>2800</v>
      </c>
      <c r="B2276" s="1">
        <v>43679</v>
      </c>
      <c r="C2276" t="s">
        <v>28</v>
      </c>
      <c r="D2276" t="s">
        <v>44</v>
      </c>
      <c r="E2276" t="s">
        <v>30</v>
      </c>
      <c r="F2276" t="s">
        <v>31</v>
      </c>
      <c r="G2276" t="s">
        <v>56</v>
      </c>
      <c r="H2276" t="s">
        <v>33</v>
      </c>
      <c r="I2276" t="s">
        <v>34</v>
      </c>
      <c r="J2276" t="s">
        <v>65</v>
      </c>
      <c r="K2276" s="2">
        <v>17724</v>
      </c>
      <c r="L2276" t="s">
        <v>36</v>
      </c>
      <c r="M2276" t="s">
        <v>48</v>
      </c>
      <c r="N2276" t="s">
        <v>72</v>
      </c>
      <c r="O2276" t="s">
        <v>67</v>
      </c>
      <c r="P2276" t="s">
        <v>40</v>
      </c>
      <c r="Q2276">
        <v>1</v>
      </c>
      <c r="R2276" s="2">
        <v>45097</v>
      </c>
      <c r="S2276">
        <v>1</v>
      </c>
      <c r="T2276">
        <v>2</v>
      </c>
      <c r="U2276">
        <v>2</v>
      </c>
      <c r="V2276" s="1">
        <v>44915</v>
      </c>
      <c r="W2276" t="s">
        <v>50</v>
      </c>
      <c r="X2276" t="s">
        <v>51</v>
      </c>
      <c r="Y2276" t="s">
        <v>52</v>
      </c>
      <c r="Z2276">
        <v>1</v>
      </c>
      <c r="AA2276">
        <v>729.03</v>
      </c>
      <c r="AB2276">
        <v>71</v>
      </c>
    </row>
    <row r="2277" spans="1:28" x14ac:dyDescent="0.2">
      <c r="A2277">
        <v>2801</v>
      </c>
      <c r="B2277" s="1">
        <v>44572</v>
      </c>
      <c r="C2277" t="s">
        <v>28</v>
      </c>
      <c r="D2277" t="s">
        <v>87</v>
      </c>
      <c r="E2277" t="s">
        <v>30</v>
      </c>
      <c r="F2277" t="s">
        <v>55</v>
      </c>
      <c r="G2277" t="s">
        <v>32</v>
      </c>
      <c r="H2277" t="s">
        <v>33</v>
      </c>
      <c r="I2277" t="s">
        <v>34</v>
      </c>
      <c r="J2277" t="s">
        <v>70</v>
      </c>
      <c r="K2277" s="2">
        <v>34970</v>
      </c>
      <c r="L2277" t="s">
        <v>36</v>
      </c>
      <c r="M2277" t="s">
        <v>48</v>
      </c>
      <c r="N2277" t="s">
        <v>38</v>
      </c>
      <c r="O2277" t="s">
        <v>77</v>
      </c>
      <c r="P2277" t="s">
        <v>40</v>
      </c>
      <c r="Q2277">
        <v>5</v>
      </c>
      <c r="R2277" s="2">
        <v>44824</v>
      </c>
      <c r="S2277">
        <v>1</v>
      </c>
      <c r="T2277">
        <v>3</v>
      </c>
      <c r="U2277">
        <v>4</v>
      </c>
      <c r="V2277" s="1">
        <v>45091</v>
      </c>
      <c r="W2277" t="s">
        <v>41</v>
      </c>
      <c r="X2277" t="s">
        <v>51</v>
      </c>
      <c r="Y2277" t="s">
        <v>52</v>
      </c>
      <c r="Z2277">
        <v>4</v>
      </c>
      <c r="AA2277">
        <v>449.65</v>
      </c>
      <c r="AB2277">
        <v>27</v>
      </c>
    </row>
    <row r="2278" spans="1:28" x14ac:dyDescent="0.2">
      <c r="A2278">
        <v>2802</v>
      </c>
      <c r="B2278" s="1">
        <v>44150</v>
      </c>
      <c r="C2278" t="s">
        <v>28</v>
      </c>
      <c r="D2278" t="s">
        <v>81</v>
      </c>
      <c r="E2278" t="s">
        <v>30</v>
      </c>
      <c r="F2278" t="s">
        <v>31</v>
      </c>
      <c r="G2278" t="s">
        <v>32</v>
      </c>
      <c r="H2278" t="s">
        <v>46</v>
      </c>
      <c r="I2278" t="s">
        <v>34</v>
      </c>
      <c r="J2278" t="s">
        <v>65</v>
      </c>
      <c r="K2278" s="2">
        <v>28348</v>
      </c>
      <c r="L2278" t="s">
        <v>36</v>
      </c>
      <c r="M2278" t="s">
        <v>37</v>
      </c>
      <c r="N2278" t="s">
        <v>38</v>
      </c>
      <c r="O2278" t="s">
        <v>67</v>
      </c>
      <c r="P2278" t="s">
        <v>40</v>
      </c>
      <c r="Q2278">
        <v>4</v>
      </c>
      <c r="R2278" s="2">
        <v>45108</v>
      </c>
      <c r="S2278">
        <v>2</v>
      </c>
      <c r="T2278">
        <v>3</v>
      </c>
      <c r="U2278">
        <v>5</v>
      </c>
      <c r="V2278" s="1">
        <v>45037</v>
      </c>
      <c r="W2278" t="s">
        <v>68</v>
      </c>
      <c r="X2278" t="s">
        <v>51</v>
      </c>
      <c r="Y2278" t="s">
        <v>73</v>
      </c>
      <c r="Z2278">
        <v>3</v>
      </c>
      <c r="AA2278">
        <v>213.38</v>
      </c>
      <c r="AB2278">
        <v>43</v>
      </c>
    </row>
    <row r="2279" spans="1:28" x14ac:dyDescent="0.2">
      <c r="A2279">
        <v>2803</v>
      </c>
      <c r="B2279" s="1">
        <v>43959</v>
      </c>
      <c r="C2279" t="s">
        <v>28</v>
      </c>
      <c r="D2279" t="s">
        <v>54</v>
      </c>
      <c r="E2279" t="s">
        <v>30</v>
      </c>
      <c r="F2279" t="s">
        <v>46</v>
      </c>
      <c r="G2279" t="s">
        <v>56</v>
      </c>
      <c r="H2279" t="s">
        <v>46</v>
      </c>
      <c r="I2279" t="s">
        <v>34</v>
      </c>
      <c r="J2279" t="s">
        <v>65</v>
      </c>
      <c r="K2279" s="2">
        <v>23988</v>
      </c>
      <c r="L2279" t="s">
        <v>36</v>
      </c>
      <c r="M2279" t="s">
        <v>37</v>
      </c>
      <c r="N2279" t="s">
        <v>84</v>
      </c>
      <c r="O2279" t="s">
        <v>67</v>
      </c>
      <c r="P2279" t="s">
        <v>40</v>
      </c>
      <c r="Q2279">
        <v>5</v>
      </c>
      <c r="R2279" s="2">
        <v>44869</v>
      </c>
      <c r="S2279">
        <v>4</v>
      </c>
      <c r="T2279">
        <v>4</v>
      </c>
      <c r="U2279">
        <v>5</v>
      </c>
      <c r="V2279" s="1">
        <v>44955</v>
      </c>
      <c r="W2279" t="s">
        <v>41</v>
      </c>
      <c r="X2279" t="s">
        <v>42</v>
      </c>
      <c r="Y2279" t="s">
        <v>43</v>
      </c>
      <c r="Z2279">
        <v>4</v>
      </c>
      <c r="AA2279">
        <v>106.21</v>
      </c>
      <c r="AB2279">
        <v>55</v>
      </c>
    </row>
    <row r="2280" spans="1:28" x14ac:dyDescent="0.2">
      <c r="A2280">
        <v>2804</v>
      </c>
      <c r="B2280" s="1">
        <v>43534</v>
      </c>
      <c r="C2280" t="s">
        <v>106</v>
      </c>
      <c r="D2280" t="s">
        <v>85</v>
      </c>
      <c r="E2280" t="s">
        <v>30</v>
      </c>
      <c r="F2280" t="s">
        <v>46</v>
      </c>
      <c r="G2280" t="s">
        <v>56</v>
      </c>
      <c r="H2280" t="s">
        <v>55</v>
      </c>
      <c r="I2280" t="s">
        <v>34</v>
      </c>
      <c r="J2280" t="s">
        <v>96</v>
      </c>
      <c r="K2280" s="2">
        <v>19419</v>
      </c>
      <c r="L2280" t="s">
        <v>36</v>
      </c>
      <c r="M2280" t="s">
        <v>48</v>
      </c>
      <c r="N2280" t="s">
        <v>49</v>
      </c>
      <c r="O2280" t="s">
        <v>67</v>
      </c>
      <c r="P2280" t="s">
        <v>40</v>
      </c>
      <c r="Q2280">
        <v>4</v>
      </c>
      <c r="R2280" s="2">
        <v>44900</v>
      </c>
      <c r="S2280">
        <v>5</v>
      </c>
      <c r="T2280">
        <v>4</v>
      </c>
      <c r="U2280">
        <v>2</v>
      </c>
      <c r="V2280" s="1">
        <v>44952</v>
      </c>
      <c r="W2280" t="s">
        <v>41</v>
      </c>
      <c r="X2280" t="s">
        <v>42</v>
      </c>
      <c r="Y2280" t="s">
        <v>63</v>
      </c>
      <c r="Z2280">
        <v>5</v>
      </c>
      <c r="AA2280">
        <v>483.07</v>
      </c>
      <c r="AB2280">
        <v>66</v>
      </c>
    </row>
    <row r="2281" spans="1:28" x14ac:dyDescent="0.2">
      <c r="A2281">
        <v>2805</v>
      </c>
      <c r="B2281" s="1">
        <v>44670</v>
      </c>
      <c r="C2281" t="s">
        <v>106</v>
      </c>
      <c r="D2281" t="s">
        <v>64</v>
      </c>
      <c r="E2281" t="s">
        <v>30</v>
      </c>
      <c r="F2281" t="s">
        <v>55</v>
      </c>
      <c r="G2281" t="s">
        <v>32</v>
      </c>
      <c r="H2281" t="s">
        <v>46</v>
      </c>
      <c r="I2281" t="s">
        <v>34</v>
      </c>
      <c r="J2281" t="s">
        <v>70</v>
      </c>
      <c r="K2281" s="2">
        <v>32354</v>
      </c>
      <c r="L2281" t="s">
        <v>36</v>
      </c>
      <c r="M2281" t="s">
        <v>48</v>
      </c>
      <c r="N2281" t="s">
        <v>38</v>
      </c>
      <c r="O2281" t="s">
        <v>39</v>
      </c>
      <c r="P2281" t="s">
        <v>40</v>
      </c>
      <c r="Q2281">
        <v>1</v>
      </c>
      <c r="R2281" s="2">
        <v>45065</v>
      </c>
      <c r="S2281">
        <v>5</v>
      </c>
      <c r="T2281">
        <v>3</v>
      </c>
      <c r="U2281">
        <v>2</v>
      </c>
      <c r="V2281" s="1">
        <v>45125</v>
      </c>
      <c r="W2281" t="s">
        <v>62</v>
      </c>
      <c r="X2281" t="s">
        <v>42</v>
      </c>
      <c r="Y2281" t="s">
        <v>73</v>
      </c>
      <c r="Z2281">
        <v>2</v>
      </c>
      <c r="AA2281">
        <v>515.30999999999995</v>
      </c>
      <c r="AB2281">
        <v>34</v>
      </c>
    </row>
    <row r="2282" spans="1:28" x14ac:dyDescent="0.2">
      <c r="A2282">
        <v>2806</v>
      </c>
      <c r="B2282" s="1">
        <v>43799</v>
      </c>
      <c r="C2282" t="s">
        <v>106</v>
      </c>
      <c r="D2282" t="s">
        <v>74</v>
      </c>
      <c r="E2282" t="s">
        <v>30</v>
      </c>
      <c r="F2282" t="s">
        <v>55</v>
      </c>
      <c r="G2282" t="s">
        <v>45</v>
      </c>
      <c r="H2282" t="s">
        <v>46</v>
      </c>
      <c r="I2282" t="s">
        <v>34</v>
      </c>
      <c r="J2282" t="s">
        <v>102</v>
      </c>
      <c r="K2282" s="2">
        <v>22819</v>
      </c>
      <c r="L2282" t="s">
        <v>36</v>
      </c>
      <c r="M2282" t="s">
        <v>37</v>
      </c>
      <c r="N2282" t="s">
        <v>84</v>
      </c>
      <c r="O2282" t="s">
        <v>77</v>
      </c>
      <c r="P2282" t="s">
        <v>40</v>
      </c>
      <c r="Q2282">
        <v>2</v>
      </c>
      <c r="R2282" s="2">
        <v>45030</v>
      </c>
      <c r="S2282">
        <v>1</v>
      </c>
      <c r="T2282">
        <v>3</v>
      </c>
      <c r="U2282">
        <v>1</v>
      </c>
      <c r="V2282" s="1">
        <v>45073</v>
      </c>
      <c r="W2282" t="s">
        <v>92</v>
      </c>
      <c r="X2282" t="s">
        <v>42</v>
      </c>
      <c r="Y2282" t="s">
        <v>52</v>
      </c>
      <c r="Z2282">
        <v>5</v>
      </c>
      <c r="AA2282">
        <v>290.8</v>
      </c>
      <c r="AB2282">
        <v>57</v>
      </c>
    </row>
    <row r="2283" spans="1:28" x14ac:dyDescent="0.2">
      <c r="A2283">
        <v>2807</v>
      </c>
      <c r="B2283" s="1">
        <v>44383</v>
      </c>
      <c r="C2283" t="s">
        <v>106</v>
      </c>
      <c r="D2283" t="s">
        <v>69</v>
      </c>
      <c r="E2283" t="s">
        <v>108</v>
      </c>
      <c r="F2283" t="s">
        <v>46</v>
      </c>
      <c r="G2283" t="s">
        <v>45</v>
      </c>
      <c r="H2283" t="s">
        <v>46</v>
      </c>
      <c r="I2283" t="s">
        <v>34</v>
      </c>
      <c r="J2283" t="s">
        <v>101</v>
      </c>
      <c r="K2283" s="2">
        <v>28232</v>
      </c>
      <c r="L2283" t="s">
        <v>36</v>
      </c>
      <c r="M2283" t="s">
        <v>37</v>
      </c>
      <c r="N2283" t="s">
        <v>38</v>
      </c>
      <c r="O2283" t="s">
        <v>67</v>
      </c>
      <c r="P2283" t="s">
        <v>40</v>
      </c>
      <c r="Q2283">
        <v>2</v>
      </c>
      <c r="R2283" s="2">
        <v>44939</v>
      </c>
      <c r="S2283">
        <v>3</v>
      </c>
      <c r="T2283">
        <v>2</v>
      </c>
      <c r="U2283">
        <v>4</v>
      </c>
      <c r="V2283" s="1">
        <v>45032</v>
      </c>
      <c r="W2283" t="s">
        <v>50</v>
      </c>
      <c r="X2283" t="s">
        <v>42</v>
      </c>
      <c r="Y2283" t="s">
        <v>73</v>
      </c>
      <c r="Z2283">
        <v>4</v>
      </c>
      <c r="AA2283">
        <v>977.46</v>
      </c>
      <c r="AB2283">
        <v>44</v>
      </c>
    </row>
    <row r="2284" spans="1:28" x14ac:dyDescent="0.2">
      <c r="A2284">
        <v>2808</v>
      </c>
      <c r="B2284" s="1">
        <v>43431</v>
      </c>
      <c r="C2284" t="s">
        <v>106</v>
      </c>
      <c r="D2284" t="s">
        <v>29</v>
      </c>
      <c r="E2284" t="s">
        <v>30</v>
      </c>
      <c r="F2284" t="s">
        <v>46</v>
      </c>
      <c r="G2284" t="s">
        <v>56</v>
      </c>
      <c r="H2284" t="s">
        <v>33</v>
      </c>
      <c r="I2284" t="s">
        <v>34</v>
      </c>
      <c r="J2284" t="s">
        <v>109</v>
      </c>
      <c r="K2284" s="2">
        <v>34328</v>
      </c>
      <c r="L2284" t="s">
        <v>36</v>
      </c>
      <c r="M2284" t="s">
        <v>37</v>
      </c>
      <c r="N2284" t="s">
        <v>84</v>
      </c>
      <c r="O2284" t="s">
        <v>77</v>
      </c>
      <c r="P2284" t="s">
        <v>40</v>
      </c>
      <c r="Q2284">
        <v>4</v>
      </c>
      <c r="R2284" s="2">
        <v>44998</v>
      </c>
      <c r="S2284">
        <v>5</v>
      </c>
      <c r="T2284">
        <v>2</v>
      </c>
      <c r="U2284">
        <v>4</v>
      </c>
      <c r="V2284" s="1">
        <v>44827</v>
      </c>
      <c r="W2284" t="s">
        <v>92</v>
      </c>
      <c r="X2284" t="s">
        <v>51</v>
      </c>
      <c r="Y2284" t="s">
        <v>73</v>
      </c>
      <c r="Z2284">
        <v>5</v>
      </c>
      <c r="AA2284">
        <v>105.41</v>
      </c>
      <c r="AB2284">
        <v>25</v>
      </c>
    </row>
    <row r="2285" spans="1:28" x14ac:dyDescent="0.2">
      <c r="A2285">
        <v>2809</v>
      </c>
      <c r="B2285" s="1">
        <v>44956</v>
      </c>
      <c r="C2285" t="s">
        <v>28</v>
      </c>
      <c r="D2285" t="s">
        <v>74</v>
      </c>
      <c r="E2285" t="s">
        <v>30</v>
      </c>
      <c r="F2285" t="s">
        <v>55</v>
      </c>
      <c r="G2285" t="s">
        <v>32</v>
      </c>
      <c r="H2285" t="s">
        <v>46</v>
      </c>
      <c r="I2285" t="s">
        <v>34</v>
      </c>
      <c r="J2285" t="s">
        <v>89</v>
      </c>
      <c r="K2285" s="2">
        <v>23431</v>
      </c>
      <c r="L2285" t="s">
        <v>36</v>
      </c>
      <c r="M2285" t="s">
        <v>48</v>
      </c>
      <c r="N2285" t="s">
        <v>49</v>
      </c>
      <c r="O2285" t="s">
        <v>61</v>
      </c>
      <c r="P2285" t="s">
        <v>40</v>
      </c>
      <c r="Q2285">
        <v>2</v>
      </c>
      <c r="R2285" s="2">
        <v>44970</v>
      </c>
      <c r="S2285">
        <v>1</v>
      </c>
      <c r="T2285">
        <v>1</v>
      </c>
      <c r="U2285">
        <v>5</v>
      </c>
      <c r="V2285" s="1">
        <v>44916</v>
      </c>
      <c r="W2285" t="s">
        <v>68</v>
      </c>
      <c r="X2285" t="s">
        <v>42</v>
      </c>
      <c r="Y2285" t="s">
        <v>43</v>
      </c>
      <c r="Z2285">
        <v>2</v>
      </c>
      <c r="AA2285">
        <v>856.23</v>
      </c>
      <c r="AB2285">
        <v>59</v>
      </c>
    </row>
    <row r="2286" spans="1:28" x14ac:dyDescent="0.2">
      <c r="A2286">
        <v>2810</v>
      </c>
      <c r="B2286" s="1">
        <v>44882</v>
      </c>
      <c r="C2286" t="s">
        <v>28</v>
      </c>
      <c r="D2286" t="s">
        <v>81</v>
      </c>
      <c r="E2286" t="s">
        <v>30</v>
      </c>
      <c r="F2286" t="s">
        <v>55</v>
      </c>
      <c r="G2286" t="s">
        <v>45</v>
      </c>
      <c r="H2286" t="s">
        <v>46</v>
      </c>
      <c r="I2286" t="s">
        <v>34</v>
      </c>
      <c r="J2286" t="s">
        <v>70</v>
      </c>
      <c r="K2286" s="2">
        <v>21650</v>
      </c>
      <c r="L2286" t="s">
        <v>36</v>
      </c>
      <c r="M2286" t="s">
        <v>48</v>
      </c>
      <c r="N2286" t="s">
        <v>60</v>
      </c>
      <c r="O2286" t="s">
        <v>67</v>
      </c>
      <c r="P2286" t="s">
        <v>40</v>
      </c>
      <c r="Q2286">
        <v>4</v>
      </c>
      <c r="R2286" s="2">
        <v>45120</v>
      </c>
      <c r="S2286">
        <v>2</v>
      </c>
      <c r="T2286">
        <v>5</v>
      </c>
      <c r="U2286">
        <v>5</v>
      </c>
      <c r="V2286" s="1">
        <v>45021</v>
      </c>
      <c r="W2286" t="s">
        <v>68</v>
      </c>
      <c r="X2286" t="s">
        <v>42</v>
      </c>
      <c r="Y2286" t="s">
        <v>52</v>
      </c>
      <c r="Z2286">
        <v>3</v>
      </c>
      <c r="AA2286">
        <v>964.33</v>
      </c>
      <c r="AB2286">
        <v>63</v>
      </c>
    </row>
    <row r="2287" spans="1:28" x14ac:dyDescent="0.2">
      <c r="A2287">
        <v>2811</v>
      </c>
      <c r="B2287" s="1">
        <v>43325</v>
      </c>
      <c r="C2287" t="s">
        <v>28</v>
      </c>
      <c r="D2287" t="s">
        <v>54</v>
      </c>
      <c r="E2287" t="s">
        <v>30</v>
      </c>
      <c r="F2287" t="s">
        <v>46</v>
      </c>
      <c r="G2287" t="s">
        <v>45</v>
      </c>
      <c r="H2287" t="s">
        <v>55</v>
      </c>
      <c r="I2287" t="s">
        <v>34</v>
      </c>
      <c r="J2287" t="s">
        <v>70</v>
      </c>
      <c r="K2287" s="2">
        <v>35068</v>
      </c>
      <c r="L2287" t="s">
        <v>36</v>
      </c>
      <c r="M2287" t="s">
        <v>48</v>
      </c>
      <c r="N2287" t="s">
        <v>49</v>
      </c>
      <c r="O2287" t="s">
        <v>39</v>
      </c>
      <c r="P2287" t="s">
        <v>40</v>
      </c>
      <c r="Q2287">
        <v>2</v>
      </c>
      <c r="R2287" s="2">
        <v>45029</v>
      </c>
      <c r="S2287">
        <v>3</v>
      </c>
      <c r="T2287">
        <v>4</v>
      </c>
      <c r="U2287">
        <v>3</v>
      </c>
      <c r="V2287" s="1">
        <v>44869</v>
      </c>
      <c r="W2287" t="s">
        <v>68</v>
      </c>
      <c r="X2287" t="s">
        <v>51</v>
      </c>
      <c r="Y2287" t="s">
        <v>63</v>
      </c>
      <c r="Z2287">
        <v>3</v>
      </c>
      <c r="AA2287">
        <v>589.88</v>
      </c>
      <c r="AB2287">
        <v>22</v>
      </c>
    </row>
    <row r="2288" spans="1:28" x14ac:dyDescent="0.2">
      <c r="A2288">
        <v>2812</v>
      </c>
      <c r="B2288" s="1">
        <v>44379</v>
      </c>
      <c r="C2288" t="s">
        <v>28</v>
      </c>
      <c r="D2288" t="s">
        <v>69</v>
      </c>
      <c r="E2288" t="s">
        <v>108</v>
      </c>
      <c r="F2288" t="s">
        <v>46</v>
      </c>
      <c r="G2288" t="s">
        <v>56</v>
      </c>
      <c r="H2288" t="s">
        <v>33</v>
      </c>
      <c r="I2288" t="s">
        <v>34</v>
      </c>
      <c r="J2288" t="s">
        <v>75</v>
      </c>
      <c r="K2288" s="2">
        <v>16938</v>
      </c>
      <c r="L2288" t="s">
        <v>36</v>
      </c>
      <c r="M2288" t="s">
        <v>48</v>
      </c>
      <c r="N2288" t="s">
        <v>38</v>
      </c>
      <c r="O2288" t="s">
        <v>77</v>
      </c>
      <c r="P2288" t="s">
        <v>40</v>
      </c>
      <c r="Q2288">
        <v>4</v>
      </c>
      <c r="R2288" s="2">
        <v>44787</v>
      </c>
      <c r="S2288">
        <v>3</v>
      </c>
      <c r="T2288">
        <v>2</v>
      </c>
      <c r="U2288">
        <v>5</v>
      </c>
      <c r="V2288" s="1">
        <v>44890</v>
      </c>
      <c r="W2288" t="s">
        <v>41</v>
      </c>
      <c r="X2288" t="s">
        <v>51</v>
      </c>
      <c r="Y2288" t="s">
        <v>52</v>
      </c>
      <c r="Z2288">
        <v>4</v>
      </c>
      <c r="AA2288">
        <v>663.36</v>
      </c>
      <c r="AB2288">
        <v>75</v>
      </c>
    </row>
    <row r="2289" spans="1:28" x14ac:dyDescent="0.2">
      <c r="A2289">
        <v>2813</v>
      </c>
      <c r="B2289" s="1">
        <v>44740</v>
      </c>
      <c r="C2289" t="s">
        <v>28</v>
      </c>
      <c r="D2289" t="s">
        <v>29</v>
      </c>
      <c r="E2289" t="s">
        <v>30</v>
      </c>
      <c r="F2289" t="s">
        <v>31</v>
      </c>
      <c r="G2289" t="s">
        <v>56</v>
      </c>
      <c r="H2289" t="s">
        <v>55</v>
      </c>
      <c r="I2289" t="s">
        <v>34</v>
      </c>
      <c r="J2289" t="s">
        <v>101</v>
      </c>
      <c r="K2289" s="2">
        <v>26903</v>
      </c>
      <c r="L2289" t="s">
        <v>36</v>
      </c>
      <c r="M2289" t="s">
        <v>48</v>
      </c>
      <c r="N2289" t="s">
        <v>60</v>
      </c>
      <c r="O2289" t="s">
        <v>61</v>
      </c>
      <c r="P2289" t="s">
        <v>40</v>
      </c>
      <c r="Q2289">
        <v>1</v>
      </c>
      <c r="R2289" s="2">
        <v>44801</v>
      </c>
      <c r="S2289">
        <v>4</v>
      </c>
      <c r="T2289">
        <v>4</v>
      </c>
      <c r="U2289">
        <v>2</v>
      </c>
      <c r="V2289" s="1">
        <v>45036</v>
      </c>
      <c r="W2289" t="s">
        <v>68</v>
      </c>
      <c r="X2289" t="s">
        <v>42</v>
      </c>
      <c r="Y2289" t="s">
        <v>63</v>
      </c>
      <c r="Z2289">
        <v>2</v>
      </c>
      <c r="AA2289">
        <v>249.88</v>
      </c>
      <c r="AB2289">
        <v>49</v>
      </c>
    </row>
    <row r="2290" spans="1:28" x14ac:dyDescent="0.2">
      <c r="A2290">
        <v>2814</v>
      </c>
      <c r="B2290" s="1">
        <v>43490</v>
      </c>
      <c r="C2290" t="s">
        <v>28</v>
      </c>
      <c r="D2290" t="s">
        <v>85</v>
      </c>
      <c r="E2290" t="s">
        <v>30</v>
      </c>
      <c r="F2290" t="s">
        <v>46</v>
      </c>
      <c r="G2290" t="s">
        <v>45</v>
      </c>
      <c r="H2290" t="s">
        <v>33</v>
      </c>
      <c r="I2290" t="s">
        <v>34</v>
      </c>
      <c r="J2290" t="s">
        <v>70</v>
      </c>
      <c r="K2290" s="2">
        <v>27665</v>
      </c>
      <c r="L2290" t="s">
        <v>36</v>
      </c>
      <c r="M2290" t="s">
        <v>48</v>
      </c>
      <c r="N2290" t="s">
        <v>49</v>
      </c>
      <c r="O2290" t="s">
        <v>61</v>
      </c>
      <c r="P2290" t="s">
        <v>40</v>
      </c>
      <c r="Q2290">
        <v>2</v>
      </c>
      <c r="R2290" s="2">
        <v>45120</v>
      </c>
      <c r="S2290">
        <v>4</v>
      </c>
      <c r="T2290">
        <v>1</v>
      </c>
      <c r="U2290">
        <v>1</v>
      </c>
      <c r="V2290" s="1">
        <v>45138</v>
      </c>
      <c r="W2290" t="s">
        <v>41</v>
      </c>
      <c r="X2290" t="s">
        <v>42</v>
      </c>
      <c r="Y2290" t="s">
        <v>73</v>
      </c>
      <c r="Z2290">
        <v>2</v>
      </c>
      <c r="AA2290">
        <v>809.89</v>
      </c>
      <c r="AB2290">
        <v>44</v>
      </c>
    </row>
    <row r="2291" spans="1:28" x14ac:dyDescent="0.2">
      <c r="A2291">
        <v>2815</v>
      </c>
      <c r="B2291" s="1">
        <v>45130</v>
      </c>
      <c r="C2291" t="s">
        <v>28</v>
      </c>
      <c r="D2291" t="s">
        <v>44</v>
      </c>
      <c r="E2291" t="s">
        <v>30</v>
      </c>
      <c r="F2291" t="s">
        <v>31</v>
      </c>
      <c r="G2291" t="s">
        <v>32</v>
      </c>
      <c r="H2291" t="s">
        <v>46</v>
      </c>
      <c r="I2291" t="s">
        <v>34</v>
      </c>
      <c r="J2291" t="s">
        <v>96</v>
      </c>
      <c r="K2291" s="2">
        <v>28700</v>
      </c>
      <c r="L2291" t="s">
        <v>36</v>
      </c>
      <c r="M2291" t="s">
        <v>37</v>
      </c>
      <c r="N2291" t="s">
        <v>84</v>
      </c>
      <c r="O2291" t="s">
        <v>61</v>
      </c>
      <c r="P2291" t="s">
        <v>40</v>
      </c>
      <c r="Q2291">
        <v>4</v>
      </c>
      <c r="R2291" s="2">
        <v>44826</v>
      </c>
      <c r="S2291">
        <v>2</v>
      </c>
      <c r="T2291">
        <v>5</v>
      </c>
      <c r="U2291">
        <v>3</v>
      </c>
      <c r="V2291" s="1">
        <v>45056</v>
      </c>
      <c r="W2291" t="s">
        <v>62</v>
      </c>
      <c r="X2291" t="s">
        <v>42</v>
      </c>
      <c r="Y2291" t="s">
        <v>63</v>
      </c>
      <c r="Z2291">
        <v>5</v>
      </c>
      <c r="AA2291">
        <v>224.58</v>
      </c>
      <c r="AB2291">
        <v>45</v>
      </c>
    </row>
    <row r="2292" spans="1:28" x14ac:dyDescent="0.2">
      <c r="A2292">
        <v>2816</v>
      </c>
      <c r="B2292" s="1">
        <v>44767</v>
      </c>
      <c r="C2292" t="s">
        <v>28</v>
      </c>
      <c r="D2292" t="s">
        <v>87</v>
      </c>
      <c r="E2292" t="s">
        <v>30</v>
      </c>
      <c r="F2292" t="s">
        <v>55</v>
      </c>
      <c r="G2292" t="s">
        <v>32</v>
      </c>
      <c r="H2292" t="s">
        <v>33</v>
      </c>
      <c r="I2292" t="s">
        <v>34</v>
      </c>
      <c r="J2292" t="s">
        <v>65</v>
      </c>
      <c r="K2292" s="2">
        <v>33942</v>
      </c>
      <c r="L2292" t="s">
        <v>36</v>
      </c>
      <c r="M2292" t="s">
        <v>37</v>
      </c>
      <c r="N2292" t="s">
        <v>72</v>
      </c>
      <c r="O2292" t="s">
        <v>67</v>
      </c>
      <c r="P2292" t="s">
        <v>40</v>
      </c>
      <c r="Q2292">
        <v>5</v>
      </c>
      <c r="R2292" s="2">
        <v>45120</v>
      </c>
      <c r="S2292">
        <v>4</v>
      </c>
      <c r="T2292">
        <v>2</v>
      </c>
      <c r="U2292">
        <v>4</v>
      </c>
      <c r="V2292" s="1">
        <v>45002</v>
      </c>
      <c r="W2292" t="s">
        <v>62</v>
      </c>
      <c r="X2292" t="s">
        <v>51</v>
      </c>
      <c r="Y2292" t="s">
        <v>52</v>
      </c>
      <c r="Z2292">
        <v>3</v>
      </c>
      <c r="AA2292">
        <v>251.78</v>
      </c>
      <c r="AB2292">
        <v>30</v>
      </c>
    </row>
    <row r="2293" spans="1:28" x14ac:dyDescent="0.2">
      <c r="A2293">
        <v>2817</v>
      </c>
      <c r="B2293" s="1">
        <v>44937</v>
      </c>
      <c r="C2293" t="s">
        <v>28</v>
      </c>
      <c r="D2293" t="s">
        <v>64</v>
      </c>
      <c r="E2293" t="s">
        <v>30</v>
      </c>
      <c r="F2293" t="s">
        <v>31</v>
      </c>
      <c r="G2293" t="s">
        <v>45</v>
      </c>
      <c r="H2293" t="s">
        <v>46</v>
      </c>
      <c r="I2293" t="s">
        <v>34</v>
      </c>
      <c r="J2293" t="s">
        <v>70</v>
      </c>
      <c r="K2293" s="2">
        <v>36050</v>
      </c>
      <c r="L2293" t="s">
        <v>36</v>
      </c>
      <c r="M2293" t="s">
        <v>48</v>
      </c>
      <c r="N2293" t="s">
        <v>38</v>
      </c>
      <c r="O2293" t="s">
        <v>39</v>
      </c>
      <c r="P2293" t="s">
        <v>40</v>
      </c>
      <c r="Q2293">
        <v>4</v>
      </c>
      <c r="R2293" s="2">
        <v>44785</v>
      </c>
      <c r="S2293">
        <v>4</v>
      </c>
      <c r="T2293">
        <v>1</v>
      </c>
      <c r="U2293">
        <v>5</v>
      </c>
      <c r="V2293" s="1">
        <v>44939</v>
      </c>
      <c r="W2293" t="s">
        <v>68</v>
      </c>
      <c r="X2293" t="s">
        <v>51</v>
      </c>
      <c r="Y2293" t="s">
        <v>43</v>
      </c>
      <c r="Z2293">
        <v>2</v>
      </c>
      <c r="AA2293">
        <v>314</v>
      </c>
      <c r="AB2293">
        <v>25</v>
      </c>
    </row>
    <row r="2294" spans="1:28" x14ac:dyDescent="0.2">
      <c r="A2294">
        <v>2818</v>
      </c>
      <c r="B2294" s="1">
        <v>45135</v>
      </c>
      <c r="C2294" t="s">
        <v>28</v>
      </c>
      <c r="D2294" t="s">
        <v>94</v>
      </c>
      <c r="E2294" t="s">
        <v>30</v>
      </c>
      <c r="F2294" t="s">
        <v>46</v>
      </c>
      <c r="G2294" t="s">
        <v>56</v>
      </c>
      <c r="H2294" t="s">
        <v>33</v>
      </c>
      <c r="I2294" t="s">
        <v>34</v>
      </c>
      <c r="J2294" t="s">
        <v>97</v>
      </c>
      <c r="K2294" s="2">
        <v>23395</v>
      </c>
      <c r="L2294" t="s">
        <v>36</v>
      </c>
      <c r="M2294" t="s">
        <v>48</v>
      </c>
      <c r="N2294" t="s">
        <v>49</v>
      </c>
      <c r="O2294" t="s">
        <v>61</v>
      </c>
      <c r="P2294" t="s">
        <v>78</v>
      </c>
      <c r="Q2294">
        <v>2</v>
      </c>
      <c r="R2294" s="2">
        <v>45098</v>
      </c>
      <c r="S2294">
        <v>4</v>
      </c>
      <c r="T2294">
        <v>3</v>
      </c>
      <c r="U2294">
        <v>3</v>
      </c>
      <c r="V2294" s="1">
        <v>44984</v>
      </c>
      <c r="W2294" t="s">
        <v>68</v>
      </c>
      <c r="X2294" t="s">
        <v>51</v>
      </c>
      <c r="Y2294" t="s">
        <v>63</v>
      </c>
      <c r="Z2294">
        <v>5</v>
      </c>
      <c r="AA2294">
        <v>453.51</v>
      </c>
      <c r="AB2294">
        <v>59</v>
      </c>
    </row>
    <row r="2295" spans="1:28" x14ac:dyDescent="0.2">
      <c r="A2295">
        <v>2819</v>
      </c>
      <c r="B2295" s="1">
        <v>45052</v>
      </c>
      <c r="C2295" t="s">
        <v>28</v>
      </c>
      <c r="D2295" t="s">
        <v>74</v>
      </c>
      <c r="E2295" t="s">
        <v>30</v>
      </c>
      <c r="F2295" t="s">
        <v>55</v>
      </c>
      <c r="G2295" t="s">
        <v>32</v>
      </c>
      <c r="H2295" t="s">
        <v>46</v>
      </c>
      <c r="I2295" t="s">
        <v>34</v>
      </c>
      <c r="J2295" t="s">
        <v>65</v>
      </c>
      <c r="K2295" s="2">
        <v>36559</v>
      </c>
      <c r="L2295" t="s">
        <v>36</v>
      </c>
      <c r="M2295" t="s">
        <v>48</v>
      </c>
      <c r="N2295" t="s">
        <v>38</v>
      </c>
      <c r="O2295" t="s">
        <v>39</v>
      </c>
      <c r="P2295" t="s">
        <v>40</v>
      </c>
      <c r="Q2295">
        <v>4</v>
      </c>
      <c r="R2295" s="2">
        <v>44926</v>
      </c>
      <c r="S2295">
        <v>2</v>
      </c>
      <c r="T2295">
        <v>3</v>
      </c>
      <c r="U2295">
        <v>4</v>
      </c>
      <c r="V2295" s="1">
        <v>45138</v>
      </c>
      <c r="W2295" t="s">
        <v>41</v>
      </c>
      <c r="X2295" t="s">
        <v>42</v>
      </c>
      <c r="Y2295" t="s">
        <v>43</v>
      </c>
      <c r="Z2295">
        <v>2</v>
      </c>
      <c r="AA2295">
        <v>595.4</v>
      </c>
      <c r="AB2295">
        <v>23</v>
      </c>
    </row>
    <row r="2296" spans="1:28" x14ac:dyDescent="0.2">
      <c r="A2296">
        <v>2820</v>
      </c>
      <c r="B2296" s="1">
        <v>44822</v>
      </c>
      <c r="C2296" t="s">
        <v>28</v>
      </c>
      <c r="D2296" t="s">
        <v>81</v>
      </c>
      <c r="E2296" t="s">
        <v>30</v>
      </c>
      <c r="F2296" t="s">
        <v>55</v>
      </c>
      <c r="G2296" t="s">
        <v>32</v>
      </c>
      <c r="H2296" t="s">
        <v>33</v>
      </c>
      <c r="I2296" t="s">
        <v>34</v>
      </c>
      <c r="J2296" t="s">
        <v>101</v>
      </c>
      <c r="K2296" s="2">
        <v>29045</v>
      </c>
      <c r="L2296" t="s">
        <v>36</v>
      </c>
      <c r="M2296" t="s">
        <v>48</v>
      </c>
      <c r="N2296" t="s">
        <v>49</v>
      </c>
      <c r="O2296" t="s">
        <v>77</v>
      </c>
      <c r="P2296" t="s">
        <v>40</v>
      </c>
      <c r="Q2296">
        <v>2</v>
      </c>
      <c r="R2296" s="2">
        <v>44850</v>
      </c>
      <c r="S2296">
        <v>2</v>
      </c>
      <c r="T2296">
        <v>1</v>
      </c>
      <c r="U2296">
        <v>5</v>
      </c>
      <c r="V2296" s="1">
        <v>44857</v>
      </c>
      <c r="W2296" t="s">
        <v>62</v>
      </c>
      <c r="X2296" t="s">
        <v>51</v>
      </c>
      <c r="Y2296" t="s">
        <v>63</v>
      </c>
      <c r="Z2296">
        <v>2</v>
      </c>
      <c r="AA2296">
        <v>606.29999999999995</v>
      </c>
      <c r="AB2296">
        <v>43</v>
      </c>
    </row>
    <row r="2297" spans="1:28" x14ac:dyDescent="0.2">
      <c r="A2297">
        <v>2821</v>
      </c>
      <c r="B2297" s="1">
        <v>43716</v>
      </c>
      <c r="C2297" t="s">
        <v>28</v>
      </c>
      <c r="D2297" t="s">
        <v>54</v>
      </c>
      <c r="E2297" t="s">
        <v>30</v>
      </c>
      <c r="F2297" t="s">
        <v>55</v>
      </c>
      <c r="G2297" t="s">
        <v>56</v>
      </c>
      <c r="H2297" t="s">
        <v>33</v>
      </c>
      <c r="I2297" t="s">
        <v>34</v>
      </c>
      <c r="J2297" t="s">
        <v>70</v>
      </c>
      <c r="K2297" s="2">
        <v>36060</v>
      </c>
      <c r="L2297" t="s">
        <v>36</v>
      </c>
      <c r="M2297" t="s">
        <v>48</v>
      </c>
      <c r="N2297" t="s">
        <v>49</v>
      </c>
      <c r="O2297" t="s">
        <v>61</v>
      </c>
      <c r="P2297" t="s">
        <v>40</v>
      </c>
      <c r="Q2297">
        <v>2</v>
      </c>
      <c r="R2297" s="2">
        <v>45028</v>
      </c>
      <c r="S2297">
        <v>2</v>
      </c>
      <c r="T2297">
        <v>5</v>
      </c>
      <c r="U2297">
        <v>5</v>
      </c>
      <c r="V2297" s="1">
        <v>44991</v>
      </c>
      <c r="W2297" t="s">
        <v>68</v>
      </c>
      <c r="X2297" t="s">
        <v>42</v>
      </c>
      <c r="Y2297" t="s">
        <v>52</v>
      </c>
      <c r="Z2297">
        <v>5</v>
      </c>
      <c r="AA2297">
        <v>841.22</v>
      </c>
      <c r="AB2297">
        <v>21</v>
      </c>
    </row>
    <row r="2298" spans="1:28" x14ac:dyDescent="0.2">
      <c r="A2298">
        <v>2822</v>
      </c>
      <c r="B2298" s="1">
        <v>43707</v>
      </c>
      <c r="C2298" t="s">
        <v>28</v>
      </c>
      <c r="D2298" t="s">
        <v>69</v>
      </c>
      <c r="E2298" t="s">
        <v>30</v>
      </c>
      <c r="F2298" t="s">
        <v>46</v>
      </c>
      <c r="G2298" t="s">
        <v>56</v>
      </c>
      <c r="H2298" t="s">
        <v>46</v>
      </c>
      <c r="I2298" t="s">
        <v>34</v>
      </c>
      <c r="J2298" t="s">
        <v>47</v>
      </c>
      <c r="K2298" s="2">
        <v>21624</v>
      </c>
      <c r="L2298" t="s">
        <v>36</v>
      </c>
      <c r="M2298" t="s">
        <v>37</v>
      </c>
      <c r="N2298" t="s">
        <v>38</v>
      </c>
      <c r="O2298" t="s">
        <v>77</v>
      </c>
      <c r="P2298" t="s">
        <v>40</v>
      </c>
      <c r="Q2298">
        <v>4</v>
      </c>
      <c r="R2298" s="2">
        <v>45070</v>
      </c>
      <c r="S2298">
        <v>2</v>
      </c>
      <c r="T2298">
        <v>3</v>
      </c>
      <c r="U2298">
        <v>3</v>
      </c>
      <c r="V2298" s="1">
        <v>44822</v>
      </c>
      <c r="W2298" t="s">
        <v>92</v>
      </c>
      <c r="X2298" t="s">
        <v>42</v>
      </c>
      <c r="Y2298" t="s">
        <v>43</v>
      </c>
      <c r="Z2298">
        <v>4</v>
      </c>
      <c r="AA2298">
        <v>912.5</v>
      </c>
      <c r="AB2298">
        <v>60</v>
      </c>
    </row>
    <row r="2299" spans="1:28" x14ac:dyDescent="0.2">
      <c r="A2299">
        <v>2823</v>
      </c>
      <c r="B2299" s="1">
        <v>45068</v>
      </c>
      <c r="C2299" t="s">
        <v>28</v>
      </c>
      <c r="D2299" t="s">
        <v>29</v>
      </c>
      <c r="E2299" t="s">
        <v>30</v>
      </c>
      <c r="F2299" t="s">
        <v>31</v>
      </c>
      <c r="G2299" t="s">
        <v>56</v>
      </c>
      <c r="H2299" t="s">
        <v>46</v>
      </c>
      <c r="I2299" t="s">
        <v>34</v>
      </c>
      <c r="J2299" t="s">
        <v>65</v>
      </c>
      <c r="K2299" s="2">
        <v>31388</v>
      </c>
      <c r="L2299" t="s">
        <v>36</v>
      </c>
      <c r="M2299" t="s">
        <v>37</v>
      </c>
      <c r="N2299" t="s">
        <v>38</v>
      </c>
      <c r="O2299" t="s">
        <v>77</v>
      </c>
      <c r="P2299" t="s">
        <v>40</v>
      </c>
      <c r="Q2299">
        <v>2</v>
      </c>
      <c r="R2299" s="2">
        <v>44949</v>
      </c>
      <c r="S2299">
        <v>5</v>
      </c>
      <c r="T2299">
        <v>2</v>
      </c>
      <c r="U2299">
        <v>1</v>
      </c>
      <c r="V2299" s="1">
        <v>44808</v>
      </c>
      <c r="W2299" t="s">
        <v>92</v>
      </c>
      <c r="X2299" t="s">
        <v>51</v>
      </c>
      <c r="Y2299" t="s">
        <v>52</v>
      </c>
      <c r="Z2299">
        <v>2</v>
      </c>
      <c r="AA2299">
        <v>196.27</v>
      </c>
      <c r="AB2299">
        <v>38</v>
      </c>
    </row>
    <row r="2300" spans="1:28" x14ac:dyDescent="0.2">
      <c r="A2300">
        <v>2824</v>
      </c>
      <c r="B2300" s="1">
        <v>44257</v>
      </c>
      <c r="C2300" t="s">
        <v>106</v>
      </c>
      <c r="D2300" t="s">
        <v>44</v>
      </c>
      <c r="E2300" t="s">
        <v>30</v>
      </c>
      <c r="F2300" t="s">
        <v>46</v>
      </c>
      <c r="G2300" t="s">
        <v>45</v>
      </c>
      <c r="H2300" t="s">
        <v>55</v>
      </c>
      <c r="I2300" t="s">
        <v>34</v>
      </c>
      <c r="J2300" t="s">
        <v>101</v>
      </c>
      <c r="K2300" s="2">
        <v>23005</v>
      </c>
      <c r="L2300" t="s">
        <v>36</v>
      </c>
      <c r="M2300" t="s">
        <v>48</v>
      </c>
      <c r="N2300" t="s">
        <v>49</v>
      </c>
      <c r="O2300" t="s">
        <v>39</v>
      </c>
      <c r="P2300" t="s">
        <v>40</v>
      </c>
      <c r="Q2300">
        <v>5</v>
      </c>
      <c r="R2300" s="2">
        <v>44813</v>
      </c>
      <c r="S2300">
        <v>1</v>
      </c>
      <c r="T2300">
        <v>4</v>
      </c>
      <c r="U2300">
        <v>1</v>
      </c>
      <c r="V2300" s="1">
        <v>44811</v>
      </c>
      <c r="W2300" t="s">
        <v>62</v>
      </c>
      <c r="X2300" t="s">
        <v>42</v>
      </c>
      <c r="Y2300" t="s">
        <v>52</v>
      </c>
      <c r="Z2300">
        <v>1</v>
      </c>
      <c r="AA2300">
        <v>224.09</v>
      </c>
      <c r="AB2300">
        <v>59</v>
      </c>
    </row>
    <row r="2301" spans="1:28" x14ac:dyDescent="0.2">
      <c r="A2301">
        <v>2825</v>
      </c>
      <c r="B2301" s="1">
        <v>44970</v>
      </c>
      <c r="C2301" t="s">
        <v>106</v>
      </c>
      <c r="D2301" t="s">
        <v>87</v>
      </c>
      <c r="E2301" t="s">
        <v>30</v>
      </c>
      <c r="F2301" t="s">
        <v>55</v>
      </c>
      <c r="G2301" t="s">
        <v>32</v>
      </c>
      <c r="H2301" t="s">
        <v>33</v>
      </c>
      <c r="I2301" t="s">
        <v>34</v>
      </c>
      <c r="J2301" t="s">
        <v>99</v>
      </c>
      <c r="K2301" s="2">
        <v>30314</v>
      </c>
      <c r="L2301" t="s">
        <v>36</v>
      </c>
      <c r="M2301" t="s">
        <v>48</v>
      </c>
      <c r="N2301" t="s">
        <v>49</v>
      </c>
      <c r="O2301" t="s">
        <v>39</v>
      </c>
      <c r="P2301" t="s">
        <v>40</v>
      </c>
      <c r="Q2301">
        <v>4</v>
      </c>
      <c r="R2301" s="2">
        <v>44979</v>
      </c>
      <c r="S2301">
        <v>5</v>
      </c>
      <c r="T2301">
        <v>4</v>
      </c>
      <c r="U2301">
        <v>4</v>
      </c>
      <c r="V2301" s="1">
        <v>44867</v>
      </c>
      <c r="W2301" t="s">
        <v>68</v>
      </c>
      <c r="X2301" t="s">
        <v>51</v>
      </c>
      <c r="Y2301" t="s">
        <v>63</v>
      </c>
      <c r="Z2301">
        <v>2</v>
      </c>
      <c r="AA2301">
        <v>363.8</v>
      </c>
      <c r="AB2301">
        <v>41</v>
      </c>
    </row>
    <row r="2302" spans="1:28" x14ac:dyDescent="0.2">
      <c r="A2302">
        <v>2827</v>
      </c>
      <c r="B2302" s="1">
        <v>43880</v>
      </c>
      <c r="C2302" t="s">
        <v>106</v>
      </c>
      <c r="D2302" t="s">
        <v>94</v>
      </c>
      <c r="E2302" t="s">
        <v>108</v>
      </c>
      <c r="F2302" t="s">
        <v>55</v>
      </c>
      <c r="G2302" t="s">
        <v>45</v>
      </c>
      <c r="H2302" t="s">
        <v>55</v>
      </c>
      <c r="I2302" t="s">
        <v>34</v>
      </c>
      <c r="J2302" t="s">
        <v>70</v>
      </c>
      <c r="K2302" s="2">
        <v>29442</v>
      </c>
      <c r="L2302" t="s">
        <v>36</v>
      </c>
      <c r="M2302" t="s">
        <v>37</v>
      </c>
      <c r="N2302" t="s">
        <v>60</v>
      </c>
      <c r="O2302" t="s">
        <v>67</v>
      </c>
      <c r="P2302" t="s">
        <v>40</v>
      </c>
      <c r="Q2302">
        <v>4</v>
      </c>
      <c r="R2302" s="2">
        <v>44803</v>
      </c>
      <c r="S2302">
        <v>4</v>
      </c>
      <c r="T2302">
        <v>4</v>
      </c>
      <c r="U2302">
        <v>5</v>
      </c>
      <c r="V2302" s="1">
        <v>44811</v>
      </c>
      <c r="W2302" t="s">
        <v>41</v>
      </c>
      <c r="X2302" t="s">
        <v>42</v>
      </c>
      <c r="Y2302" t="s">
        <v>52</v>
      </c>
      <c r="Z2302">
        <v>1</v>
      </c>
      <c r="AA2302">
        <v>629.85</v>
      </c>
      <c r="AB2302">
        <v>40</v>
      </c>
    </row>
    <row r="2303" spans="1:28" x14ac:dyDescent="0.2">
      <c r="A2303">
        <v>2828</v>
      </c>
      <c r="B2303" s="1">
        <v>44484</v>
      </c>
      <c r="C2303" t="s">
        <v>106</v>
      </c>
      <c r="D2303" t="s">
        <v>74</v>
      </c>
      <c r="E2303" t="s">
        <v>108</v>
      </c>
      <c r="F2303" t="s">
        <v>55</v>
      </c>
      <c r="G2303" t="s">
        <v>45</v>
      </c>
      <c r="H2303" t="s">
        <v>33</v>
      </c>
      <c r="I2303" t="s">
        <v>34</v>
      </c>
      <c r="J2303" t="s">
        <v>70</v>
      </c>
      <c r="K2303" s="2">
        <v>16203</v>
      </c>
      <c r="L2303" t="s">
        <v>36</v>
      </c>
      <c r="M2303" t="s">
        <v>37</v>
      </c>
      <c r="N2303" t="s">
        <v>72</v>
      </c>
      <c r="O2303" t="s">
        <v>61</v>
      </c>
      <c r="P2303" t="s">
        <v>40</v>
      </c>
      <c r="Q2303">
        <v>2</v>
      </c>
      <c r="R2303" s="2">
        <v>44983</v>
      </c>
      <c r="S2303">
        <v>5</v>
      </c>
      <c r="T2303">
        <v>5</v>
      </c>
      <c r="U2303">
        <v>3</v>
      </c>
      <c r="V2303" s="1">
        <v>44956</v>
      </c>
      <c r="W2303" t="s">
        <v>92</v>
      </c>
      <c r="X2303" t="s">
        <v>42</v>
      </c>
      <c r="Y2303" t="s">
        <v>63</v>
      </c>
      <c r="Z2303">
        <v>3</v>
      </c>
      <c r="AA2303">
        <v>915.92</v>
      </c>
      <c r="AB2303">
        <v>77</v>
      </c>
    </row>
    <row r="2304" spans="1:28" x14ac:dyDescent="0.2">
      <c r="A2304">
        <v>2829</v>
      </c>
      <c r="B2304" s="1">
        <v>44881</v>
      </c>
      <c r="C2304" t="s">
        <v>28</v>
      </c>
      <c r="D2304" t="s">
        <v>74</v>
      </c>
      <c r="E2304" t="s">
        <v>30</v>
      </c>
      <c r="F2304" t="s">
        <v>46</v>
      </c>
      <c r="G2304" t="s">
        <v>56</v>
      </c>
      <c r="H2304" t="s">
        <v>46</v>
      </c>
      <c r="I2304" t="s">
        <v>34</v>
      </c>
      <c r="J2304" t="s">
        <v>79</v>
      </c>
      <c r="K2304" s="2">
        <v>17271</v>
      </c>
      <c r="L2304" t="s">
        <v>36</v>
      </c>
      <c r="M2304" t="s">
        <v>48</v>
      </c>
      <c r="N2304" t="s">
        <v>60</v>
      </c>
      <c r="O2304" t="s">
        <v>61</v>
      </c>
      <c r="P2304" t="s">
        <v>40</v>
      </c>
      <c r="Q2304">
        <v>2</v>
      </c>
      <c r="R2304" s="2">
        <v>44964</v>
      </c>
      <c r="S2304">
        <v>2</v>
      </c>
      <c r="T2304">
        <v>5</v>
      </c>
      <c r="U2304">
        <v>3</v>
      </c>
      <c r="V2304" s="1">
        <v>44860</v>
      </c>
      <c r="W2304" t="s">
        <v>50</v>
      </c>
      <c r="X2304" t="s">
        <v>51</v>
      </c>
      <c r="Y2304" t="s">
        <v>73</v>
      </c>
      <c r="Z2304">
        <v>3</v>
      </c>
      <c r="AA2304">
        <v>487.27</v>
      </c>
      <c r="AB2304">
        <v>75</v>
      </c>
    </row>
    <row r="2305" spans="1:28" x14ac:dyDescent="0.2">
      <c r="A2305">
        <v>2830</v>
      </c>
      <c r="B2305" s="1">
        <v>44742</v>
      </c>
      <c r="C2305" t="s">
        <v>28</v>
      </c>
      <c r="D2305" t="s">
        <v>81</v>
      </c>
      <c r="E2305" t="s">
        <v>30</v>
      </c>
      <c r="F2305" t="s">
        <v>55</v>
      </c>
      <c r="G2305" t="s">
        <v>56</v>
      </c>
      <c r="H2305" t="s">
        <v>46</v>
      </c>
      <c r="I2305" t="s">
        <v>34</v>
      </c>
      <c r="J2305" t="s">
        <v>75</v>
      </c>
      <c r="K2305" s="2">
        <v>34480</v>
      </c>
      <c r="L2305" t="s">
        <v>36</v>
      </c>
      <c r="M2305" t="s">
        <v>48</v>
      </c>
      <c r="N2305" t="s">
        <v>38</v>
      </c>
      <c r="O2305" t="s">
        <v>67</v>
      </c>
      <c r="P2305" t="s">
        <v>40</v>
      </c>
      <c r="Q2305">
        <v>1</v>
      </c>
      <c r="R2305" s="2">
        <v>44904</v>
      </c>
      <c r="S2305">
        <v>1</v>
      </c>
      <c r="T2305">
        <v>2</v>
      </c>
      <c r="U2305">
        <v>2</v>
      </c>
      <c r="V2305" s="1">
        <v>44901</v>
      </c>
      <c r="W2305" t="s">
        <v>62</v>
      </c>
      <c r="X2305" t="s">
        <v>51</v>
      </c>
      <c r="Y2305" t="s">
        <v>63</v>
      </c>
      <c r="Z2305">
        <v>1</v>
      </c>
      <c r="AA2305">
        <v>266.42</v>
      </c>
      <c r="AB2305">
        <v>28</v>
      </c>
    </row>
    <row r="2306" spans="1:28" x14ac:dyDescent="0.2">
      <c r="A2306">
        <v>2831</v>
      </c>
      <c r="B2306" s="1">
        <v>44405</v>
      </c>
      <c r="C2306" t="s">
        <v>28</v>
      </c>
      <c r="D2306" t="s">
        <v>54</v>
      </c>
      <c r="E2306" t="s">
        <v>30</v>
      </c>
      <c r="F2306" t="s">
        <v>55</v>
      </c>
      <c r="G2306" t="s">
        <v>32</v>
      </c>
      <c r="H2306" t="s">
        <v>55</v>
      </c>
      <c r="I2306" t="s">
        <v>34</v>
      </c>
      <c r="J2306" t="s">
        <v>47</v>
      </c>
      <c r="K2306" s="2">
        <v>19113</v>
      </c>
      <c r="L2306" t="s">
        <v>36</v>
      </c>
      <c r="M2306" t="s">
        <v>48</v>
      </c>
      <c r="N2306" t="s">
        <v>38</v>
      </c>
      <c r="O2306" t="s">
        <v>39</v>
      </c>
      <c r="P2306" t="s">
        <v>40</v>
      </c>
      <c r="Q2306">
        <v>2</v>
      </c>
      <c r="R2306" s="2">
        <v>45120</v>
      </c>
      <c r="S2306">
        <v>5</v>
      </c>
      <c r="T2306">
        <v>1</v>
      </c>
      <c r="U2306">
        <v>4</v>
      </c>
      <c r="V2306" s="1">
        <v>44966</v>
      </c>
      <c r="W2306" t="s">
        <v>92</v>
      </c>
      <c r="X2306" t="s">
        <v>51</v>
      </c>
      <c r="Y2306" t="s">
        <v>52</v>
      </c>
      <c r="Z2306">
        <v>1</v>
      </c>
      <c r="AA2306">
        <v>277.22000000000003</v>
      </c>
      <c r="AB2306">
        <v>69</v>
      </c>
    </row>
    <row r="2307" spans="1:28" x14ac:dyDescent="0.2">
      <c r="A2307">
        <v>2832</v>
      </c>
      <c r="B2307" s="1">
        <v>44521</v>
      </c>
      <c r="C2307" t="s">
        <v>28</v>
      </c>
      <c r="D2307" t="s">
        <v>69</v>
      </c>
      <c r="E2307" t="s">
        <v>30</v>
      </c>
      <c r="F2307" t="s">
        <v>31</v>
      </c>
      <c r="G2307" t="s">
        <v>32</v>
      </c>
      <c r="H2307" t="s">
        <v>55</v>
      </c>
      <c r="I2307" t="s">
        <v>34</v>
      </c>
      <c r="J2307" t="s">
        <v>70</v>
      </c>
      <c r="K2307" s="2">
        <v>27397</v>
      </c>
      <c r="L2307" t="s">
        <v>36</v>
      </c>
      <c r="M2307" t="s">
        <v>48</v>
      </c>
      <c r="N2307" t="s">
        <v>38</v>
      </c>
      <c r="O2307" t="s">
        <v>67</v>
      </c>
      <c r="P2307" t="s">
        <v>40</v>
      </c>
      <c r="Q2307">
        <v>5</v>
      </c>
      <c r="R2307" s="2">
        <v>44879</v>
      </c>
      <c r="S2307">
        <v>4</v>
      </c>
      <c r="T2307">
        <v>5</v>
      </c>
      <c r="U2307">
        <v>5</v>
      </c>
      <c r="V2307" s="1">
        <v>44918</v>
      </c>
      <c r="W2307" t="s">
        <v>50</v>
      </c>
      <c r="X2307" t="s">
        <v>42</v>
      </c>
      <c r="Y2307" t="s">
        <v>52</v>
      </c>
      <c r="Z2307">
        <v>1</v>
      </c>
      <c r="AA2307">
        <v>545.87</v>
      </c>
      <c r="AB2307">
        <v>46</v>
      </c>
    </row>
    <row r="2308" spans="1:28" x14ac:dyDescent="0.2">
      <c r="A2308">
        <v>2833</v>
      </c>
      <c r="B2308" s="1">
        <v>44116</v>
      </c>
      <c r="C2308" t="s">
        <v>28</v>
      </c>
      <c r="D2308" t="s">
        <v>29</v>
      </c>
      <c r="E2308" t="s">
        <v>30</v>
      </c>
      <c r="F2308" t="s">
        <v>31</v>
      </c>
      <c r="G2308" t="s">
        <v>45</v>
      </c>
      <c r="H2308" t="s">
        <v>55</v>
      </c>
      <c r="I2308" t="s">
        <v>34</v>
      </c>
      <c r="J2308" t="s">
        <v>65</v>
      </c>
      <c r="K2308" s="2">
        <v>32592</v>
      </c>
      <c r="L2308" t="s">
        <v>36</v>
      </c>
      <c r="M2308" t="s">
        <v>48</v>
      </c>
      <c r="N2308" t="s">
        <v>84</v>
      </c>
      <c r="O2308" t="s">
        <v>67</v>
      </c>
      <c r="P2308" t="s">
        <v>40</v>
      </c>
      <c r="Q2308">
        <v>2</v>
      </c>
      <c r="R2308" s="2">
        <v>44806</v>
      </c>
      <c r="S2308">
        <v>2</v>
      </c>
      <c r="T2308">
        <v>5</v>
      </c>
      <c r="U2308">
        <v>2</v>
      </c>
      <c r="V2308" s="1">
        <v>44797</v>
      </c>
      <c r="W2308" t="s">
        <v>41</v>
      </c>
      <c r="X2308" t="s">
        <v>51</v>
      </c>
      <c r="Y2308" t="s">
        <v>52</v>
      </c>
      <c r="Z2308">
        <v>3</v>
      </c>
      <c r="AA2308">
        <v>182.84</v>
      </c>
      <c r="AB2308">
        <v>31</v>
      </c>
    </row>
    <row r="2309" spans="1:28" x14ac:dyDescent="0.2">
      <c r="A2309">
        <v>2834</v>
      </c>
      <c r="B2309" s="1">
        <v>43375</v>
      </c>
      <c r="C2309" t="s">
        <v>28</v>
      </c>
      <c r="D2309" t="s">
        <v>85</v>
      </c>
      <c r="E2309" t="s">
        <v>30</v>
      </c>
      <c r="F2309" t="s">
        <v>55</v>
      </c>
      <c r="G2309" t="s">
        <v>45</v>
      </c>
      <c r="H2309" t="s">
        <v>55</v>
      </c>
      <c r="I2309" t="s">
        <v>34</v>
      </c>
      <c r="J2309" t="s">
        <v>65</v>
      </c>
      <c r="K2309" s="2">
        <v>16026</v>
      </c>
      <c r="L2309" t="s">
        <v>36</v>
      </c>
      <c r="M2309" t="s">
        <v>37</v>
      </c>
      <c r="N2309" t="s">
        <v>84</v>
      </c>
      <c r="O2309" t="s">
        <v>77</v>
      </c>
      <c r="P2309" t="s">
        <v>40</v>
      </c>
      <c r="Q2309">
        <v>5</v>
      </c>
      <c r="R2309" s="2">
        <v>45046</v>
      </c>
      <c r="S2309">
        <v>5</v>
      </c>
      <c r="T2309">
        <v>3</v>
      </c>
      <c r="U2309">
        <v>3</v>
      </c>
      <c r="V2309" s="1">
        <v>45087</v>
      </c>
      <c r="W2309" t="s">
        <v>68</v>
      </c>
      <c r="X2309" t="s">
        <v>51</v>
      </c>
      <c r="Y2309" t="s">
        <v>63</v>
      </c>
      <c r="Z2309">
        <v>4</v>
      </c>
      <c r="AA2309">
        <v>149.66999999999999</v>
      </c>
      <c r="AB2309">
        <v>75</v>
      </c>
    </row>
    <row r="2310" spans="1:28" x14ac:dyDescent="0.2">
      <c r="A2310">
        <v>2835</v>
      </c>
      <c r="B2310" s="1">
        <v>44394</v>
      </c>
      <c r="C2310" t="s">
        <v>28</v>
      </c>
      <c r="D2310" t="s">
        <v>44</v>
      </c>
      <c r="E2310" t="s">
        <v>30</v>
      </c>
      <c r="F2310" t="s">
        <v>31</v>
      </c>
      <c r="G2310" t="s">
        <v>32</v>
      </c>
      <c r="H2310" t="s">
        <v>46</v>
      </c>
      <c r="I2310" t="s">
        <v>34</v>
      </c>
      <c r="J2310" t="s">
        <v>79</v>
      </c>
      <c r="K2310" s="2">
        <v>34800</v>
      </c>
      <c r="L2310" t="s">
        <v>36</v>
      </c>
      <c r="M2310" t="s">
        <v>37</v>
      </c>
      <c r="N2310" t="s">
        <v>38</v>
      </c>
      <c r="O2310" t="s">
        <v>77</v>
      </c>
      <c r="P2310" t="s">
        <v>40</v>
      </c>
      <c r="Q2310">
        <v>5</v>
      </c>
      <c r="R2310" s="2">
        <v>45015</v>
      </c>
      <c r="S2310">
        <v>4</v>
      </c>
      <c r="T2310">
        <v>5</v>
      </c>
      <c r="U2310">
        <v>3</v>
      </c>
      <c r="V2310" s="1">
        <v>44887</v>
      </c>
      <c r="W2310" t="s">
        <v>50</v>
      </c>
      <c r="X2310" t="s">
        <v>42</v>
      </c>
      <c r="Y2310" t="s">
        <v>63</v>
      </c>
      <c r="Z2310">
        <v>4</v>
      </c>
      <c r="AA2310">
        <v>939.72</v>
      </c>
      <c r="AB2310">
        <v>26</v>
      </c>
    </row>
    <row r="2311" spans="1:28" x14ac:dyDescent="0.2">
      <c r="A2311">
        <v>2836</v>
      </c>
      <c r="B2311" s="1">
        <v>44664</v>
      </c>
      <c r="C2311" t="s">
        <v>28</v>
      </c>
      <c r="D2311" t="s">
        <v>87</v>
      </c>
      <c r="E2311" t="s">
        <v>30</v>
      </c>
      <c r="F2311" t="s">
        <v>31</v>
      </c>
      <c r="G2311" t="s">
        <v>32</v>
      </c>
      <c r="H2311" t="s">
        <v>46</v>
      </c>
      <c r="I2311" t="s">
        <v>34</v>
      </c>
      <c r="J2311" t="s">
        <v>102</v>
      </c>
      <c r="K2311" s="2">
        <v>32423</v>
      </c>
      <c r="L2311" t="s">
        <v>36</v>
      </c>
      <c r="M2311" t="s">
        <v>37</v>
      </c>
      <c r="N2311" t="s">
        <v>72</v>
      </c>
      <c r="O2311" t="s">
        <v>77</v>
      </c>
      <c r="P2311" t="s">
        <v>40</v>
      </c>
      <c r="Q2311">
        <v>2</v>
      </c>
      <c r="R2311" s="2">
        <v>44786</v>
      </c>
      <c r="S2311">
        <v>5</v>
      </c>
      <c r="T2311">
        <v>4</v>
      </c>
      <c r="U2311">
        <v>1</v>
      </c>
      <c r="V2311" s="1">
        <v>45064</v>
      </c>
      <c r="W2311" t="s">
        <v>50</v>
      </c>
      <c r="X2311" t="s">
        <v>51</v>
      </c>
      <c r="Y2311" t="s">
        <v>63</v>
      </c>
      <c r="Z2311">
        <v>5</v>
      </c>
      <c r="AA2311">
        <v>410.04</v>
      </c>
      <c r="AB2311">
        <v>34</v>
      </c>
    </row>
    <row r="2312" spans="1:28" x14ac:dyDescent="0.2">
      <c r="A2312">
        <v>2837</v>
      </c>
      <c r="B2312" s="1">
        <v>44275</v>
      </c>
      <c r="C2312" t="s">
        <v>28</v>
      </c>
      <c r="D2312" t="s">
        <v>64</v>
      </c>
      <c r="E2312" t="s">
        <v>30</v>
      </c>
      <c r="F2312" t="s">
        <v>46</v>
      </c>
      <c r="G2312" t="s">
        <v>32</v>
      </c>
      <c r="H2312" t="s">
        <v>33</v>
      </c>
      <c r="I2312" t="s">
        <v>34</v>
      </c>
      <c r="J2312" t="s">
        <v>89</v>
      </c>
      <c r="K2312" s="2">
        <v>16263</v>
      </c>
      <c r="L2312" t="s">
        <v>36</v>
      </c>
      <c r="M2312" t="s">
        <v>48</v>
      </c>
      <c r="N2312" t="s">
        <v>84</v>
      </c>
      <c r="O2312" t="s">
        <v>61</v>
      </c>
      <c r="P2312" t="s">
        <v>40</v>
      </c>
      <c r="Q2312">
        <v>4</v>
      </c>
      <c r="R2312" s="2">
        <v>44781</v>
      </c>
      <c r="S2312">
        <v>4</v>
      </c>
      <c r="T2312">
        <v>1</v>
      </c>
      <c r="U2312">
        <v>4</v>
      </c>
      <c r="V2312" s="1">
        <v>45085</v>
      </c>
      <c r="W2312" t="s">
        <v>92</v>
      </c>
      <c r="X2312" t="s">
        <v>51</v>
      </c>
      <c r="Y2312" t="s">
        <v>52</v>
      </c>
      <c r="Z2312">
        <v>1</v>
      </c>
      <c r="AA2312">
        <v>945.59</v>
      </c>
      <c r="AB2312">
        <v>77</v>
      </c>
    </row>
    <row r="2313" spans="1:28" x14ac:dyDescent="0.2">
      <c r="A2313">
        <v>2838</v>
      </c>
      <c r="B2313" s="1">
        <v>44448</v>
      </c>
      <c r="C2313" t="s">
        <v>28</v>
      </c>
      <c r="D2313" t="s">
        <v>94</v>
      </c>
      <c r="E2313" t="s">
        <v>30</v>
      </c>
      <c r="F2313" t="s">
        <v>46</v>
      </c>
      <c r="G2313" t="s">
        <v>45</v>
      </c>
      <c r="H2313" t="s">
        <v>33</v>
      </c>
      <c r="I2313" t="s">
        <v>34</v>
      </c>
      <c r="J2313" t="s">
        <v>58</v>
      </c>
      <c r="K2313" s="2">
        <v>16570</v>
      </c>
      <c r="L2313" t="s">
        <v>36</v>
      </c>
      <c r="M2313" t="s">
        <v>48</v>
      </c>
      <c r="N2313" t="s">
        <v>72</v>
      </c>
      <c r="O2313" t="s">
        <v>61</v>
      </c>
      <c r="P2313" t="s">
        <v>40</v>
      </c>
      <c r="Q2313">
        <v>5</v>
      </c>
      <c r="R2313" s="2">
        <v>45110</v>
      </c>
      <c r="S2313">
        <v>4</v>
      </c>
      <c r="T2313">
        <v>4</v>
      </c>
      <c r="U2313">
        <v>2</v>
      </c>
      <c r="V2313" s="1">
        <v>45064</v>
      </c>
      <c r="W2313" t="s">
        <v>92</v>
      </c>
      <c r="X2313" t="s">
        <v>42</v>
      </c>
      <c r="Y2313" t="s">
        <v>63</v>
      </c>
      <c r="Z2313">
        <v>4</v>
      </c>
      <c r="AA2313">
        <v>539.05999999999995</v>
      </c>
      <c r="AB2313">
        <v>76</v>
      </c>
    </row>
    <row r="2314" spans="1:28" x14ac:dyDescent="0.2">
      <c r="A2314">
        <v>2839</v>
      </c>
      <c r="B2314" s="1">
        <v>43805</v>
      </c>
      <c r="C2314" t="s">
        <v>28</v>
      </c>
      <c r="D2314" t="s">
        <v>74</v>
      </c>
      <c r="E2314" t="s">
        <v>30</v>
      </c>
      <c r="F2314" t="s">
        <v>46</v>
      </c>
      <c r="G2314" t="s">
        <v>32</v>
      </c>
      <c r="H2314" t="s">
        <v>46</v>
      </c>
      <c r="I2314" t="s">
        <v>34</v>
      </c>
      <c r="J2314" t="s">
        <v>65</v>
      </c>
      <c r="K2314" s="2">
        <v>25452</v>
      </c>
      <c r="L2314" t="s">
        <v>36</v>
      </c>
      <c r="M2314" t="s">
        <v>48</v>
      </c>
      <c r="N2314" t="s">
        <v>72</v>
      </c>
      <c r="O2314" t="s">
        <v>67</v>
      </c>
      <c r="P2314" t="s">
        <v>40</v>
      </c>
      <c r="Q2314">
        <v>1</v>
      </c>
      <c r="R2314" s="2">
        <v>44857</v>
      </c>
      <c r="S2314">
        <v>1</v>
      </c>
      <c r="T2314">
        <v>4</v>
      </c>
      <c r="U2314">
        <v>5</v>
      </c>
      <c r="V2314" s="1">
        <v>44780</v>
      </c>
      <c r="W2314" t="s">
        <v>50</v>
      </c>
      <c r="X2314" t="s">
        <v>51</v>
      </c>
      <c r="Y2314" t="s">
        <v>52</v>
      </c>
      <c r="Z2314">
        <v>2</v>
      </c>
      <c r="AA2314">
        <v>837.22</v>
      </c>
      <c r="AB2314">
        <v>50</v>
      </c>
    </row>
    <row r="2315" spans="1:28" x14ac:dyDescent="0.2">
      <c r="A2315">
        <v>2840</v>
      </c>
      <c r="B2315" s="1">
        <v>45042</v>
      </c>
      <c r="C2315" t="s">
        <v>28</v>
      </c>
      <c r="D2315" t="s">
        <v>81</v>
      </c>
      <c r="E2315" t="s">
        <v>30</v>
      </c>
      <c r="F2315" t="s">
        <v>31</v>
      </c>
      <c r="G2315" t="s">
        <v>56</v>
      </c>
      <c r="H2315" t="s">
        <v>46</v>
      </c>
      <c r="I2315" t="s">
        <v>34</v>
      </c>
      <c r="J2315" t="s">
        <v>97</v>
      </c>
      <c r="K2315" s="2">
        <v>36645</v>
      </c>
      <c r="L2315" t="s">
        <v>36</v>
      </c>
      <c r="M2315" t="s">
        <v>48</v>
      </c>
      <c r="N2315" t="s">
        <v>49</v>
      </c>
      <c r="O2315" t="s">
        <v>77</v>
      </c>
      <c r="P2315" t="s">
        <v>40</v>
      </c>
      <c r="Q2315">
        <v>2</v>
      </c>
      <c r="R2315" s="2">
        <v>45053</v>
      </c>
      <c r="S2315">
        <v>3</v>
      </c>
      <c r="T2315">
        <v>2</v>
      </c>
      <c r="U2315">
        <v>3</v>
      </c>
      <c r="V2315" s="1">
        <v>44838</v>
      </c>
      <c r="W2315" t="s">
        <v>50</v>
      </c>
      <c r="X2315" t="s">
        <v>42</v>
      </c>
      <c r="Y2315" t="s">
        <v>52</v>
      </c>
      <c r="Z2315">
        <v>3</v>
      </c>
      <c r="AA2315">
        <v>360.08</v>
      </c>
      <c r="AB2315">
        <v>23</v>
      </c>
    </row>
    <row r="2316" spans="1:28" x14ac:dyDescent="0.2">
      <c r="A2316">
        <v>2841</v>
      </c>
      <c r="B2316" s="1">
        <v>43561</v>
      </c>
      <c r="C2316" t="s">
        <v>28</v>
      </c>
      <c r="D2316" t="s">
        <v>54</v>
      </c>
      <c r="E2316" t="s">
        <v>30</v>
      </c>
      <c r="F2316" t="s">
        <v>31</v>
      </c>
      <c r="G2316" t="s">
        <v>56</v>
      </c>
      <c r="H2316" t="s">
        <v>33</v>
      </c>
      <c r="I2316" t="s">
        <v>34</v>
      </c>
      <c r="J2316" t="s">
        <v>65</v>
      </c>
      <c r="K2316" s="2">
        <v>22568</v>
      </c>
      <c r="L2316" t="s">
        <v>36</v>
      </c>
      <c r="M2316" t="s">
        <v>48</v>
      </c>
      <c r="N2316" t="s">
        <v>49</v>
      </c>
      <c r="O2316" t="s">
        <v>67</v>
      </c>
      <c r="P2316" t="s">
        <v>40</v>
      </c>
      <c r="Q2316">
        <v>5</v>
      </c>
      <c r="R2316" s="2">
        <v>44844</v>
      </c>
      <c r="S2316">
        <v>2</v>
      </c>
      <c r="T2316">
        <v>2</v>
      </c>
      <c r="U2316">
        <v>2</v>
      </c>
      <c r="V2316" s="1">
        <v>45038</v>
      </c>
      <c r="W2316" t="s">
        <v>50</v>
      </c>
      <c r="X2316" t="s">
        <v>42</v>
      </c>
      <c r="Y2316" t="s">
        <v>63</v>
      </c>
      <c r="Z2316">
        <v>2</v>
      </c>
      <c r="AA2316">
        <v>405.48</v>
      </c>
      <c r="AB2316">
        <v>58</v>
      </c>
    </row>
    <row r="2317" spans="1:28" x14ac:dyDescent="0.2">
      <c r="A2317">
        <v>2842</v>
      </c>
      <c r="B2317" s="1">
        <v>44123</v>
      </c>
      <c r="C2317" t="s">
        <v>28</v>
      </c>
      <c r="D2317" t="s">
        <v>69</v>
      </c>
      <c r="E2317" t="s">
        <v>108</v>
      </c>
      <c r="F2317" t="s">
        <v>46</v>
      </c>
      <c r="G2317" t="s">
        <v>56</v>
      </c>
      <c r="H2317" t="s">
        <v>33</v>
      </c>
      <c r="I2317" t="s">
        <v>34</v>
      </c>
      <c r="J2317" t="s">
        <v>65</v>
      </c>
      <c r="K2317" s="2">
        <v>23939</v>
      </c>
      <c r="L2317" t="s">
        <v>36</v>
      </c>
      <c r="M2317" t="s">
        <v>37</v>
      </c>
      <c r="N2317" t="s">
        <v>72</v>
      </c>
      <c r="O2317" t="s">
        <v>39</v>
      </c>
      <c r="P2317" t="s">
        <v>40</v>
      </c>
      <c r="Q2317">
        <v>1</v>
      </c>
      <c r="R2317" s="2">
        <v>44875</v>
      </c>
      <c r="S2317">
        <v>2</v>
      </c>
      <c r="T2317">
        <v>1</v>
      </c>
      <c r="U2317">
        <v>5</v>
      </c>
      <c r="V2317" s="1">
        <v>44917</v>
      </c>
      <c r="W2317" t="s">
        <v>62</v>
      </c>
      <c r="X2317" t="s">
        <v>42</v>
      </c>
      <c r="Y2317" t="s">
        <v>43</v>
      </c>
      <c r="Z2317">
        <v>4</v>
      </c>
      <c r="AA2317">
        <v>577.78</v>
      </c>
      <c r="AB2317">
        <v>55</v>
      </c>
    </row>
    <row r="2318" spans="1:28" x14ac:dyDescent="0.2">
      <c r="A2318">
        <v>2843</v>
      </c>
      <c r="B2318" s="1">
        <v>44522</v>
      </c>
      <c r="C2318" t="s">
        <v>106</v>
      </c>
      <c r="D2318" t="s">
        <v>85</v>
      </c>
      <c r="E2318" t="s">
        <v>30</v>
      </c>
      <c r="F2318" t="s">
        <v>55</v>
      </c>
      <c r="G2318" t="s">
        <v>32</v>
      </c>
      <c r="H2318" t="s">
        <v>33</v>
      </c>
      <c r="I2318" t="s">
        <v>34</v>
      </c>
      <c r="J2318" t="s">
        <v>65</v>
      </c>
      <c r="K2318" s="2">
        <v>15677</v>
      </c>
      <c r="L2318" t="s">
        <v>36</v>
      </c>
      <c r="M2318" t="s">
        <v>48</v>
      </c>
      <c r="N2318" t="s">
        <v>72</v>
      </c>
      <c r="O2318" t="s">
        <v>67</v>
      </c>
      <c r="P2318" t="s">
        <v>40</v>
      </c>
      <c r="Q2318">
        <v>1</v>
      </c>
      <c r="R2318" s="2">
        <v>44837</v>
      </c>
      <c r="S2318">
        <v>5</v>
      </c>
      <c r="T2318">
        <v>1</v>
      </c>
      <c r="U2318">
        <v>4</v>
      </c>
      <c r="V2318" s="1">
        <v>44835</v>
      </c>
      <c r="W2318" t="s">
        <v>41</v>
      </c>
      <c r="X2318" t="s">
        <v>51</v>
      </c>
      <c r="Y2318" t="s">
        <v>63</v>
      </c>
      <c r="Z2318">
        <v>2</v>
      </c>
      <c r="AA2318">
        <v>102.16</v>
      </c>
      <c r="AB2318">
        <v>79</v>
      </c>
    </row>
    <row r="2319" spans="1:28" x14ac:dyDescent="0.2">
      <c r="A2319">
        <v>2845</v>
      </c>
      <c r="B2319" s="1">
        <v>44077</v>
      </c>
      <c r="C2319" t="s">
        <v>106</v>
      </c>
      <c r="D2319" t="s">
        <v>74</v>
      </c>
      <c r="E2319" t="s">
        <v>30</v>
      </c>
      <c r="F2319" t="s">
        <v>55</v>
      </c>
      <c r="G2319" t="s">
        <v>56</v>
      </c>
      <c r="H2319" t="s">
        <v>46</v>
      </c>
      <c r="I2319" t="s">
        <v>34</v>
      </c>
      <c r="J2319" t="s">
        <v>65</v>
      </c>
      <c r="K2319" s="2">
        <v>29024</v>
      </c>
      <c r="L2319" t="s">
        <v>36</v>
      </c>
      <c r="M2319" t="s">
        <v>37</v>
      </c>
      <c r="N2319" t="s">
        <v>38</v>
      </c>
      <c r="O2319" t="s">
        <v>61</v>
      </c>
      <c r="P2319" t="s">
        <v>40</v>
      </c>
      <c r="Q2319">
        <v>4</v>
      </c>
      <c r="R2319" s="2">
        <v>44879</v>
      </c>
      <c r="S2319">
        <v>3</v>
      </c>
      <c r="T2319">
        <v>4</v>
      </c>
      <c r="U2319">
        <v>2</v>
      </c>
      <c r="V2319" s="1">
        <v>44963</v>
      </c>
      <c r="W2319" t="s">
        <v>50</v>
      </c>
      <c r="X2319" t="s">
        <v>51</v>
      </c>
      <c r="Y2319" t="s">
        <v>63</v>
      </c>
      <c r="Z2319">
        <v>2</v>
      </c>
      <c r="AA2319">
        <v>764.22</v>
      </c>
      <c r="AB2319">
        <v>41</v>
      </c>
    </row>
    <row r="2320" spans="1:28" x14ac:dyDescent="0.2">
      <c r="A2320">
        <v>2846</v>
      </c>
      <c r="B2320" s="1">
        <v>43752</v>
      </c>
      <c r="C2320" t="s">
        <v>106</v>
      </c>
      <c r="D2320" t="s">
        <v>69</v>
      </c>
      <c r="E2320" t="s">
        <v>108</v>
      </c>
      <c r="F2320" t="s">
        <v>31</v>
      </c>
      <c r="G2320" t="s">
        <v>32</v>
      </c>
      <c r="H2320" t="s">
        <v>55</v>
      </c>
      <c r="I2320" t="s">
        <v>34</v>
      </c>
      <c r="J2320" t="s">
        <v>103</v>
      </c>
      <c r="K2320" s="2">
        <v>20334</v>
      </c>
      <c r="L2320" t="s">
        <v>36</v>
      </c>
      <c r="M2320" t="s">
        <v>37</v>
      </c>
      <c r="N2320" t="s">
        <v>38</v>
      </c>
      <c r="O2320" t="s">
        <v>77</v>
      </c>
      <c r="P2320" t="s">
        <v>40</v>
      </c>
      <c r="Q2320">
        <v>5</v>
      </c>
      <c r="R2320" s="2">
        <v>45021</v>
      </c>
      <c r="S2320">
        <v>1</v>
      </c>
      <c r="T2320">
        <v>1</v>
      </c>
      <c r="U2320">
        <v>4</v>
      </c>
      <c r="V2320" s="1">
        <v>44806</v>
      </c>
      <c r="W2320" t="s">
        <v>92</v>
      </c>
      <c r="X2320" t="s">
        <v>42</v>
      </c>
      <c r="Y2320" t="s">
        <v>52</v>
      </c>
      <c r="Z2320">
        <v>2</v>
      </c>
      <c r="AA2320">
        <v>326.54000000000002</v>
      </c>
      <c r="AB2320">
        <v>64</v>
      </c>
    </row>
    <row r="2321" spans="1:28" x14ac:dyDescent="0.2">
      <c r="A2321">
        <v>2848</v>
      </c>
      <c r="B2321" s="1">
        <v>44633</v>
      </c>
      <c r="C2321" t="s">
        <v>28</v>
      </c>
      <c r="D2321" t="s">
        <v>69</v>
      </c>
      <c r="E2321" t="s">
        <v>108</v>
      </c>
      <c r="F2321" t="s">
        <v>55</v>
      </c>
      <c r="G2321" t="s">
        <v>45</v>
      </c>
      <c r="H2321" t="s">
        <v>33</v>
      </c>
      <c r="I2321" t="s">
        <v>34</v>
      </c>
      <c r="J2321" t="s">
        <v>96</v>
      </c>
      <c r="K2321" s="2">
        <v>16830</v>
      </c>
      <c r="L2321" t="s">
        <v>36</v>
      </c>
      <c r="M2321" t="s">
        <v>48</v>
      </c>
      <c r="N2321" t="s">
        <v>38</v>
      </c>
      <c r="O2321" t="s">
        <v>61</v>
      </c>
      <c r="P2321" t="s">
        <v>78</v>
      </c>
      <c r="Q2321">
        <v>1</v>
      </c>
      <c r="R2321" s="2">
        <v>44784</v>
      </c>
      <c r="S2321">
        <v>2</v>
      </c>
      <c r="T2321">
        <v>1</v>
      </c>
      <c r="U2321">
        <v>1</v>
      </c>
      <c r="V2321" s="1">
        <v>45128</v>
      </c>
      <c r="W2321" t="s">
        <v>50</v>
      </c>
      <c r="X2321" t="s">
        <v>42</v>
      </c>
      <c r="Y2321" t="s">
        <v>43</v>
      </c>
      <c r="Z2321">
        <v>2</v>
      </c>
      <c r="AA2321">
        <v>510.12</v>
      </c>
      <c r="AB2321">
        <v>76</v>
      </c>
    </row>
    <row r="2322" spans="1:28" x14ac:dyDescent="0.2">
      <c r="A2322">
        <v>2849</v>
      </c>
      <c r="B2322" s="1">
        <v>43375</v>
      </c>
      <c r="C2322" t="s">
        <v>28</v>
      </c>
      <c r="D2322" t="s">
        <v>29</v>
      </c>
      <c r="E2322" t="s">
        <v>30</v>
      </c>
      <c r="F2322" t="s">
        <v>46</v>
      </c>
      <c r="G2322" t="s">
        <v>32</v>
      </c>
      <c r="H2322" t="s">
        <v>55</v>
      </c>
      <c r="I2322" t="s">
        <v>34</v>
      </c>
      <c r="J2322" t="s">
        <v>65</v>
      </c>
      <c r="K2322" s="2">
        <v>18106</v>
      </c>
      <c r="L2322" t="s">
        <v>36</v>
      </c>
      <c r="M2322" t="s">
        <v>48</v>
      </c>
      <c r="N2322" t="s">
        <v>49</v>
      </c>
      <c r="O2322" t="s">
        <v>61</v>
      </c>
      <c r="P2322" t="s">
        <v>40</v>
      </c>
      <c r="Q2322">
        <v>5</v>
      </c>
      <c r="R2322" s="2">
        <v>44966</v>
      </c>
      <c r="S2322">
        <v>5</v>
      </c>
      <c r="T2322">
        <v>1</v>
      </c>
      <c r="U2322">
        <v>1</v>
      </c>
      <c r="V2322" s="1">
        <v>45052</v>
      </c>
      <c r="W2322" t="s">
        <v>68</v>
      </c>
      <c r="X2322" t="s">
        <v>42</v>
      </c>
      <c r="Y2322" t="s">
        <v>43</v>
      </c>
      <c r="Z2322">
        <v>3</v>
      </c>
      <c r="AA2322">
        <v>706.23</v>
      </c>
      <c r="AB2322">
        <v>69</v>
      </c>
    </row>
    <row r="2323" spans="1:28" x14ac:dyDescent="0.2">
      <c r="A2323">
        <v>2850</v>
      </c>
      <c r="B2323" s="1">
        <v>44840</v>
      </c>
      <c r="C2323" t="s">
        <v>28</v>
      </c>
      <c r="D2323" t="s">
        <v>44</v>
      </c>
      <c r="E2323" t="s">
        <v>30</v>
      </c>
      <c r="F2323" t="s">
        <v>55</v>
      </c>
      <c r="G2323" t="s">
        <v>32</v>
      </c>
      <c r="H2323" t="s">
        <v>46</v>
      </c>
      <c r="I2323" t="s">
        <v>34</v>
      </c>
      <c r="J2323" t="s">
        <v>65</v>
      </c>
      <c r="K2323" s="2">
        <v>26509</v>
      </c>
      <c r="L2323" t="s">
        <v>36</v>
      </c>
      <c r="M2323" t="s">
        <v>48</v>
      </c>
      <c r="N2323" t="s">
        <v>49</v>
      </c>
      <c r="O2323" t="s">
        <v>77</v>
      </c>
      <c r="P2323" t="s">
        <v>78</v>
      </c>
      <c r="Q2323">
        <v>1</v>
      </c>
      <c r="R2323" s="2">
        <v>45016</v>
      </c>
      <c r="S2323">
        <v>4</v>
      </c>
      <c r="T2323">
        <v>1</v>
      </c>
      <c r="U2323">
        <v>4</v>
      </c>
      <c r="V2323" s="1">
        <v>45042</v>
      </c>
      <c r="W2323" t="s">
        <v>68</v>
      </c>
      <c r="X2323" t="s">
        <v>51</v>
      </c>
      <c r="Y2323" t="s">
        <v>73</v>
      </c>
      <c r="Z2323">
        <v>2</v>
      </c>
      <c r="AA2323">
        <v>634.36</v>
      </c>
      <c r="AB2323">
        <v>50</v>
      </c>
    </row>
    <row r="2324" spans="1:28" x14ac:dyDescent="0.2">
      <c r="A2324">
        <v>2851</v>
      </c>
      <c r="B2324" s="1">
        <v>44095</v>
      </c>
      <c r="C2324" t="s">
        <v>28</v>
      </c>
      <c r="D2324" t="s">
        <v>87</v>
      </c>
      <c r="E2324" t="s">
        <v>30</v>
      </c>
      <c r="F2324" t="s">
        <v>55</v>
      </c>
      <c r="G2324" t="s">
        <v>56</v>
      </c>
      <c r="H2324" t="s">
        <v>46</v>
      </c>
      <c r="I2324" t="s">
        <v>34</v>
      </c>
      <c r="J2324" t="s">
        <v>70</v>
      </c>
      <c r="K2324" s="2">
        <v>24536</v>
      </c>
      <c r="L2324" t="s">
        <v>36</v>
      </c>
      <c r="M2324" t="s">
        <v>48</v>
      </c>
      <c r="N2324" t="s">
        <v>72</v>
      </c>
      <c r="O2324" t="s">
        <v>77</v>
      </c>
      <c r="P2324" t="s">
        <v>40</v>
      </c>
      <c r="Q2324">
        <v>4</v>
      </c>
      <c r="R2324" s="2">
        <v>44850</v>
      </c>
      <c r="S2324">
        <v>4</v>
      </c>
      <c r="T2324">
        <v>3</v>
      </c>
      <c r="U2324">
        <v>3</v>
      </c>
      <c r="V2324" s="1">
        <v>45123</v>
      </c>
      <c r="W2324" t="s">
        <v>92</v>
      </c>
      <c r="X2324" t="s">
        <v>42</v>
      </c>
      <c r="Y2324" t="s">
        <v>43</v>
      </c>
      <c r="Z2324">
        <v>2</v>
      </c>
      <c r="AA2324">
        <v>718.77</v>
      </c>
      <c r="AB2324">
        <v>53</v>
      </c>
    </row>
    <row r="2325" spans="1:28" x14ac:dyDescent="0.2">
      <c r="A2325">
        <v>2852</v>
      </c>
      <c r="B2325" s="1">
        <v>44536</v>
      </c>
      <c r="C2325" t="s">
        <v>28</v>
      </c>
      <c r="D2325" t="s">
        <v>81</v>
      </c>
      <c r="E2325" t="s">
        <v>30</v>
      </c>
      <c r="F2325" t="s">
        <v>46</v>
      </c>
      <c r="G2325" t="s">
        <v>32</v>
      </c>
      <c r="H2325" t="s">
        <v>33</v>
      </c>
      <c r="I2325" t="s">
        <v>34</v>
      </c>
      <c r="J2325" t="s">
        <v>70</v>
      </c>
      <c r="K2325" s="2">
        <v>17126</v>
      </c>
      <c r="L2325" t="s">
        <v>36</v>
      </c>
      <c r="M2325" t="s">
        <v>48</v>
      </c>
      <c r="N2325" t="s">
        <v>60</v>
      </c>
      <c r="O2325" t="s">
        <v>39</v>
      </c>
      <c r="P2325" t="s">
        <v>40</v>
      </c>
      <c r="Q2325">
        <v>1</v>
      </c>
      <c r="R2325" s="2">
        <v>44959</v>
      </c>
      <c r="S2325">
        <v>2</v>
      </c>
      <c r="T2325">
        <v>1</v>
      </c>
      <c r="U2325">
        <v>2</v>
      </c>
      <c r="V2325" s="1">
        <v>45100</v>
      </c>
      <c r="W2325" t="s">
        <v>92</v>
      </c>
      <c r="X2325" t="s">
        <v>42</v>
      </c>
      <c r="Y2325" t="s">
        <v>52</v>
      </c>
      <c r="Z2325">
        <v>3</v>
      </c>
      <c r="AA2325">
        <v>820.39</v>
      </c>
      <c r="AB2325">
        <v>75</v>
      </c>
    </row>
    <row r="2326" spans="1:28" x14ac:dyDescent="0.2">
      <c r="A2326">
        <v>2853</v>
      </c>
      <c r="B2326" s="1">
        <v>44881</v>
      </c>
      <c r="C2326" t="s">
        <v>28</v>
      </c>
      <c r="D2326" t="s">
        <v>54</v>
      </c>
      <c r="E2326" t="s">
        <v>108</v>
      </c>
      <c r="F2326" t="s">
        <v>31</v>
      </c>
      <c r="G2326" t="s">
        <v>56</v>
      </c>
      <c r="H2326" t="s">
        <v>46</v>
      </c>
      <c r="I2326" t="s">
        <v>34</v>
      </c>
      <c r="J2326" t="s">
        <v>65</v>
      </c>
      <c r="K2326" s="2">
        <v>34430</v>
      </c>
      <c r="L2326" t="s">
        <v>36</v>
      </c>
      <c r="M2326" t="s">
        <v>48</v>
      </c>
      <c r="N2326" t="s">
        <v>60</v>
      </c>
      <c r="O2326" t="s">
        <v>39</v>
      </c>
      <c r="P2326" t="s">
        <v>98</v>
      </c>
      <c r="Q2326">
        <v>5</v>
      </c>
      <c r="R2326" s="2">
        <v>45138</v>
      </c>
      <c r="S2326">
        <v>5</v>
      </c>
      <c r="T2326">
        <v>1</v>
      </c>
      <c r="U2326">
        <v>1</v>
      </c>
      <c r="V2326" s="1">
        <v>44927</v>
      </c>
      <c r="W2326" t="s">
        <v>41</v>
      </c>
      <c r="X2326" t="s">
        <v>42</v>
      </c>
      <c r="Y2326" t="s">
        <v>73</v>
      </c>
      <c r="Z2326">
        <v>1</v>
      </c>
      <c r="AA2326">
        <v>835.07</v>
      </c>
      <c r="AB2326">
        <v>28</v>
      </c>
    </row>
    <row r="2327" spans="1:28" x14ac:dyDescent="0.2">
      <c r="A2327">
        <v>2854</v>
      </c>
      <c r="B2327" s="1">
        <v>44775</v>
      </c>
      <c r="C2327" t="s">
        <v>28</v>
      </c>
      <c r="D2327" t="s">
        <v>94</v>
      </c>
      <c r="E2327" t="s">
        <v>30</v>
      </c>
      <c r="F2327" t="s">
        <v>46</v>
      </c>
      <c r="G2327" t="s">
        <v>45</v>
      </c>
      <c r="H2327" t="s">
        <v>55</v>
      </c>
      <c r="I2327" t="s">
        <v>34</v>
      </c>
      <c r="J2327" t="s">
        <v>82</v>
      </c>
      <c r="K2327" s="2">
        <v>16789</v>
      </c>
      <c r="L2327" t="s">
        <v>36</v>
      </c>
      <c r="M2327" t="s">
        <v>37</v>
      </c>
      <c r="N2327" t="s">
        <v>49</v>
      </c>
      <c r="O2327" t="s">
        <v>67</v>
      </c>
      <c r="P2327" t="s">
        <v>98</v>
      </c>
      <c r="Q2327">
        <v>2</v>
      </c>
      <c r="R2327" s="2">
        <v>44990</v>
      </c>
      <c r="S2327">
        <v>1</v>
      </c>
      <c r="T2327">
        <v>3</v>
      </c>
      <c r="U2327">
        <v>4</v>
      </c>
      <c r="V2327" s="1">
        <v>45034</v>
      </c>
      <c r="W2327" t="s">
        <v>62</v>
      </c>
      <c r="X2327" t="s">
        <v>51</v>
      </c>
      <c r="Y2327" t="s">
        <v>52</v>
      </c>
      <c r="Z2327">
        <v>4</v>
      </c>
      <c r="AA2327">
        <v>670.82</v>
      </c>
      <c r="AB2327">
        <v>77</v>
      </c>
    </row>
    <row r="2328" spans="1:28" x14ac:dyDescent="0.2">
      <c r="A2328">
        <v>2855</v>
      </c>
      <c r="B2328" s="1">
        <v>44580</v>
      </c>
      <c r="C2328" t="s">
        <v>28</v>
      </c>
      <c r="D2328" t="s">
        <v>85</v>
      </c>
      <c r="E2328" t="s">
        <v>30</v>
      </c>
      <c r="F2328" t="s">
        <v>46</v>
      </c>
      <c r="G2328" t="s">
        <v>32</v>
      </c>
      <c r="H2328" t="s">
        <v>55</v>
      </c>
      <c r="I2328" t="s">
        <v>34</v>
      </c>
      <c r="J2328" t="s">
        <v>70</v>
      </c>
      <c r="K2328" s="2">
        <v>28904</v>
      </c>
      <c r="L2328" t="s">
        <v>36</v>
      </c>
      <c r="M2328" t="s">
        <v>37</v>
      </c>
      <c r="N2328" t="s">
        <v>72</v>
      </c>
      <c r="O2328" t="s">
        <v>61</v>
      </c>
      <c r="P2328" t="s">
        <v>98</v>
      </c>
      <c r="Q2328">
        <v>4</v>
      </c>
      <c r="R2328" s="2">
        <v>45012</v>
      </c>
      <c r="S2328">
        <v>3</v>
      </c>
      <c r="T2328">
        <v>5</v>
      </c>
      <c r="U2328">
        <v>5</v>
      </c>
      <c r="V2328" s="1">
        <v>44809</v>
      </c>
      <c r="W2328" t="s">
        <v>68</v>
      </c>
      <c r="X2328" t="s">
        <v>51</v>
      </c>
      <c r="Y2328" t="s">
        <v>73</v>
      </c>
      <c r="Z2328">
        <v>1</v>
      </c>
      <c r="AA2328">
        <v>596.23</v>
      </c>
      <c r="AB2328">
        <v>43</v>
      </c>
    </row>
    <row r="2329" spans="1:28" x14ac:dyDescent="0.2">
      <c r="A2329">
        <v>2856</v>
      </c>
      <c r="B2329" s="1">
        <v>44660</v>
      </c>
      <c r="C2329" t="s">
        <v>28</v>
      </c>
      <c r="D2329" t="s">
        <v>64</v>
      </c>
      <c r="E2329" t="s">
        <v>30</v>
      </c>
      <c r="F2329" t="s">
        <v>55</v>
      </c>
      <c r="G2329" t="s">
        <v>45</v>
      </c>
      <c r="H2329" t="s">
        <v>33</v>
      </c>
      <c r="I2329" t="s">
        <v>34</v>
      </c>
      <c r="J2329" t="s">
        <v>118</v>
      </c>
      <c r="K2329" s="2">
        <v>19222</v>
      </c>
      <c r="L2329" t="s">
        <v>36</v>
      </c>
      <c r="M2329" t="s">
        <v>37</v>
      </c>
      <c r="N2329" t="s">
        <v>38</v>
      </c>
      <c r="O2329" t="s">
        <v>67</v>
      </c>
      <c r="P2329" t="s">
        <v>98</v>
      </c>
      <c r="Q2329">
        <v>5</v>
      </c>
      <c r="R2329" s="2">
        <v>44949</v>
      </c>
      <c r="S2329">
        <v>4</v>
      </c>
      <c r="T2329">
        <v>5</v>
      </c>
      <c r="U2329">
        <v>2</v>
      </c>
      <c r="V2329" s="1">
        <v>44929</v>
      </c>
      <c r="W2329" t="s">
        <v>50</v>
      </c>
      <c r="X2329" t="s">
        <v>42</v>
      </c>
      <c r="Y2329" t="s">
        <v>63</v>
      </c>
      <c r="Z2329">
        <v>2</v>
      </c>
      <c r="AA2329">
        <v>842.67</v>
      </c>
      <c r="AB2329">
        <v>70</v>
      </c>
    </row>
    <row r="2330" spans="1:28" x14ac:dyDescent="0.2">
      <c r="A2330">
        <v>2857</v>
      </c>
      <c r="B2330" s="1">
        <v>43665</v>
      </c>
      <c r="C2330" t="s">
        <v>28</v>
      </c>
      <c r="D2330" t="s">
        <v>74</v>
      </c>
      <c r="E2330" t="s">
        <v>30</v>
      </c>
      <c r="F2330" t="s">
        <v>55</v>
      </c>
      <c r="G2330" t="s">
        <v>45</v>
      </c>
      <c r="H2330" t="s">
        <v>46</v>
      </c>
      <c r="I2330" t="s">
        <v>34</v>
      </c>
      <c r="J2330" t="s">
        <v>65</v>
      </c>
      <c r="K2330" s="2">
        <v>27334</v>
      </c>
      <c r="L2330" t="s">
        <v>36</v>
      </c>
      <c r="M2330" t="s">
        <v>48</v>
      </c>
      <c r="N2330" t="s">
        <v>38</v>
      </c>
      <c r="O2330" t="s">
        <v>61</v>
      </c>
      <c r="P2330" t="s">
        <v>40</v>
      </c>
      <c r="Q2330">
        <v>2</v>
      </c>
      <c r="R2330" s="2">
        <v>44919</v>
      </c>
      <c r="S2330">
        <v>5</v>
      </c>
      <c r="T2330">
        <v>2</v>
      </c>
      <c r="U2330">
        <v>5</v>
      </c>
      <c r="V2330" s="1">
        <v>44920</v>
      </c>
      <c r="W2330" t="s">
        <v>50</v>
      </c>
      <c r="X2330" t="s">
        <v>42</v>
      </c>
      <c r="Y2330" t="s">
        <v>63</v>
      </c>
      <c r="Z2330">
        <v>3</v>
      </c>
      <c r="AA2330">
        <v>229.18</v>
      </c>
      <c r="AB2330">
        <v>45</v>
      </c>
    </row>
    <row r="2331" spans="1:28" x14ac:dyDescent="0.2">
      <c r="A2331">
        <v>2858</v>
      </c>
      <c r="B2331" s="1">
        <v>44441</v>
      </c>
      <c r="C2331" t="s">
        <v>28</v>
      </c>
      <c r="D2331" t="s">
        <v>69</v>
      </c>
      <c r="E2331" t="s">
        <v>30</v>
      </c>
      <c r="F2331" t="s">
        <v>55</v>
      </c>
      <c r="G2331" t="s">
        <v>32</v>
      </c>
      <c r="H2331" t="s">
        <v>33</v>
      </c>
      <c r="I2331" t="s">
        <v>34</v>
      </c>
      <c r="J2331" t="s">
        <v>79</v>
      </c>
      <c r="K2331" s="2">
        <v>27043</v>
      </c>
      <c r="L2331" t="s">
        <v>36</v>
      </c>
      <c r="M2331" t="s">
        <v>48</v>
      </c>
      <c r="N2331" t="s">
        <v>60</v>
      </c>
      <c r="O2331" t="s">
        <v>67</v>
      </c>
      <c r="P2331" t="s">
        <v>40</v>
      </c>
      <c r="Q2331">
        <v>5</v>
      </c>
      <c r="R2331" s="2">
        <v>45119</v>
      </c>
      <c r="S2331">
        <v>1</v>
      </c>
      <c r="T2331">
        <v>2</v>
      </c>
      <c r="U2331">
        <v>5</v>
      </c>
      <c r="V2331" s="1">
        <v>44875</v>
      </c>
      <c r="W2331" t="s">
        <v>62</v>
      </c>
      <c r="X2331" t="s">
        <v>42</v>
      </c>
      <c r="Y2331" t="s">
        <v>43</v>
      </c>
      <c r="Z2331">
        <v>3</v>
      </c>
      <c r="AA2331">
        <v>851.72</v>
      </c>
      <c r="AB2331">
        <v>47</v>
      </c>
    </row>
    <row r="2332" spans="1:28" x14ac:dyDescent="0.2">
      <c r="A2332">
        <v>2859</v>
      </c>
      <c r="B2332" s="1">
        <v>43497</v>
      </c>
      <c r="C2332" t="s">
        <v>28</v>
      </c>
      <c r="D2332" t="s">
        <v>29</v>
      </c>
      <c r="E2332" t="s">
        <v>30</v>
      </c>
      <c r="F2332" t="s">
        <v>55</v>
      </c>
      <c r="G2332" t="s">
        <v>32</v>
      </c>
      <c r="H2332" t="s">
        <v>46</v>
      </c>
      <c r="I2332" t="s">
        <v>34</v>
      </c>
      <c r="J2332" t="s">
        <v>70</v>
      </c>
      <c r="K2332" s="2">
        <v>16503</v>
      </c>
      <c r="L2332" t="s">
        <v>36</v>
      </c>
      <c r="M2332" t="s">
        <v>48</v>
      </c>
      <c r="N2332" t="s">
        <v>60</v>
      </c>
      <c r="O2332" t="s">
        <v>77</v>
      </c>
      <c r="P2332" t="s">
        <v>98</v>
      </c>
      <c r="Q2332">
        <v>2</v>
      </c>
      <c r="R2332" s="2">
        <v>44792</v>
      </c>
      <c r="S2332">
        <v>1</v>
      </c>
      <c r="T2332">
        <v>3</v>
      </c>
      <c r="U2332">
        <v>3</v>
      </c>
      <c r="V2332" s="1">
        <v>44827</v>
      </c>
      <c r="W2332" t="s">
        <v>68</v>
      </c>
      <c r="X2332" t="s">
        <v>42</v>
      </c>
      <c r="Y2332" t="s">
        <v>63</v>
      </c>
      <c r="Z2332">
        <v>1</v>
      </c>
      <c r="AA2332">
        <v>798.08</v>
      </c>
      <c r="AB2332">
        <v>74</v>
      </c>
    </row>
    <row r="2333" spans="1:28" x14ac:dyDescent="0.2">
      <c r="A2333">
        <v>2860</v>
      </c>
      <c r="B2333" s="1">
        <v>45029</v>
      </c>
      <c r="C2333" t="s">
        <v>28</v>
      </c>
      <c r="D2333" t="s">
        <v>44</v>
      </c>
      <c r="E2333" t="s">
        <v>30</v>
      </c>
      <c r="F2333" t="s">
        <v>46</v>
      </c>
      <c r="G2333" t="s">
        <v>32</v>
      </c>
      <c r="H2333" t="s">
        <v>46</v>
      </c>
      <c r="I2333" t="s">
        <v>34</v>
      </c>
      <c r="J2333" t="s">
        <v>65</v>
      </c>
      <c r="K2333" s="2">
        <v>22585</v>
      </c>
      <c r="L2333" t="s">
        <v>36</v>
      </c>
      <c r="M2333" t="s">
        <v>48</v>
      </c>
      <c r="N2333" t="s">
        <v>72</v>
      </c>
      <c r="O2333" t="s">
        <v>67</v>
      </c>
      <c r="P2333" t="s">
        <v>40</v>
      </c>
      <c r="Q2333">
        <v>2</v>
      </c>
      <c r="R2333" s="2">
        <v>44957</v>
      </c>
      <c r="S2333">
        <v>2</v>
      </c>
      <c r="T2333">
        <v>1</v>
      </c>
      <c r="U2333">
        <v>4</v>
      </c>
      <c r="V2333" s="1">
        <v>44817</v>
      </c>
      <c r="W2333" t="s">
        <v>41</v>
      </c>
      <c r="X2333" t="s">
        <v>51</v>
      </c>
      <c r="Y2333" t="s">
        <v>73</v>
      </c>
      <c r="Z2333">
        <v>3</v>
      </c>
      <c r="AA2333">
        <v>587.16</v>
      </c>
      <c r="AB2333">
        <v>62</v>
      </c>
    </row>
    <row r="2334" spans="1:28" x14ac:dyDescent="0.2">
      <c r="A2334">
        <v>2861</v>
      </c>
      <c r="B2334" s="1">
        <v>43379</v>
      </c>
      <c r="C2334" t="s">
        <v>28</v>
      </c>
      <c r="D2334" t="s">
        <v>87</v>
      </c>
      <c r="E2334" t="s">
        <v>30</v>
      </c>
      <c r="F2334" t="s">
        <v>55</v>
      </c>
      <c r="G2334" t="s">
        <v>32</v>
      </c>
      <c r="H2334" t="s">
        <v>55</v>
      </c>
      <c r="I2334" t="s">
        <v>34</v>
      </c>
      <c r="J2334" t="s">
        <v>65</v>
      </c>
      <c r="K2334" s="2">
        <v>31606</v>
      </c>
      <c r="L2334" t="s">
        <v>36</v>
      </c>
      <c r="M2334" t="s">
        <v>48</v>
      </c>
      <c r="N2334" t="s">
        <v>38</v>
      </c>
      <c r="O2334" t="s">
        <v>39</v>
      </c>
      <c r="P2334" t="s">
        <v>40</v>
      </c>
      <c r="Q2334">
        <v>2</v>
      </c>
      <c r="R2334" s="2">
        <v>45128</v>
      </c>
      <c r="S2334">
        <v>2</v>
      </c>
      <c r="T2334">
        <v>4</v>
      </c>
      <c r="U2334">
        <v>5</v>
      </c>
      <c r="V2334" s="1">
        <v>44872</v>
      </c>
      <c r="W2334" t="s">
        <v>62</v>
      </c>
      <c r="X2334" t="s">
        <v>51</v>
      </c>
      <c r="Y2334" t="s">
        <v>63</v>
      </c>
      <c r="Z2334">
        <v>2</v>
      </c>
      <c r="AA2334">
        <v>828.48</v>
      </c>
      <c r="AB2334">
        <v>32</v>
      </c>
    </row>
    <row r="2335" spans="1:28" x14ac:dyDescent="0.2">
      <c r="A2335">
        <v>2862</v>
      </c>
      <c r="B2335" s="1">
        <v>43914</v>
      </c>
      <c r="C2335" t="s">
        <v>106</v>
      </c>
      <c r="D2335" t="s">
        <v>85</v>
      </c>
      <c r="E2335" t="s">
        <v>30</v>
      </c>
      <c r="F2335" t="s">
        <v>46</v>
      </c>
      <c r="G2335" t="s">
        <v>56</v>
      </c>
      <c r="H2335" t="s">
        <v>46</v>
      </c>
      <c r="I2335" t="s">
        <v>34</v>
      </c>
      <c r="J2335" t="s">
        <v>79</v>
      </c>
      <c r="K2335" s="2">
        <v>15901</v>
      </c>
      <c r="L2335" t="s">
        <v>36</v>
      </c>
      <c r="M2335" t="s">
        <v>48</v>
      </c>
      <c r="N2335" t="s">
        <v>60</v>
      </c>
      <c r="O2335" t="s">
        <v>61</v>
      </c>
      <c r="P2335" t="s">
        <v>40</v>
      </c>
      <c r="Q2335">
        <v>4</v>
      </c>
      <c r="R2335" s="2">
        <v>44995</v>
      </c>
      <c r="S2335">
        <v>1</v>
      </c>
      <c r="T2335">
        <v>2</v>
      </c>
      <c r="U2335">
        <v>3</v>
      </c>
      <c r="V2335" s="1">
        <v>45027</v>
      </c>
      <c r="W2335" t="s">
        <v>92</v>
      </c>
      <c r="X2335" t="s">
        <v>42</v>
      </c>
      <c r="Y2335" t="s">
        <v>52</v>
      </c>
      <c r="Z2335">
        <v>3</v>
      </c>
      <c r="AA2335">
        <v>192.39</v>
      </c>
      <c r="AB2335">
        <v>77</v>
      </c>
    </row>
    <row r="2336" spans="1:28" x14ac:dyDescent="0.2">
      <c r="A2336">
        <v>2863</v>
      </c>
      <c r="B2336" s="1">
        <v>44477</v>
      </c>
      <c r="C2336" t="s">
        <v>106</v>
      </c>
      <c r="D2336" t="s">
        <v>44</v>
      </c>
      <c r="E2336" t="s">
        <v>30</v>
      </c>
      <c r="F2336" t="s">
        <v>55</v>
      </c>
      <c r="G2336" t="s">
        <v>56</v>
      </c>
      <c r="H2336" t="s">
        <v>33</v>
      </c>
      <c r="I2336" t="s">
        <v>34</v>
      </c>
      <c r="J2336" t="s">
        <v>105</v>
      </c>
      <c r="K2336" s="2">
        <v>16049</v>
      </c>
      <c r="L2336" t="s">
        <v>36</v>
      </c>
      <c r="M2336" t="s">
        <v>48</v>
      </c>
      <c r="N2336" t="s">
        <v>60</v>
      </c>
      <c r="O2336" t="s">
        <v>39</v>
      </c>
      <c r="P2336" t="s">
        <v>98</v>
      </c>
      <c r="Q2336">
        <v>4</v>
      </c>
      <c r="R2336" s="2">
        <v>44998</v>
      </c>
      <c r="S2336">
        <v>2</v>
      </c>
      <c r="T2336">
        <v>2</v>
      </c>
      <c r="U2336">
        <v>1</v>
      </c>
      <c r="V2336" s="1">
        <v>44903</v>
      </c>
      <c r="W2336" t="s">
        <v>50</v>
      </c>
      <c r="X2336" t="s">
        <v>42</v>
      </c>
      <c r="Y2336" t="s">
        <v>63</v>
      </c>
      <c r="Z2336">
        <v>4</v>
      </c>
      <c r="AA2336">
        <v>422.27</v>
      </c>
      <c r="AB2336">
        <v>78</v>
      </c>
    </row>
    <row r="2337" spans="1:28" x14ac:dyDescent="0.2">
      <c r="A2337">
        <v>2864</v>
      </c>
      <c r="B2337" s="1">
        <v>44697</v>
      </c>
      <c r="C2337" t="s">
        <v>106</v>
      </c>
      <c r="D2337" t="s">
        <v>87</v>
      </c>
      <c r="E2337" t="s">
        <v>30</v>
      </c>
      <c r="F2337" t="s">
        <v>46</v>
      </c>
      <c r="G2337" t="s">
        <v>56</v>
      </c>
      <c r="H2337" t="s">
        <v>55</v>
      </c>
      <c r="I2337" t="s">
        <v>34</v>
      </c>
      <c r="J2337" t="s">
        <v>70</v>
      </c>
      <c r="K2337" s="2">
        <v>35059</v>
      </c>
      <c r="L2337" t="s">
        <v>36</v>
      </c>
      <c r="M2337" t="s">
        <v>48</v>
      </c>
      <c r="N2337" t="s">
        <v>84</v>
      </c>
      <c r="O2337" t="s">
        <v>61</v>
      </c>
      <c r="P2337" t="s">
        <v>40</v>
      </c>
      <c r="Q2337">
        <v>2</v>
      </c>
      <c r="R2337" s="2">
        <v>44881</v>
      </c>
      <c r="S2337">
        <v>1</v>
      </c>
      <c r="T2337">
        <v>3</v>
      </c>
      <c r="U2337">
        <v>4</v>
      </c>
      <c r="V2337" s="1">
        <v>45093</v>
      </c>
      <c r="W2337" t="s">
        <v>41</v>
      </c>
      <c r="X2337" t="s">
        <v>51</v>
      </c>
      <c r="Y2337" t="s">
        <v>43</v>
      </c>
      <c r="Z2337">
        <v>4</v>
      </c>
      <c r="AA2337">
        <v>242.25</v>
      </c>
      <c r="AB2337">
        <v>27</v>
      </c>
    </row>
    <row r="2338" spans="1:28" x14ac:dyDescent="0.2">
      <c r="A2338">
        <v>2865</v>
      </c>
      <c r="B2338" s="1">
        <v>44691</v>
      </c>
      <c r="C2338" t="s">
        <v>106</v>
      </c>
      <c r="D2338" t="s">
        <v>64</v>
      </c>
      <c r="E2338" t="s">
        <v>108</v>
      </c>
      <c r="F2338" t="s">
        <v>46</v>
      </c>
      <c r="G2338" t="s">
        <v>32</v>
      </c>
      <c r="H2338" t="s">
        <v>46</v>
      </c>
      <c r="I2338" t="s">
        <v>34</v>
      </c>
      <c r="J2338" t="s">
        <v>65</v>
      </c>
      <c r="K2338" s="2">
        <v>25442</v>
      </c>
      <c r="L2338" t="s">
        <v>36</v>
      </c>
      <c r="M2338" t="s">
        <v>37</v>
      </c>
      <c r="N2338" t="s">
        <v>38</v>
      </c>
      <c r="O2338" t="s">
        <v>77</v>
      </c>
      <c r="P2338" t="s">
        <v>40</v>
      </c>
      <c r="Q2338">
        <v>1</v>
      </c>
      <c r="R2338" s="2">
        <v>44857</v>
      </c>
      <c r="S2338">
        <v>2</v>
      </c>
      <c r="T2338">
        <v>2</v>
      </c>
      <c r="U2338">
        <v>3</v>
      </c>
      <c r="V2338" s="1">
        <v>45007</v>
      </c>
      <c r="W2338" t="s">
        <v>50</v>
      </c>
      <c r="X2338" t="s">
        <v>51</v>
      </c>
      <c r="Y2338" t="s">
        <v>73</v>
      </c>
      <c r="Z2338">
        <v>4</v>
      </c>
      <c r="AA2338">
        <v>653.99</v>
      </c>
      <c r="AB2338">
        <v>53</v>
      </c>
    </row>
    <row r="2339" spans="1:28" x14ac:dyDescent="0.2">
      <c r="A2339">
        <v>2866</v>
      </c>
      <c r="B2339" s="1">
        <v>44516</v>
      </c>
      <c r="C2339" t="s">
        <v>106</v>
      </c>
      <c r="D2339" t="s">
        <v>69</v>
      </c>
      <c r="E2339" t="s">
        <v>30</v>
      </c>
      <c r="F2339" t="s">
        <v>46</v>
      </c>
      <c r="G2339" t="s">
        <v>32</v>
      </c>
      <c r="H2339" t="s">
        <v>33</v>
      </c>
      <c r="I2339" t="s">
        <v>34</v>
      </c>
      <c r="J2339" t="s">
        <v>70</v>
      </c>
      <c r="K2339" s="2">
        <v>18878</v>
      </c>
      <c r="L2339" t="s">
        <v>36</v>
      </c>
      <c r="M2339" t="s">
        <v>37</v>
      </c>
      <c r="N2339" t="s">
        <v>49</v>
      </c>
      <c r="O2339" t="s">
        <v>61</v>
      </c>
      <c r="P2339" t="s">
        <v>40</v>
      </c>
      <c r="Q2339">
        <v>2</v>
      </c>
      <c r="R2339" s="2">
        <v>45116</v>
      </c>
      <c r="S2339">
        <v>3</v>
      </c>
      <c r="T2339">
        <v>3</v>
      </c>
      <c r="U2339">
        <v>2</v>
      </c>
      <c r="V2339" s="1">
        <v>45027</v>
      </c>
      <c r="W2339" t="s">
        <v>62</v>
      </c>
      <c r="X2339" t="s">
        <v>51</v>
      </c>
      <c r="Y2339" t="s">
        <v>73</v>
      </c>
      <c r="Z2339">
        <v>5</v>
      </c>
      <c r="AA2339">
        <v>792.46</v>
      </c>
      <c r="AB2339">
        <v>70</v>
      </c>
    </row>
    <row r="2340" spans="1:28" x14ac:dyDescent="0.2">
      <c r="A2340">
        <v>2867</v>
      </c>
      <c r="B2340" s="1">
        <v>43521</v>
      </c>
      <c r="C2340" t="s">
        <v>106</v>
      </c>
      <c r="D2340" t="s">
        <v>29</v>
      </c>
      <c r="E2340" t="s">
        <v>30</v>
      </c>
      <c r="F2340" t="s">
        <v>46</v>
      </c>
      <c r="G2340" t="s">
        <v>45</v>
      </c>
      <c r="H2340" t="s">
        <v>33</v>
      </c>
      <c r="I2340" t="s">
        <v>34</v>
      </c>
      <c r="J2340" t="s">
        <v>110</v>
      </c>
      <c r="K2340" s="2">
        <v>34500</v>
      </c>
      <c r="L2340" t="s">
        <v>36</v>
      </c>
      <c r="M2340" t="s">
        <v>37</v>
      </c>
      <c r="N2340" t="s">
        <v>38</v>
      </c>
      <c r="O2340" t="s">
        <v>61</v>
      </c>
      <c r="P2340" t="s">
        <v>40</v>
      </c>
      <c r="Q2340">
        <v>2</v>
      </c>
      <c r="R2340" s="2">
        <v>44992</v>
      </c>
      <c r="S2340">
        <v>3</v>
      </c>
      <c r="T2340">
        <v>1</v>
      </c>
      <c r="U2340">
        <v>3</v>
      </c>
      <c r="V2340" s="1">
        <v>44978</v>
      </c>
      <c r="W2340" t="s">
        <v>41</v>
      </c>
      <c r="X2340" t="s">
        <v>51</v>
      </c>
      <c r="Y2340" t="s">
        <v>52</v>
      </c>
      <c r="Z2340">
        <v>4</v>
      </c>
      <c r="AA2340">
        <v>317.26</v>
      </c>
      <c r="AB2340">
        <v>25</v>
      </c>
    </row>
    <row r="2341" spans="1:28" x14ac:dyDescent="0.2">
      <c r="A2341">
        <v>2868</v>
      </c>
      <c r="B2341" s="1">
        <v>44743</v>
      </c>
      <c r="C2341" t="s">
        <v>28</v>
      </c>
      <c r="D2341" t="s">
        <v>64</v>
      </c>
      <c r="E2341" t="s">
        <v>30</v>
      </c>
      <c r="F2341" t="s">
        <v>55</v>
      </c>
      <c r="G2341" t="s">
        <v>45</v>
      </c>
      <c r="H2341" t="s">
        <v>33</v>
      </c>
      <c r="I2341" t="s">
        <v>34</v>
      </c>
      <c r="J2341" t="s">
        <v>82</v>
      </c>
      <c r="K2341" s="2">
        <v>16947</v>
      </c>
      <c r="L2341" t="s">
        <v>36</v>
      </c>
      <c r="M2341" t="s">
        <v>48</v>
      </c>
      <c r="N2341" t="s">
        <v>72</v>
      </c>
      <c r="O2341" t="s">
        <v>67</v>
      </c>
      <c r="P2341" t="s">
        <v>40</v>
      </c>
      <c r="Q2341">
        <v>5</v>
      </c>
      <c r="R2341" s="2">
        <v>44970</v>
      </c>
      <c r="S2341">
        <v>3</v>
      </c>
      <c r="T2341">
        <v>4</v>
      </c>
      <c r="U2341">
        <v>1</v>
      </c>
      <c r="V2341" s="1">
        <v>45094</v>
      </c>
      <c r="W2341" t="s">
        <v>41</v>
      </c>
      <c r="X2341" t="s">
        <v>51</v>
      </c>
      <c r="Y2341" t="s">
        <v>43</v>
      </c>
      <c r="Z2341">
        <v>5</v>
      </c>
      <c r="AA2341">
        <v>866.79</v>
      </c>
      <c r="AB2341">
        <v>76</v>
      </c>
    </row>
    <row r="2342" spans="1:28" x14ac:dyDescent="0.2">
      <c r="A2342">
        <v>2869</v>
      </c>
      <c r="B2342" s="1">
        <v>44912</v>
      </c>
      <c r="C2342" t="s">
        <v>28</v>
      </c>
      <c r="D2342" t="s">
        <v>94</v>
      </c>
      <c r="E2342" t="s">
        <v>30</v>
      </c>
      <c r="F2342" t="s">
        <v>31</v>
      </c>
      <c r="G2342" t="s">
        <v>45</v>
      </c>
      <c r="H2342" t="s">
        <v>55</v>
      </c>
      <c r="I2342" t="s">
        <v>34</v>
      </c>
      <c r="J2342" t="s">
        <v>47</v>
      </c>
      <c r="K2342" s="2">
        <v>15787</v>
      </c>
      <c r="L2342" t="s">
        <v>36</v>
      </c>
      <c r="M2342" t="s">
        <v>48</v>
      </c>
      <c r="N2342" t="s">
        <v>72</v>
      </c>
      <c r="O2342" t="s">
        <v>39</v>
      </c>
      <c r="P2342" t="s">
        <v>40</v>
      </c>
      <c r="Q2342">
        <v>2</v>
      </c>
      <c r="R2342" s="2">
        <v>45009</v>
      </c>
      <c r="S2342">
        <v>2</v>
      </c>
      <c r="T2342">
        <v>5</v>
      </c>
      <c r="U2342">
        <v>4</v>
      </c>
      <c r="V2342" s="1">
        <v>45050</v>
      </c>
      <c r="W2342" t="s">
        <v>41</v>
      </c>
      <c r="X2342" t="s">
        <v>42</v>
      </c>
      <c r="Y2342" t="s">
        <v>63</v>
      </c>
      <c r="Z2342">
        <v>2</v>
      </c>
      <c r="AA2342">
        <v>422.63</v>
      </c>
      <c r="AB2342">
        <v>79</v>
      </c>
    </row>
    <row r="2343" spans="1:28" x14ac:dyDescent="0.2">
      <c r="A2343">
        <v>2870</v>
      </c>
      <c r="B2343" s="1">
        <v>45133</v>
      </c>
      <c r="C2343" t="s">
        <v>28</v>
      </c>
      <c r="D2343" t="s">
        <v>74</v>
      </c>
      <c r="E2343" t="s">
        <v>30</v>
      </c>
      <c r="F2343" t="s">
        <v>46</v>
      </c>
      <c r="G2343" t="s">
        <v>56</v>
      </c>
      <c r="H2343" t="s">
        <v>46</v>
      </c>
      <c r="I2343" t="s">
        <v>34</v>
      </c>
      <c r="J2343" t="s">
        <v>118</v>
      </c>
      <c r="K2343" s="2">
        <v>18514</v>
      </c>
      <c r="L2343" t="s">
        <v>36</v>
      </c>
      <c r="M2343" t="s">
        <v>48</v>
      </c>
      <c r="N2343" t="s">
        <v>72</v>
      </c>
      <c r="O2343" t="s">
        <v>67</v>
      </c>
      <c r="P2343" t="s">
        <v>40</v>
      </c>
      <c r="Q2343">
        <v>4</v>
      </c>
      <c r="R2343" s="2">
        <v>44893</v>
      </c>
      <c r="S2343">
        <v>5</v>
      </c>
      <c r="T2343">
        <v>3</v>
      </c>
      <c r="U2343">
        <v>2</v>
      </c>
      <c r="V2343" s="1">
        <v>44981</v>
      </c>
      <c r="W2343" t="s">
        <v>62</v>
      </c>
      <c r="X2343" t="s">
        <v>42</v>
      </c>
      <c r="Y2343" t="s">
        <v>73</v>
      </c>
      <c r="Z2343">
        <v>5</v>
      </c>
      <c r="AA2343">
        <v>413.42</v>
      </c>
      <c r="AB2343">
        <v>73</v>
      </c>
    </row>
    <row r="2344" spans="1:28" x14ac:dyDescent="0.2">
      <c r="A2344">
        <v>2871</v>
      </c>
      <c r="B2344" s="1">
        <v>44631</v>
      </c>
      <c r="C2344" t="s">
        <v>28</v>
      </c>
      <c r="D2344" t="s">
        <v>81</v>
      </c>
      <c r="E2344" t="s">
        <v>30</v>
      </c>
      <c r="F2344" t="s">
        <v>31</v>
      </c>
      <c r="G2344" t="s">
        <v>45</v>
      </c>
      <c r="H2344" t="s">
        <v>46</v>
      </c>
      <c r="I2344" t="s">
        <v>34</v>
      </c>
      <c r="J2344" t="s">
        <v>102</v>
      </c>
      <c r="K2344" s="2">
        <v>19476</v>
      </c>
      <c r="L2344" t="s">
        <v>36</v>
      </c>
      <c r="M2344" t="s">
        <v>48</v>
      </c>
      <c r="N2344" t="s">
        <v>49</v>
      </c>
      <c r="O2344" t="s">
        <v>77</v>
      </c>
      <c r="P2344" t="s">
        <v>40</v>
      </c>
      <c r="Q2344">
        <v>5</v>
      </c>
      <c r="R2344" s="2">
        <v>45077</v>
      </c>
      <c r="S2344">
        <v>2</v>
      </c>
      <c r="T2344">
        <v>5</v>
      </c>
      <c r="U2344">
        <v>2</v>
      </c>
      <c r="V2344" s="1">
        <v>44850</v>
      </c>
      <c r="W2344" t="s">
        <v>92</v>
      </c>
      <c r="X2344" t="s">
        <v>51</v>
      </c>
      <c r="Y2344" t="s">
        <v>52</v>
      </c>
      <c r="Z2344">
        <v>5</v>
      </c>
      <c r="AA2344">
        <v>900.02</v>
      </c>
      <c r="AB2344">
        <v>69</v>
      </c>
    </row>
    <row r="2345" spans="1:28" x14ac:dyDescent="0.2">
      <c r="A2345">
        <v>2872</v>
      </c>
      <c r="B2345" s="1">
        <v>44011</v>
      </c>
      <c r="C2345" t="s">
        <v>28</v>
      </c>
      <c r="D2345" t="s">
        <v>54</v>
      </c>
      <c r="E2345" t="s">
        <v>30</v>
      </c>
      <c r="F2345" t="s">
        <v>31</v>
      </c>
      <c r="G2345" t="s">
        <v>56</v>
      </c>
      <c r="H2345" t="s">
        <v>55</v>
      </c>
      <c r="I2345" t="s">
        <v>34</v>
      </c>
      <c r="J2345" t="s">
        <v>101</v>
      </c>
      <c r="K2345" s="2">
        <v>24809</v>
      </c>
      <c r="L2345" t="s">
        <v>36</v>
      </c>
      <c r="M2345" t="s">
        <v>48</v>
      </c>
      <c r="N2345" t="s">
        <v>49</v>
      </c>
      <c r="O2345" t="s">
        <v>67</v>
      </c>
      <c r="P2345" t="s">
        <v>40</v>
      </c>
      <c r="Q2345">
        <v>2</v>
      </c>
      <c r="R2345" s="2">
        <v>45085</v>
      </c>
      <c r="S2345">
        <v>3</v>
      </c>
      <c r="T2345">
        <v>5</v>
      </c>
      <c r="U2345">
        <v>1</v>
      </c>
      <c r="V2345" s="1">
        <v>45005</v>
      </c>
      <c r="W2345" t="s">
        <v>92</v>
      </c>
      <c r="X2345" t="s">
        <v>42</v>
      </c>
      <c r="Y2345" t="s">
        <v>73</v>
      </c>
      <c r="Z2345">
        <v>3</v>
      </c>
      <c r="AA2345">
        <v>573.84</v>
      </c>
      <c r="AB2345">
        <v>53</v>
      </c>
    </row>
    <row r="2346" spans="1:28" x14ac:dyDescent="0.2">
      <c r="A2346">
        <v>2873</v>
      </c>
      <c r="B2346" s="1">
        <v>44648</v>
      </c>
      <c r="C2346" t="s">
        <v>28</v>
      </c>
      <c r="D2346" t="s">
        <v>69</v>
      </c>
      <c r="E2346" t="s">
        <v>30</v>
      </c>
      <c r="F2346" t="s">
        <v>46</v>
      </c>
      <c r="G2346" t="s">
        <v>45</v>
      </c>
      <c r="H2346" t="s">
        <v>55</v>
      </c>
      <c r="I2346" t="s">
        <v>34</v>
      </c>
      <c r="J2346" t="s">
        <v>70</v>
      </c>
      <c r="K2346" s="2">
        <v>36050</v>
      </c>
      <c r="L2346" t="s">
        <v>36</v>
      </c>
      <c r="M2346" t="s">
        <v>48</v>
      </c>
      <c r="N2346" t="s">
        <v>49</v>
      </c>
      <c r="O2346" t="s">
        <v>77</v>
      </c>
      <c r="P2346" t="s">
        <v>40</v>
      </c>
      <c r="Q2346">
        <v>4</v>
      </c>
      <c r="R2346" s="2">
        <v>44910</v>
      </c>
      <c r="S2346">
        <v>4</v>
      </c>
      <c r="T2346">
        <v>2</v>
      </c>
      <c r="U2346">
        <v>3</v>
      </c>
      <c r="V2346" s="1">
        <v>45082</v>
      </c>
      <c r="W2346" t="s">
        <v>62</v>
      </c>
      <c r="X2346" t="s">
        <v>42</v>
      </c>
      <c r="Y2346" t="s">
        <v>43</v>
      </c>
      <c r="Z2346">
        <v>2</v>
      </c>
      <c r="AA2346">
        <v>801.16</v>
      </c>
      <c r="AB2346">
        <v>24</v>
      </c>
    </row>
    <row r="2347" spans="1:28" x14ac:dyDescent="0.2">
      <c r="A2347">
        <v>2874</v>
      </c>
      <c r="B2347" s="1">
        <v>44606</v>
      </c>
      <c r="C2347" t="s">
        <v>28</v>
      </c>
      <c r="D2347" t="s">
        <v>29</v>
      </c>
      <c r="E2347" t="s">
        <v>30</v>
      </c>
      <c r="F2347" t="s">
        <v>46</v>
      </c>
      <c r="G2347" t="s">
        <v>45</v>
      </c>
      <c r="H2347" t="s">
        <v>55</v>
      </c>
      <c r="I2347" t="s">
        <v>34</v>
      </c>
      <c r="J2347" t="s">
        <v>97</v>
      </c>
      <c r="K2347" s="2">
        <v>19705</v>
      </c>
      <c r="L2347" t="s">
        <v>36</v>
      </c>
      <c r="M2347" t="s">
        <v>48</v>
      </c>
      <c r="N2347" t="s">
        <v>38</v>
      </c>
      <c r="O2347" t="s">
        <v>77</v>
      </c>
      <c r="P2347" t="s">
        <v>40</v>
      </c>
      <c r="Q2347">
        <v>1</v>
      </c>
      <c r="R2347" s="2">
        <v>44999</v>
      </c>
      <c r="S2347">
        <v>3</v>
      </c>
      <c r="T2347">
        <v>5</v>
      </c>
      <c r="U2347">
        <v>1</v>
      </c>
      <c r="V2347" s="1">
        <v>44831</v>
      </c>
      <c r="W2347" t="s">
        <v>62</v>
      </c>
      <c r="X2347" t="s">
        <v>42</v>
      </c>
      <c r="Y2347" t="s">
        <v>73</v>
      </c>
      <c r="Z2347">
        <v>5</v>
      </c>
      <c r="AA2347">
        <v>107.25</v>
      </c>
      <c r="AB2347">
        <v>69</v>
      </c>
    </row>
    <row r="2348" spans="1:28" x14ac:dyDescent="0.2">
      <c r="A2348">
        <v>2875</v>
      </c>
      <c r="B2348" s="1">
        <v>44190</v>
      </c>
      <c r="C2348" t="s">
        <v>28</v>
      </c>
      <c r="D2348" t="s">
        <v>85</v>
      </c>
      <c r="E2348" t="s">
        <v>30</v>
      </c>
      <c r="F2348" t="s">
        <v>55</v>
      </c>
      <c r="G2348" t="s">
        <v>32</v>
      </c>
      <c r="H2348" t="s">
        <v>33</v>
      </c>
      <c r="I2348" t="s">
        <v>34</v>
      </c>
      <c r="J2348" t="s">
        <v>65</v>
      </c>
      <c r="K2348" s="2">
        <v>29740</v>
      </c>
      <c r="L2348" t="s">
        <v>36</v>
      </c>
      <c r="M2348" t="s">
        <v>37</v>
      </c>
      <c r="N2348" t="s">
        <v>72</v>
      </c>
      <c r="O2348" t="s">
        <v>77</v>
      </c>
      <c r="P2348" t="s">
        <v>40</v>
      </c>
      <c r="Q2348">
        <v>4</v>
      </c>
      <c r="R2348" s="2">
        <v>45089</v>
      </c>
      <c r="S2348">
        <v>3</v>
      </c>
      <c r="T2348">
        <v>5</v>
      </c>
      <c r="U2348">
        <v>4</v>
      </c>
      <c r="V2348" s="1">
        <v>44821</v>
      </c>
      <c r="W2348" t="s">
        <v>62</v>
      </c>
      <c r="X2348" t="s">
        <v>51</v>
      </c>
      <c r="Y2348" t="s">
        <v>52</v>
      </c>
      <c r="Z2348">
        <v>1</v>
      </c>
      <c r="AA2348">
        <v>892.56</v>
      </c>
      <c r="AB2348">
        <v>39</v>
      </c>
    </row>
    <row r="2349" spans="1:28" x14ac:dyDescent="0.2">
      <c r="A2349">
        <v>2876</v>
      </c>
      <c r="B2349" s="1">
        <v>45043</v>
      </c>
      <c r="C2349" t="s">
        <v>28</v>
      </c>
      <c r="D2349" t="s">
        <v>44</v>
      </c>
      <c r="E2349" t="s">
        <v>30</v>
      </c>
      <c r="F2349" t="s">
        <v>46</v>
      </c>
      <c r="G2349" t="s">
        <v>45</v>
      </c>
      <c r="H2349" t="s">
        <v>33</v>
      </c>
      <c r="I2349" t="s">
        <v>34</v>
      </c>
      <c r="J2349" t="s">
        <v>70</v>
      </c>
      <c r="K2349" s="2">
        <v>20919</v>
      </c>
      <c r="L2349" t="s">
        <v>36</v>
      </c>
      <c r="M2349" t="s">
        <v>37</v>
      </c>
      <c r="N2349" t="s">
        <v>84</v>
      </c>
      <c r="O2349" t="s">
        <v>77</v>
      </c>
      <c r="P2349" t="s">
        <v>40</v>
      </c>
      <c r="Q2349">
        <v>4</v>
      </c>
      <c r="R2349" s="2">
        <v>44916</v>
      </c>
      <c r="S2349">
        <v>3</v>
      </c>
      <c r="T2349">
        <v>3</v>
      </c>
      <c r="U2349">
        <v>2</v>
      </c>
      <c r="V2349" s="1">
        <v>45112</v>
      </c>
      <c r="W2349" t="s">
        <v>62</v>
      </c>
      <c r="X2349" t="s">
        <v>51</v>
      </c>
      <c r="Y2349" t="s">
        <v>43</v>
      </c>
      <c r="Z2349">
        <v>1</v>
      </c>
      <c r="AA2349">
        <v>429.89</v>
      </c>
      <c r="AB2349">
        <v>66</v>
      </c>
    </row>
    <row r="2350" spans="1:28" x14ac:dyDescent="0.2">
      <c r="A2350">
        <v>2877</v>
      </c>
      <c r="B2350" s="1">
        <v>44876</v>
      </c>
      <c r="C2350" t="s">
        <v>28</v>
      </c>
      <c r="D2350" t="s">
        <v>87</v>
      </c>
      <c r="E2350" t="s">
        <v>30</v>
      </c>
      <c r="F2350" t="s">
        <v>31</v>
      </c>
      <c r="G2350" t="s">
        <v>56</v>
      </c>
      <c r="H2350" t="s">
        <v>46</v>
      </c>
      <c r="I2350" t="s">
        <v>34</v>
      </c>
      <c r="J2350" t="s">
        <v>96</v>
      </c>
      <c r="K2350" s="2">
        <v>16434</v>
      </c>
      <c r="L2350" t="s">
        <v>36</v>
      </c>
      <c r="M2350" t="s">
        <v>37</v>
      </c>
      <c r="N2350" t="s">
        <v>84</v>
      </c>
      <c r="O2350" t="s">
        <v>39</v>
      </c>
      <c r="P2350" t="s">
        <v>40</v>
      </c>
      <c r="Q2350">
        <v>2</v>
      </c>
      <c r="R2350" s="2">
        <v>44987</v>
      </c>
      <c r="S2350">
        <v>2</v>
      </c>
      <c r="T2350">
        <v>4</v>
      </c>
      <c r="U2350">
        <v>1</v>
      </c>
      <c r="V2350" s="1">
        <v>44905</v>
      </c>
      <c r="W2350" t="s">
        <v>50</v>
      </c>
      <c r="X2350" t="s">
        <v>42</v>
      </c>
      <c r="Y2350" t="s">
        <v>43</v>
      </c>
      <c r="Z2350">
        <v>4</v>
      </c>
      <c r="AA2350">
        <v>664.5</v>
      </c>
      <c r="AB2350">
        <v>78</v>
      </c>
    </row>
    <row r="2351" spans="1:28" x14ac:dyDescent="0.2">
      <c r="A2351">
        <v>2878</v>
      </c>
      <c r="B2351" s="1">
        <v>44320</v>
      </c>
      <c r="C2351" t="s">
        <v>28</v>
      </c>
      <c r="D2351" t="s">
        <v>64</v>
      </c>
      <c r="E2351" t="s">
        <v>30</v>
      </c>
      <c r="F2351" t="s">
        <v>46</v>
      </c>
      <c r="G2351" t="s">
        <v>45</v>
      </c>
      <c r="H2351" t="s">
        <v>46</v>
      </c>
      <c r="I2351" t="s">
        <v>34</v>
      </c>
      <c r="J2351" t="s">
        <v>58</v>
      </c>
      <c r="K2351" s="2">
        <v>21043</v>
      </c>
      <c r="L2351" t="s">
        <v>36</v>
      </c>
      <c r="M2351" t="s">
        <v>48</v>
      </c>
      <c r="N2351" t="s">
        <v>72</v>
      </c>
      <c r="O2351" t="s">
        <v>67</v>
      </c>
      <c r="P2351" t="s">
        <v>40</v>
      </c>
      <c r="Q2351">
        <v>2</v>
      </c>
      <c r="R2351" s="2">
        <v>44904</v>
      </c>
      <c r="S2351">
        <v>2</v>
      </c>
      <c r="T2351">
        <v>3</v>
      </c>
      <c r="U2351">
        <v>3</v>
      </c>
      <c r="V2351" s="1">
        <v>44896</v>
      </c>
      <c r="W2351" t="s">
        <v>62</v>
      </c>
      <c r="X2351" t="s">
        <v>42</v>
      </c>
      <c r="Y2351" t="s">
        <v>52</v>
      </c>
      <c r="Z2351">
        <v>5</v>
      </c>
      <c r="AA2351">
        <v>925.8</v>
      </c>
      <c r="AB2351">
        <v>64</v>
      </c>
    </row>
    <row r="2352" spans="1:28" x14ac:dyDescent="0.2">
      <c r="A2352">
        <v>2879</v>
      </c>
      <c r="B2352" s="1">
        <v>43454</v>
      </c>
      <c r="C2352" t="s">
        <v>28</v>
      </c>
      <c r="D2352" t="s">
        <v>94</v>
      </c>
      <c r="E2352" t="s">
        <v>30</v>
      </c>
      <c r="F2352" t="s">
        <v>55</v>
      </c>
      <c r="G2352" t="s">
        <v>45</v>
      </c>
      <c r="H2352" t="s">
        <v>55</v>
      </c>
      <c r="I2352" t="s">
        <v>34</v>
      </c>
      <c r="J2352" t="s">
        <v>82</v>
      </c>
      <c r="K2352" s="2">
        <v>22965</v>
      </c>
      <c r="L2352" t="s">
        <v>36</v>
      </c>
      <c r="M2352" t="s">
        <v>48</v>
      </c>
      <c r="N2352" t="s">
        <v>72</v>
      </c>
      <c r="O2352" t="s">
        <v>67</v>
      </c>
      <c r="P2352" t="s">
        <v>40</v>
      </c>
      <c r="Q2352">
        <v>2</v>
      </c>
      <c r="R2352" s="2">
        <v>44933</v>
      </c>
      <c r="S2352">
        <v>1</v>
      </c>
      <c r="T2352">
        <v>5</v>
      </c>
      <c r="U2352">
        <v>2</v>
      </c>
      <c r="V2352" s="1">
        <v>45092</v>
      </c>
      <c r="W2352" t="s">
        <v>50</v>
      </c>
      <c r="X2352" t="s">
        <v>51</v>
      </c>
      <c r="Y2352" t="s">
        <v>43</v>
      </c>
      <c r="Z2352">
        <v>3</v>
      </c>
      <c r="AA2352">
        <v>118.94</v>
      </c>
      <c r="AB2352">
        <v>56</v>
      </c>
    </row>
    <row r="2353" spans="1:28" x14ac:dyDescent="0.2">
      <c r="A2353">
        <v>2880</v>
      </c>
      <c r="B2353" s="1">
        <v>44358</v>
      </c>
      <c r="C2353" t="s">
        <v>28</v>
      </c>
      <c r="D2353" t="s">
        <v>74</v>
      </c>
      <c r="E2353" t="s">
        <v>30</v>
      </c>
      <c r="F2353" t="s">
        <v>31</v>
      </c>
      <c r="G2353" t="s">
        <v>45</v>
      </c>
      <c r="H2353" t="s">
        <v>33</v>
      </c>
      <c r="I2353" t="s">
        <v>34</v>
      </c>
      <c r="J2353" t="s">
        <v>65</v>
      </c>
      <c r="K2353" s="2">
        <v>36759</v>
      </c>
      <c r="L2353" t="s">
        <v>36</v>
      </c>
      <c r="M2353" t="s">
        <v>37</v>
      </c>
      <c r="N2353" t="s">
        <v>72</v>
      </c>
      <c r="O2353" t="s">
        <v>61</v>
      </c>
      <c r="P2353" t="s">
        <v>40</v>
      </c>
      <c r="Q2353">
        <v>4</v>
      </c>
      <c r="R2353" s="2">
        <v>44939</v>
      </c>
      <c r="S2353">
        <v>1</v>
      </c>
      <c r="T2353">
        <v>1</v>
      </c>
      <c r="U2353">
        <v>2</v>
      </c>
      <c r="V2353" s="1">
        <v>44972</v>
      </c>
      <c r="W2353" t="s">
        <v>62</v>
      </c>
      <c r="X2353" t="s">
        <v>42</v>
      </c>
      <c r="Y2353" t="s">
        <v>43</v>
      </c>
      <c r="Z2353">
        <v>4</v>
      </c>
      <c r="AA2353">
        <v>932.34</v>
      </c>
      <c r="AB2353">
        <v>21</v>
      </c>
    </row>
    <row r="2354" spans="1:28" x14ac:dyDescent="0.2">
      <c r="A2354">
        <v>2881</v>
      </c>
      <c r="B2354" s="1">
        <v>45084</v>
      </c>
      <c r="C2354" t="s">
        <v>28</v>
      </c>
      <c r="D2354" t="s">
        <v>81</v>
      </c>
      <c r="E2354" t="s">
        <v>30</v>
      </c>
      <c r="F2354" t="s">
        <v>31</v>
      </c>
      <c r="G2354" t="s">
        <v>56</v>
      </c>
      <c r="H2354" t="s">
        <v>55</v>
      </c>
      <c r="I2354" t="s">
        <v>34</v>
      </c>
      <c r="J2354" t="s">
        <v>70</v>
      </c>
      <c r="K2354" s="2">
        <v>20567</v>
      </c>
      <c r="L2354" t="s">
        <v>36</v>
      </c>
      <c r="M2354" t="s">
        <v>48</v>
      </c>
      <c r="N2354" t="s">
        <v>84</v>
      </c>
      <c r="O2354" t="s">
        <v>77</v>
      </c>
      <c r="P2354" t="s">
        <v>40</v>
      </c>
      <c r="Q2354">
        <v>4</v>
      </c>
      <c r="R2354" s="2">
        <v>44854</v>
      </c>
      <c r="S2354">
        <v>5</v>
      </c>
      <c r="T2354">
        <v>4</v>
      </c>
      <c r="U2354">
        <v>1</v>
      </c>
      <c r="V2354" s="1">
        <v>45064</v>
      </c>
      <c r="W2354" t="s">
        <v>41</v>
      </c>
      <c r="X2354" t="s">
        <v>51</v>
      </c>
      <c r="Y2354" t="s">
        <v>52</v>
      </c>
      <c r="Z2354">
        <v>1</v>
      </c>
      <c r="AA2354">
        <v>624.59</v>
      </c>
      <c r="AB2354">
        <v>67</v>
      </c>
    </row>
    <row r="2355" spans="1:28" x14ac:dyDescent="0.2">
      <c r="A2355">
        <v>2882</v>
      </c>
      <c r="B2355" s="1">
        <v>43606</v>
      </c>
      <c r="C2355" t="s">
        <v>28</v>
      </c>
      <c r="D2355" t="s">
        <v>54</v>
      </c>
      <c r="E2355" t="s">
        <v>108</v>
      </c>
      <c r="F2355" t="s">
        <v>46</v>
      </c>
      <c r="G2355" t="s">
        <v>56</v>
      </c>
      <c r="H2355" t="s">
        <v>55</v>
      </c>
      <c r="I2355" t="s">
        <v>34</v>
      </c>
      <c r="J2355" t="s">
        <v>100</v>
      </c>
      <c r="K2355" s="2">
        <v>28823</v>
      </c>
      <c r="L2355" t="s">
        <v>36</v>
      </c>
      <c r="M2355" t="s">
        <v>48</v>
      </c>
      <c r="N2355" t="s">
        <v>84</v>
      </c>
      <c r="O2355" t="s">
        <v>39</v>
      </c>
      <c r="P2355" t="s">
        <v>40</v>
      </c>
      <c r="Q2355">
        <v>4</v>
      </c>
      <c r="R2355" s="2">
        <v>44936</v>
      </c>
      <c r="S2355">
        <v>3</v>
      </c>
      <c r="T2355">
        <v>2</v>
      </c>
      <c r="U2355">
        <v>5</v>
      </c>
      <c r="V2355" s="1">
        <v>45037</v>
      </c>
      <c r="W2355" t="s">
        <v>41</v>
      </c>
      <c r="X2355" t="s">
        <v>42</v>
      </c>
      <c r="Y2355" t="s">
        <v>43</v>
      </c>
      <c r="Z2355">
        <v>4</v>
      </c>
      <c r="AA2355">
        <v>835.35</v>
      </c>
      <c r="AB2355">
        <v>41</v>
      </c>
    </row>
    <row r="2356" spans="1:28" x14ac:dyDescent="0.2">
      <c r="A2356">
        <v>2883</v>
      </c>
      <c r="B2356" s="1">
        <v>43525</v>
      </c>
      <c r="C2356" t="s">
        <v>106</v>
      </c>
      <c r="D2356" t="s">
        <v>29</v>
      </c>
      <c r="E2356" t="s">
        <v>30</v>
      </c>
      <c r="F2356" t="s">
        <v>46</v>
      </c>
      <c r="G2356" t="s">
        <v>32</v>
      </c>
      <c r="H2356" t="s">
        <v>55</v>
      </c>
      <c r="I2356" t="s">
        <v>34</v>
      </c>
      <c r="J2356" t="s">
        <v>65</v>
      </c>
      <c r="K2356" s="2">
        <v>22099</v>
      </c>
      <c r="L2356" t="s">
        <v>36</v>
      </c>
      <c r="M2356" t="s">
        <v>48</v>
      </c>
      <c r="N2356" t="s">
        <v>49</v>
      </c>
      <c r="O2356" t="s">
        <v>67</v>
      </c>
      <c r="P2356" t="s">
        <v>40</v>
      </c>
      <c r="Q2356">
        <v>4</v>
      </c>
      <c r="R2356" s="2">
        <v>45091</v>
      </c>
      <c r="S2356">
        <v>4</v>
      </c>
      <c r="T2356">
        <v>3</v>
      </c>
      <c r="U2356">
        <v>4</v>
      </c>
      <c r="V2356" s="1">
        <v>45057</v>
      </c>
      <c r="W2356" t="s">
        <v>50</v>
      </c>
      <c r="X2356" t="s">
        <v>51</v>
      </c>
      <c r="Y2356" t="s">
        <v>63</v>
      </c>
      <c r="Z2356">
        <v>4</v>
      </c>
      <c r="AA2356">
        <v>597.63</v>
      </c>
      <c r="AB2356">
        <v>59</v>
      </c>
    </row>
    <row r="2357" spans="1:28" x14ac:dyDescent="0.2">
      <c r="A2357">
        <v>2884</v>
      </c>
      <c r="B2357" s="1">
        <v>44618</v>
      </c>
      <c r="C2357" t="s">
        <v>106</v>
      </c>
      <c r="D2357" t="s">
        <v>85</v>
      </c>
      <c r="E2357" t="s">
        <v>30</v>
      </c>
      <c r="F2357" t="s">
        <v>46</v>
      </c>
      <c r="G2357" t="s">
        <v>45</v>
      </c>
      <c r="H2357" t="s">
        <v>46</v>
      </c>
      <c r="I2357" t="s">
        <v>34</v>
      </c>
      <c r="J2357" t="s">
        <v>101</v>
      </c>
      <c r="K2357" s="2">
        <v>29112</v>
      </c>
      <c r="L2357" t="s">
        <v>36</v>
      </c>
      <c r="M2357" t="s">
        <v>48</v>
      </c>
      <c r="N2357" t="s">
        <v>60</v>
      </c>
      <c r="O2357" t="s">
        <v>67</v>
      </c>
      <c r="P2357" t="s">
        <v>40</v>
      </c>
      <c r="Q2357">
        <v>2</v>
      </c>
      <c r="R2357" s="2">
        <v>44781</v>
      </c>
      <c r="S2357">
        <v>3</v>
      </c>
      <c r="T2357">
        <v>2</v>
      </c>
      <c r="U2357">
        <v>4</v>
      </c>
      <c r="V2357" s="1">
        <v>45047</v>
      </c>
      <c r="W2357" t="s">
        <v>68</v>
      </c>
      <c r="X2357" t="s">
        <v>51</v>
      </c>
      <c r="Y2357" t="s">
        <v>73</v>
      </c>
      <c r="Z2357">
        <v>4</v>
      </c>
      <c r="AA2357">
        <v>974.28</v>
      </c>
      <c r="AB2357">
        <v>43</v>
      </c>
    </row>
    <row r="2358" spans="1:28" x14ac:dyDescent="0.2">
      <c r="A2358">
        <v>2886</v>
      </c>
      <c r="B2358" s="1">
        <v>44049</v>
      </c>
      <c r="C2358" t="s">
        <v>106</v>
      </c>
      <c r="D2358" t="s">
        <v>87</v>
      </c>
      <c r="E2358" t="s">
        <v>30</v>
      </c>
      <c r="F2358" t="s">
        <v>31</v>
      </c>
      <c r="G2358" t="s">
        <v>45</v>
      </c>
      <c r="H2358" t="s">
        <v>33</v>
      </c>
      <c r="I2358" t="s">
        <v>34</v>
      </c>
      <c r="J2358" t="s">
        <v>70</v>
      </c>
      <c r="K2358" s="2">
        <v>30619</v>
      </c>
      <c r="L2358" t="s">
        <v>36</v>
      </c>
      <c r="M2358" t="s">
        <v>48</v>
      </c>
      <c r="N2358" t="s">
        <v>84</v>
      </c>
      <c r="O2358" t="s">
        <v>67</v>
      </c>
      <c r="P2358" t="s">
        <v>40</v>
      </c>
      <c r="Q2358">
        <v>2</v>
      </c>
      <c r="R2358" s="2">
        <v>44974</v>
      </c>
      <c r="S2358">
        <v>5</v>
      </c>
      <c r="T2358">
        <v>5</v>
      </c>
      <c r="U2358">
        <v>1</v>
      </c>
      <c r="V2358" s="1">
        <v>45116</v>
      </c>
      <c r="W2358" t="s">
        <v>68</v>
      </c>
      <c r="X2358" t="s">
        <v>51</v>
      </c>
      <c r="Y2358" t="s">
        <v>52</v>
      </c>
      <c r="Z2358">
        <v>4</v>
      </c>
      <c r="AA2358">
        <v>263.04000000000002</v>
      </c>
      <c r="AB2358">
        <v>37</v>
      </c>
    </row>
    <row r="2359" spans="1:28" x14ac:dyDescent="0.2">
      <c r="A2359">
        <v>2887</v>
      </c>
      <c r="B2359" s="1">
        <v>43858</v>
      </c>
      <c r="C2359" t="s">
        <v>106</v>
      </c>
      <c r="D2359" t="s">
        <v>64</v>
      </c>
      <c r="E2359" t="s">
        <v>108</v>
      </c>
      <c r="F2359" t="s">
        <v>55</v>
      </c>
      <c r="G2359" t="s">
        <v>45</v>
      </c>
      <c r="H2359" t="s">
        <v>33</v>
      </c>
      <c r="I2359" t="s">
        <v>34</v>
      </c>
      <c r="J2359" t="s">
        <v>100</v>
      </c>
      <c r="K2359" s="2">
        <v>31894</v>
      </c>
      <c r="L2359" t="s">
        <v>36</v>
      </c>
      <c r="M2359" t="s">
        <v>37</v>
      </c>
      <c r="N2359" t="s">
        <v>72</v>
      </c>
      <c r="O2359" t="s">
        <v>67</v>
      </c>
      <c r="P2359" t="s">
        <v>40</v>
      </c>
      <c r="Q2359">
        <v>5</v>
      </c>
      <c r="R2359" s="2">
        <v>45101</v>
      </c>
      <c r="S2359">
        <v>5</v>
      </c>
      <c r="T2359">
        <v>1</v>
      </c>
      <c r="U2359">
        <v>1</v>
      </c>
      <c r="V2359" s="1">
        <v>45031</v>
      </c>
      <c r="W2359" t="s">
        <v>92</v>
      </c>
      <c r="X2359" t="s">
        <v>42</v>
      </c>
      <c r="Y2359" t="s">
        <v>63</v>
      </c>
      <c r="Z2359">
        <v>5</v>
      </c>
      <c r="AA2359">
        <v>411.52</v>
      </c>
      <c r="AB2359">
        <v>33</v>
      </c>
    </row>
    <row r="2360" spans="1:28" x14ac:dyDescent="0.2">
      <c r="A2360">
        <v>2890</v>
      </c>
      <c r="B2360" s="1">
        <v>44841</v>
      </c>
      <c r="C2360" t="s">
        <v>28</v>
      </c>
      <c r="D2360" t="s">
        <v>64</v>
      </c>
      <c r="E2360" t="s">
        <v>30</v>
      </c>
      <c r="F2360" t="s">
        <v>55</v>
      </c>
      <c r="G2360" t="s">
        <v>45</v>
      </c>
      <c r="H2360" t="s">
        <v>55</v>
      </c>
      <c r="I2360" t="s">
        <v>34</v>
      </c>
      <c r="J2360" t="s">
        <v>58</v>
      </c>
      <c r="K2360" s="2">
        <v>32344</v>
      </c>
      <c r="L2360" t="s">
        <v>36</v>
      </c>
      <c r="M2360" t="s">
        <v>48</v>
      </c>
      <c r="N2360" t="s">
        <v>72</v>
      </c>
      <c r="O2360" t="s">
        <v>61</v>
      </c>
      <c r="P2360" t="s">
        <v>40</v>
      </c>
      <c r="Q2360">
        <v>2</v>
      </c>
      <c r="R2360" s="2">
        <v>44943</v>
      </c>
      <c r="S2360">
        <v>3</v>
      </c>
      <c r="T2360">
        <v>5</v>
      </c>
      <c r="U2360">
        <v>5</v>
      </c>
      <c r="V2360" s="1">
        <v>44844</v>
      </c>
      <c r="W2360" t="s">
        <v>68</v>
      </c>
      <c r="X2360" t="s">
        <v>42</v>
      </c>
      <c r="Y2360" t="s">
        <v>63</v>
      </c>
      <c r="Z2360">
        <v>5</v>
      </c>
      <c r="AA2360">
        <v>838.84</v>
      </c>
      <c r="AB2360">
        <v>34</v>
      </c>
    </row>
    <row r="2361" spans="1:28" x14ac:dyDescent="0.2">
      <c r="A2361">
        <v>2891</v>
      </c>
      <c r="B2361" s="1">
        <v>44419</v>
      </c>
      <c r="C2361" t="s">
        <v>28</v>
      </c>
      <c r="D2361" t="s">
        <v>94</v>
      </c>
      <c r="E2361" t="s">
        <v>30</v>
      </c>
      <c r="F2361" t="s">
        <v>31</v>
      </c>
      <c r="G2361" t="s">
        <v>45</v>
      </c>
      <c r="H2361" t="s">
        <v>33</v>
      </c>
      <c r="I2361" t="s">
        <v>34</v>
      </c>
      <c r="J2361" t="s">
        <v>101</v>
      </c>
      <c r="K2361" s="2">
        <v>34927</v>
      </c>
      <c r="L2361" t="s">
        <v>36</v>
      </c>
      <c r="M2361" t="s">
        <v>48</v>
      </c>
      <c r="N2361" t="s">
        <v>72</v>
      </c>
      <c r="O2361" t="s">
        <v>39</v>
      </c>
      <c r="P2361" t="s">
        <v>40</v>
      </c>
      <c r="Q2361">
        <v>1</v>
      </c>
      <c r="R2361" s="2">
        <v>45073</v>
      </c>
      <c r="S2361">
        <v>5</v>
      </c>
      <c r="T2361">
        <v>2</v>
      </c>
      <c r="U2361">
        <v>3</v>
      </c>
      <c r="V2361" s="1">
        <v>44926</v>
      </c>
      <c r="W2361" t="s">
        <v>68</v>
      </c>
      <c r="X2361" t="s">
        <v>51</v>
      </c>
      <c r="Y2361" t="s">
        <v>52</v>
      </c>
      <c r="Z2361">
        <v>4</v>
      </c>
      <c r="AA2361">
        <v>767.51</v>
      </c>
      <c r="AB2361">
        <v>26</v>
      </c>
    </row>
    <row r="2362" spans="1:28" x14ac:dyDescent="0.2">
      <c r="A2362">
        <v>2892</v>
      </c>
      <c r="B2362" s="1">
        <v>44296</v>
      </c>
      <c r="C2362" t="s">
        <v>28</v>
      </c>
      <c r="D2362" t="s">
        <v>74</v>
      </c>
      <c r="E2362" t="s">
        <v>30</v>
      </c>
      <c r="F2362" t="s">
        <v>31</v>
      </c>
      <c r="G2362" t="s">
        <v>45</v>
      </c>
      <c r="H2362" t="s">
        <v>55</v>
      </c>
      <c r="I2362" t="s">
        <v>34</v>
      </c>
      <c r="J2362" t="s">
        <v>102</v>
      </c>
      <c r="K2362" s="2">
        <v>22256</v>
      </c>
      <c r="L2362" t="s">
        <v>36</v>
      </c>
      <c r="M2362" t="s">
        <v>48</v>
      </c>
      <c r="N2362" t="s">
        <v>49</v>
      </c>
      <c r="O2362" t="s">
        <v>77</v>
      </c>
      <c r="P2362" t="s">
        <v>40</v>
      </c>
      <c r="Q2362">
        <v>2</v>
      </c>
      <c r="R2362" s="2">
        <v>44962</v>
      </c>
      <c r="S2362">
        <v>2</v>
      </c>
      <c r="T2362">
        <v>1</v>
      </c>
      <c r="U2362">
        <v>5</v>
      </c>
      <c r="V2362" s="1">
        <v>44783</v>
      </c>
      <c r="W2362" t="s">
        <v>68</v>
      </c>
      <c r="X2362" t="s">
        <v>51</v>
      </c>
      <c r="Y2362" t="s">
        <v>73</v>
      </c>
      <c r="Z2362">
        <v>5</v>
      </c>
      <c r="AA2362">
        <v>990.52</v>
      </c>
      <c r="AB2362">
        <v>61</v>
      </c>
    </row>
    <row r="2363" spans="1:28" x14ac:dyDescent="0.2">
      <c r="A2363">
        <v>2893</v>
      </c>
      <c r="B2363" s="1">
        <v>44616</v>
      </c>
      <c r="C2363" t="s">
        <v>28</v>
      </c>
      <c r="D2363" t="s">
        <v>81</v>
      </c>
      <c r="E2363" t="s">
        <v>30</v>
      </c>
      <c r="F2363" t="s">
        <v>55</v>
      </c>
      <c r="G2363" t="s">
        <v>45</v>
      </c>
      <c r="H2363" t="s">
        <v>33</v>
      </c>
      <c r="I2363" t="s">
        <v>34</v>
      </c>
      <c r="J2363" t="s">
        <v>70</v>
      </c>
      <c r="K2363" s="2">
        <v>16462</v>
      </c>
      <c r="L2363" t="s">
        <v>36</v>
      </c>
      <c r="M2363" t="s">
        <v>48</v>
      </c>
      <c r="N2363" t="s">
        <v>38</v>
      </c>
      <c r="O2363" t="s">
        <v>77</v>
      </c>
      <c r="P2363" t="s">
        <v>40</v>
      </c>
      <c r="Q2363">
        <v>2</v>
      </c>
      <c r="R2363" s="2">
        <v>44848</v>
      </c>
      <c r="S2363">
        <v>3</v>
      </c>
      <c r="T2363">
        <v>1</v>
      </c>
      <c r="U2363">
        <v>1</v>
      </c>
      <c r="V2363" s="1">
        <v>45082</v>
      </c>
      <c r="W2363" t="s">
        <v>41</v>
      </c>
      <c r="X2363" t="s">
        <v>42</v>
      </c>
      <c r="Y2363" t="s">
        <v>63</v>
      </c>
      <c r="Z2363">
        <v>5</v>
      </c>
      <c r="AA2363">
        <v>205.24</v>
      </c>
      <c r="AB2363">
        <v>77</v>
      </c>
    </row>
    <row r="2364" spans="1:28" x14ac:dyDescent="0.2">
      <c r="A2364">
        <v>2894</v>
      </c>
      <c r="B2364" s="1">
        <v>44743</v>
      </c>
      <c r="C2364" t="s">
        <v>28</v>
      </c>
      <c r="D2364" t="s">
        <v>54</v>
      </c>
      <c r="E2364" t="s">
        <v>30</v>
      </c>
      <c r="F2364" t="s">
        <v>46</v>
      </c>
      <c r="G2364" t="s">
        <v>56</v>
      </c>
      <c r="H2364" t="s">
        <v>55</v>
      </c>
      <c r="I2364" t="s">
        <v>34</v>
      </c>
      <c r="J2364" t="s">
        <v>70</v>
      </c>
      <c r="K2364" s="2">
        <v>18101</v>
      </c>
      <c r="L2364" t="s">
        <v>36</v>
      </c>
      <c r="M2364" t="s">
        <v>48</v>
      </c>
      <c r="N2364" t="s">
        <v>38</v>
      </c>
      <c r="O2364" t="s">
        <v>61</v>
      </c>
      <c r="P2364" t="s">
        <v>40</v>
      </c>
      <c r="Q2364">
        <v>4</v>
      </c>
      <c r="R2364" s="2">
        <v>44946</v>
      </c>
      <c r="S2364">
        <v>1</v>
      </c>
      <c r="T2364">
        <v>4</v>
      </c>
      <c r="U2364">
        <v>4</v>
      </c>
      <c r="V2364" s="1">
        <v>45107</v>
      </c>
      <c r="W2364" t="s">
        <v>50</v>
      </c>
      <c r="X2364" t="s">
        <v>42</v>
      </c>
      <c r="Y2364" t="s">
        <v>63</v>
      </c>
      <c r="Z2364">
        <v>5</v>
      </c>
      <c r="AA2364">
        <v>203.06</v>
      </c>
      <c r="AB2364">
        <v>73</v>
      </c>
    </row>
    <row r="2365" spans="1:28" x14ac:dyDescent="0.2">
      <c r="A2365">
        <v>2895</v>
      </c>
      <c r="B2365" s="1">
        <v>45020</v>
      </c>
      <c r="C2365" t="s">
        <v>28</v>
      </c>
      <c r="D2365" t="s">
        <v>69</v>
      </c>
      <c r="E2365" t="s">
        <v>108</v>
      </c>
      <c r="F2365" t="s">
        <v>55</v>
      </c>
      <c r="G2365" t="s">
        <v>45</v>
      </c>
      <c r="H2365" t="s">
        <v>33</v>
      </c>
      <c r="I2365" t="s">
        <v>34</v>
      </c>
      <c r="J2365" t="s">
        <v>70</v>
      </c>
      <c r="K2365" s="2">
        <v>35896</v>
      </c>
      <c r="L2365" t="s">
        <v>36</v>
      </c>
      <c r="M2365" t="s">
        <v>48</v>
      </c>
      <c r="N2365" t="s">
        <v>84</v>
      </c>
      <c r="O2365" t="s">
        <v>67</v>
      </c>
      <c r="P2365" t="s">
        <v>40</v>
      </c>
      <c r="Q2365">
        <v>2</v>
      </c>
      <c r="R2365" s="2">
        <v>45077</v>
      </c>
      <c r="S2365">
        <v>1</v>
      </c>
      <c r="T2365">
        <v>2</v>
      </c>
      <c r="U2365">
        <v>5</v>
      </c>
      <c r="V2365" s="1">
        <v>44880</v>
      </c>
      <c r="W2365" t="s">
        <v>62</v>
      </c>
      <c r="X2365" t="s">
        <v>51</v>
      </c>
      <c r="Y2365" t="s">
        <v>52</v>
      </c>
      <c r="Z2365">
        <v>4</v>
      </c>
      <c r="AA2365">
        <v>555.6</v>
      </c>
      <c r="AB2365">
        <v>25</v>
      </c>
    </row>
    <row r="2366" spans="1:28" x14ac:dyDescent="0.2">
      <c r="A2366">
        <v>2896</v>
      </c>
      <c r="B2366" s="1">
        <v>44494</v>
      </c>
      <c r="C2366" t="s">
        <v>28</v>
      </c>
      <c r="D2366" t="s">
        <v>29</v>
      </c>
      <c r="E2366" t="s">
        <v>30</v>
      </c>
      <c r="F2366" t="s">
        <v>55</v>
      </c>
      <c r="G2366" t="s">
        <v>56</v>
      </c>
      <c r="H2366" t="s">
        <v>46</v>
      </c>
      <c r="I2366" t="s">
        <v>34</v>
      </c>
      <c r="J2366" t="s">
        <v>70</v>
      </c>
      <c r="K2366" s="2">
        <v>29187</v>
      </c>
      <c r="L2366" t="s">
        <v>36</v>
      </c>
      <c r="M2366" t="s">
        <v>48</v>
      </c>
      <c r="N2366" t="s">
        <v>60</v>
      </c>
      <c r="O2366" t="s">
        <v>77</v>
      </c>
      <c r="P2366" t="s">
        <v>40</v>
      </c>
      <c r="Q2366">
        <v>4</v>
      </c>
      <c r="R2366" s="2">
        <v>45108</v>
      </c>
      <c r="S2366">
        <v>5</v>
      </c>
      <c r="T2366">
        <v>4</v>
      </c>
      <c r="U2366">
        <v>1</v>
      </c>
      <c r="V2366" s="1">
        <v>45108</v>
      </c>
      <c r="W2366" t="s">
        <v>68</v>
      </c>
      <c r="X2366" t="s">
        <v>42</v>
      </c>
      <c r="Y2366" t="s">
        <v>73</v>
      </c>
      <c r="Z2366">
        <v>5</v>
      </c>
      <c r="AA2366">
        <v>794.92</v>
      </c>
      <c r="AB2366">
        <v>42</v>
      </c>
    </row>
    <row r="2367" spans="1:28" x14ac:dyDescent="0.2">
      <c r="A2367">
        <v>2897</v>
      </c>
      <c r="B2367" s="1">
        <v>44624</v>
      </c>
      <c r="C2367" t="s">
        <v>28</v>
      </c>
      <c r="D2367" t="s">
        <v>85</v>
      </c>
      <c r="E2367" t="s">
        <v>30</v>
      </c>
      <c r="F2367" t="s">
        <v>55</v>
      </c>
      <c r="G2367" t="s">
        <v>32</v>
      </c>
      <c r="H2367" t="s">
        <v>46</v>
      </c>
      <c r="I2367" t="s">
        <v>34</v>
      </c>
      <c r="J2367" t="s">
        <v>70</v>
      </c>
      <c r="K2367" s="2">
        <v>23172</v>
      </c>
      <c r="L2367" t="s">
        <v>36</v>
      </c>
      <c r="M2367" t="s">
        <v>37</v>
      </c>
      <c r="N2367" t="s">
        <v>49</v>
      </c>
      <c r="O2367" t="s">
        <v>39</v>
      </c>
      <c r="P2367" t="s">
        <v>40</v>
      </c>
      <c r="Q2367">
        <v>4</v>
      </c>
      <c r="R2367" s="2">
        <v>45020</v>
      </c>
      <c r="S2367">
        <v>3</v>
      </c>
      <c r="T2367">
        <v>5</v>
      </c>
      <c r="U2367">
        <v>2</v>
      </c>
      <c r="V2367" s="1">
        <v>44891</v>
      </c>
      <c r="W2367" t="s">
        <v>41</v>
      </c>
      <c r="X2367" t="s">
        <v>42</v>
      </c>
      <c r="Y2367" t="s">
        <v>73</v>
      </c>
      <c r="Z2367">
        <v>2</v>
      </c>
      <c r="AA2367">
        <v>926.17</v>
      </c>
      <c r="AB2367">
        <v>59</v>
      </c>
    </row>
    <row r="2368" spans="1:28" x14ac:dyDescent="0.2">
      <c r="A2368">
        <v>2898</v>
      </c>
      <c r="B2368" s="1">
        <v>43819</v>
      </c>
      <c r="C2368" t="s">
        <v>28</v>
      </c>
      <c r="D2368" t="s">
        <v>44</v>
      </c>
      <c r="E2368" t="s">
        <v>30</v>
      </c>
      <c r="F2368" t="s">
        <v>31</v>
      </c>
      <c r="G2368" t="s">
        <v>45</v>
      </c>
      <c r="H2368" t="s">
        <v>55</v>
      </c>
      <c r="I2368" t="s">
        <v>34</v>
      </c>
      <c r="J2368" t="s">
        <v>70</v>
      </c>
      <c r="K2368" s="2">
        <v>31786</v>
      </c>
      <c r="L2368" t="s">
        <v>36</v>
      </c>
      <c r="M2368" t="s">
        <v>37</v>
      </c>
      <c r="N2368" t="s">
        <v>60</v>
      </c>
      <c r="O2368" t="s">
        <v>61</v>
      </c>
      <c r="P2368" t="s">
        <v>40</v>
      </c>
      <c r="Q2368">
        <v>4</v>
      </c>
      <c r="R2368" s="2">
        <v>44885</v>
      </c>
      <c r="S2368">
        <v>1</v>
      </c>
      <c r="T2368">
        <v>4</v>
      </c>
      <c r="U2368">
        <v>3</v>
      </c>
      <c r="V2368" s="1">
        <v>45099</v>
      </c>
      <c r="W2368" t="s">
        <v>41</v>
      </c>
      <c r="X2368" t="s">
        <v>42</v>
      </c>
      <c r="Y2368" t="s">
        <v>63</v>
      </c>
      <c r="Z2368">
        <v>1</v>
      </c>
      <c r="AA2368">
        <v>832.37</v>
      </c>
      <c r="AB2368">
        <v>32</v>
      </c>
    </row>
    <row r="2369" spans="1:28" x14ac:dyDescent="0.2">
      <c r="A2369">
        <v>2899</v>
      </c>
      <c r="B2369" s="1">
        <v>44085</v>
      </c>
      <c r="C2369" t="s">
        <v>28</v>
      </c>
      <c r="D2369" t="s">
        <v>87</v>
      </c>
      <c r="E2369" t="s">
        <v>30</v>
      </c>
      <c r="F2369" t="s">
        <v>46</v>
      </c>
      <c r="G2369" t="s">
        <v>56</v>
      </c>
      <c r="H2369" t="s">
        <v>46</v>
      </c>
      <c r="I2369" t="s">
        <v>34</v>
      </c>
      <c r="J2369" t="s">
        <v>96</v>
      </c>
      <c r="K2369" s="2">
        <v>33723</v>
      </c>
      <c r="L2369" t="s">
        <v>36</v>
      </c>
      <c r="M2369" t="s">
        <v>48</v>
      </c>
      <c r="N2369" t="s">
        <v>60</v>
      </c>
      <c r="O2369" t="s">
        <v>61</v>
      </c>
      <c r="P2369" t="s">
        <v>40</v>
      </c>
      <c r="Q2369">
        <v>5</v>
      </c>
      <c r="R2369" s="2">
        <v>44858</v>
      </c>
      <c r="S2369">
        <v>1</v>
      </c>
      <c r="T2369">
        <v>5</v>
      </c>
      <c r="U2369">
        <v>3</v>
      </c>
      <c r="V2369" s="1">
        <v>45011</v>
      </c>
      <c r="W2369" t="s">
        <v>41</v>
      </c>
      <c r="X2369" t="s">
        <v>42</v>
      </c>
      <c r="Y2369" t="s">
        <v>63</v>
      </c>
      <c r="Z2369">
        <v>5</v>
      </c>
      <c r="AA2369">
        <v>128.80000000000001</v>
      </c>
      <c r="AB2369">
        <v>28</v>
      </c>
    </row>
    <row r="2370" spans="1:28" x14ac:dyDescent="0.2">
      <c r="A2370">
        <v>2900</v>
      </c>
      <c r="B2370" s="1">
        <v>44500</v>
      </c>
      <c r="C2370" t="s">
        <v>28</v>
      </c>
      <c r="D2370" t="s">
        <v>64</v>
      </c>
      <c r="E2370" t="s">
        <v>30</v>
      </c>
      <c r="F2370" t="s">
        <v>46</v>
      </c>
      <c r="G2370" t="s">
        <v>56</v>
      </c>
      <c r="H2370" t="s">
        <v>33</v>
      </c>
      <c r="I2370" t="s">
        <v>34</v>
      </c>
      <c r="J2370" t="s">
        <v>65</v>
      </c>
      <c r="K2370" s="2">
        <v>19268</v>
      </c>
      <c r="L2370" t="s">
        <v>36</v>
      </c>
      <c r="M2370" t="s">
        <v>48</v>
      </c>
      <c r="N2370" t="s">
        <v>38</v>
      </c>
      <c r="O2370" t="s">
        <v>39</v>
      </c>
      <c r="P2370" t="s">
        <v>78</v>
      </c>
      <c r="Q2370">
        <v>2</v>
      </c>
      <c r="R2370" s="2">
        <v>44863</v>
      </c>
      <c r="S2370">
        <v>1</v>
      </c>
      <c r="T2370">
        <v>4</v>
      </c>
      <c r="U2370">
        <v>1</v>
      </c>
      <c r="V2370" s="1">
        <v>44942</v>
      </c>
      <c r="W2370" t="s">
        <v>50</v>
      </c>
      <c r="X2370" t="s">
        <v>51</v>
      </c>
      <c r="Y2370" t="s">
        <v>73</v>
      </c>
      <c r="Z2370">
        <v>4</v>
      </c>
      <c r="AA2370">
        <v>255.02</v>
      </c>
      <c r="AB2370">
        <v>69</v>
      </c>
    </row>
    <row r="2371" spans="1:28" x14ac:dyDescent="0.2">
      <c r="A2371">
        <v>2901</v>
      </c>
      <c r="B2371" s="1">
        <v>43394</v>
      </c>
      <c r="C2371" t="s">
        <v>28</v>
      </c>
      <c r="D2371" t="s">
        <v>94</v>
      </c>
      <c r="E2371" t="s">
        <v>30</v>
      </c>
      <c r="F2371" t="s">
        <v>46</v>
      </c>
      <c r="G2371" t="s">
        <v>45</v>
      </c>
      <c r="H2371" t="s">
        <v>46</v>
      </c>
      <c r="I2371" t="s">
        <v>34</v>
      </c>
      <c r="J2371" t="s">
        <v>101</v>
      </c>
      <c r="K2371" s="2">
        <v>33593</v>
      </c>
      <c r="L2371" t="s">
        <v>36</v>
      </c>
      <c r="M2371" t="s">
        <v>37</v>
      </c>
      <c r="N2371" t="s">
        <v>38</v>
      </c>
      <c r="O2371" t="s">
        <v>61</v>
      </c>
      <c r="P2371" t="s">
        <v>40</v>
      </c>
      <c r="Q2371">
        <v>4</v>
      </c>
      <c r="R2371" s="2">
        <v>45066</v>
      </c>
      <c r="S2371">
        <v>1</v>
      </c>
      <c r="T2371">
        <v>4</v>
      </c>
      <c r="U2371">
        <v>5</v>
      </c>
      <c r="V2371" s="1">
        <v>45120</v>
      </c>
      <c r="W2371" t="s">
        <v>41</v>
      </c>
      <c r="X2371" t="s">
        <v>42</v>
      </c>
      <c r="Y2371" t="s">
        <v>52</v>
      </c>
      <c r="Z2371">
        <v>4</v>
      </c>
      <c r="AA2371">
        <v>674.34</v>
      </c>
      <c r="AB2371">
        <v>27</v>
      </c>
    </row>
    <row r="2372" spans="1:28" x14ac:dyDescent="0.2">
      <c r="A2372">
        <v>2902</v>
      </c>
      <c r="B2372" s="1">
        <v>44203</v>
      </c>
      <c r="C2372" t="s">
        <v>28</v>
      </c>
      <c r="D2372" t="s">
        <v>74</v>
      </c>
      <c r="E2372" t="s">
        <v>30</v>
      </c>
      <c r="F2372" t="s">
        <v>46</v>
      </c>
      <c r="G2372" t="s">
        <v>56</v>
      </c>
      <c r="H2372" t="s">
        <v>46</v>
      </c>
      <c r="I2372" t="s">
        <v>34</v>
      </c>
      <c r="J2372" t="s">
        <v>70</v>
      </c>
      <c r="K2372" s="2">
        <v>22351</v>
      </c>
      <c r="L2372" t="s">
        <v>36</v>
      </c>
      <c r="M2372" t="s">
        <v>37</v>
      </c>
      <c r="N2372" t="s">
        <v>72</v>
      </c>
      <c r="O2372" t="s">
        <v>39</v>
      </c>
      <c r="P2372" t="s">
        <v>40</v>
      </c>
      <c r="Q2372">
        <v>1</v>
      </c>
      <c r="R2372" s="2">
        <v>44857</v>
      </c>
      <c r="S2372">
        <v>5</v>
      </c>
      <c r="T2372">
        <v>4</v>
      </c>
      <c r="U2372">
        <v>3</v>
      </c>
      <c r="V2372" s="1">
        <v>45016</v>
      </c>
      <c r="W2372" t="s">
        <v>62</v>
      </c>
      <c r="X2372" t="s">
        <v>51</v>
      </c>
      <c r="Y2372" t="s">
        <v>52</v>
      </c>
      <c r="Z2372">
        <v>2</v>
      </c>
      <c r="AA2372">
        <v>778.36</v>
      </c>
      <c r="AB2372">
        <v>60</v>
      </c>
    </row>
    <row r="2373" spans="1:28" x14ac:dyDescent="0.2">
      <c r="A2373">
        <v>2903</v>
      </c>
      <c r="B2373" s="1">
        <v>44966</v>
      </c>
      <c r="C2373" t="s">
        <v>28</v>
      </c>
      <c r="D2373" t="s">
        <v>81</v>
      </c>
      <c r="E2373" t="s">
        <v>30</v>
      </c>
      <c r="F2373" t="s">
        <v>46</v>
      </c>
      <c r="G2373" t="s">
        <v>45</v>
      </c>
      <c r="H2373" t="s">
        <v>55</v>
      </c>
      <c r="I2373" t="s">
        <v>34</v>
      </c>
      <c r="J2373" t="s">
        <v>79</v>
      </c>
      <c r="K2373" s="2">
        <v>35852</v>
      </c>
      <c r="L2373" t="s">
        <v>36</v>
      </c>
      <c r="M2373" t="s">
        <v>48</v>
      </c>
      <c r="N2373" t="s">
        <v>84</v>
      </c>
      <c r="O2373" t="s">
        <v>61</v>
      </c>
      <c r="P2373" t="s">
        <v>98</v>
      </c>
      <c r="Q2373">
        <v>5</v>
      </c>
      <c r="R2373" s="2">
        <v>44782</v>
      </c>
      <c r="S2373">
        <v>3</v>
      </c>
      <c r="T2373">
        <v>3</v>
      </c>
      <c r="U2373">
        <v>5</v>
      </c>
      <c r="V2373" s="1">
        <v>45099</v>
      </c>
      <c r="W2373" t="s">
        <v>50</v>
      </c>
      <c r="X2373" t="s">
        <v>51</v>
      </c>
      <c r="Y2373" t="s">
        <v>43</v>
      </c>
      <c r="Z2373">
        <v>2</v>
      </c>
      <c r="AA2373">
        <v>906.63</v>
      </c>
      <c r="AB2373">
        <v>25</v>
      </c>
    </row>
    <row r="2374" spans="1:28" x14ac:dyDescent="0.2">
      <c r="A2374">
        <v>2904</v>
      </c>
      <c r="B2374" s="1">
        <v>43876</v>
      </c>
      <c r="C2374" t="s">
        <v>28</v>
      </c>
      <c r="D2374" t="s">
        <v>54</v>
      </c>
      <c r="E2374" t="s">
        <v>108</v>
      </c>
      <c r="F2374" t="s">
        <v>55</v>
      </c>
      <c r="G2374" t="s">
        <v>45</v>
      </c>
      <c r="H2374" t="s">
        <v>46</v>
      </c>
      <c r="I2374" t="s">
        <v>34</v>
      </c>
      <c r="J2374" t="s">
        <v>96</v>
      </c>
      <c r="K2374" s="2">
        <v>17080</v>
      </c>
      <c r="L2374" t="s">
        <v>36</v>
      </c>
      <c r="M2374" t="s">
        <v>37</v>
      </c>
      <c r="N2374" t="s">
        <v>60</v>
      </c>
      <c r="O2374" t="s">
        <v>39</v>
      </c>
      <c r="P2374" t="s">
        <v>78</v>
      </c>
      <c r="Q2374">
        <v>4</v>
      </c>
      <c r="R2374" s="2">
        <v>44800</v>
      </c>
      <c r="S2374">
        <v>4</v>
      </c>
      <c r="T2374">
        <v>2</v>
      </c>
      <c r="U2374">
        <v>4</v>
      </c>
      <c r="V2374" s="1">
        <v>45052</v>
      </c>
      <c r="W2374" t="s">
        <v>68</v>
      </c>
      <c r="X2374" t="s">
        <v>51</v>
      </c>
      <c r="Y2374" t="s">
        <v>43</v>
      </c>
      <c r="Z2374">
        <v>4</v>
      </c>
      <c r="AA2374">
        <v>986.01</v>
      </c>
      <c r="AB2374">
        <v>74</v>
      </c>
    </row>
    <row r="2375" spans="1:28" x14ac:dyDescent="0.2">
      <c r="A2375">
        <v>2905</v>
      </c>
      <c r="B2375" s="1">
        <v>44848</v>
      </c>
      <c r="C2375" t="s">
        <v>106</v>
      </c>
      <c r="D2375" t="s">
        <v>54</v>
      </c>
      <c r="E2375" t="s">
        <v>30</v>
      </c>
      <c r="F2375" t="s">
        <v>55</v>
      </c>
      <c r="G2375" t="s">
        <v>32</v>
      </c>
      <c r="H2375" t="s">
        <v>55</v>
      </c>
      <c r="I2375" t="s">
        <v>34</v>
      </c>
      <c r="J2375" t="s">
        <v>105</v>
      </c>
      <c r="K2375" s="2">
        <v>27003</v>
      </c>
      <c r="L2375" t="s">
        <v>36</v>
      </c>
      <c r="M2375" t="s">
        <v>48</v>
      </c>
      <c r="N2375" t="s">
        <v>84</v>
      </c>
      <c r="O2375" t="s">
        <v>77</v>
      </c>
      <c r="P2375" t="s">
        <v>40</v>
      </c>
      <c r="Q2375">
        <v>1</v>
      </c>
      <c r="R2375" s="2">
        <v>44814</v>
      </c>
      <c r="S2375">
        <v>2</v>
      </c>
      <c r="T2375">
        <v>5</v>
      </c>
      <c r="U2375">
        <v>1</v>
      </c>
      <c r="V2375" s="1">
        <v>44848</v>
      </c>
      <c r="W2375" t="s">
        <v>41</v>
      </c>
      <c r="X2375" t="s">
        <v>51</v>
      </c>
      <c r="Y2375" t="s">
        <v>73</v>
      </c>
      <c r="Z2375">
        <v>5</v>
      </c>
      <c r="AA2375">
        <v>846.88</v>
      </c>
      <c r="AB2375">
        <v>49</v>
      </c>
    </row>
    <row r="2376" spans="1:28" x14ac:dyDescent="0.2">
      <c r="A2376">
        <v>2906</v>
      </c>
      <c r="B2376" s="1">
        <v>43375</v>
      </c>
      <c r="C2376" t="s">
        <v>106</v>
      </c>
      <c r="D2376" t="s">
        <v>94</v>
      </c>
      <c r="E2376" t="s">
        <v>30</v>
      </c>
      <c r="F2376" t="s">
        <v>31</v>
      </c>
      <c r="G2376" t="s">
        <v>56</v>
      </c>
      <c r="H2376" t="s">
        <v>46</v>
      </c>
      <c r="I2376" t="s">
        <v>34</v>
      </c>
      <c r="J2376" t="s">
        <v>70</v>
      </c>
      <c r="K2376" s="2">
        <v>28897</v>
      </c>
      <c r="L2376" t="s">
        <v>36</v>
      </c>
      <c r="M2376" t="s">
        <v>48</v>
      </c>
      <c r="N2376" t="s">
        <v>84</v>
      </c>
      <c r="O2376" t="s">
        <v>77</v>
      </c>
      <c r="P2376" t="s">
        <v>98</v>
      </c>
      <c r="Q2376">
        <v>5</v>
      </c>
      <c r="R2376" s="2">
        <v>45122</v>
      </c>
      <c r="S2376">
        <v>2</v>
      </c>
      <c r="T2376">
        <v>5</v>
      </c>
      <c r="U2376">
        <v>4</v>
      </c>
      <c r="V2376" s="1">
        <v>44901</v>
      </c>
      <c r="W2376" t="s">
        <v>68</v>
      </c>
      <c r="X2376" t="s">
        <v>51</v>
      </c>
      <c r="Y2376" t="s">
        <v>52</v>
      </c>
      <c r="Z2376">
        <v>1</v>
      </c>
      <c r="AA2376">
        <v>998.74</v>
      </c>
      <c r="AB2376">
        <v>39</v>
      </c>
    </row>
    <row r="2377" spans="1:28" x14ac:dyDescent="0.2">
      <c r="A2377">
        <v>2907</v>
      </c>
      <c r="B2377" s="1">
        <v>44004</v>
      </c>
      <c r="C2377" t="s">
        <v>106</v>
      </c>
      <c r="D2377" t="s">
        <v>85</v>
      </c>
      <c r="E2377" t="s">
        <v>30</v>
      </c>
      <c r="F2377" t="s">
        <v>55</v>
      </c>
      <c r="G2377" t="s">
        <v>32</v>
      </c>
      <c r="H2377" t="s">
        <v>46</v>
      </c>
      <c r="I2377" t="s">
        <v>34</v>
      </c>
      <c r="J2377" t="s">
        <v>105</v>
      </c>
      <c r="K2377" s="2">
        <v>22709</v>
      </c>
      <c r="L2377" t="s">
        <v>36</v>
      </c>
      <c r="M2377" t="s">
        <v>48</v>
      </c>
      <c r="N2377" t="s">
        <v>38</v>
      </c>
      <c r="O2377" t="s">
        <v>39</v>
      </c>
      <c r="P2377" t="s">
        <v>98</v>
      </c>
      <c r="Q2377">
        <v>4</v>
      </c>
      <c r="R2377" s="2">
        <v>45000</v>
      </c>
      <c r="S2377">
        <v>1</v>
      </c>
      <c r="T2377">
        <v>4</v>
      </c>
      <c r="U2377">
        <v>5</v>
      </c>
      <c r="V2377" s="1">
        <v>44969</v>
      </c>
      <c r="W2377" t="s">
        <v>92</v>
      </c>
      <c r="X2377" t="s">
        <v>51</v>
      </c>
      <c r="Y2377" t="s">
        <v>63</v>
      </c>
      <c r="Z2377">
        <v>4</v>
      </c>
      <c r="AA2377">
        <v>510.69</v>
      </c>
      <c r="AB2377">
        <v>58</v>
      </c>
    </row>
    <row r="2378" spans="1:28" x14ac:dyDescent="0.2">
      <c r="A2378">
        <v>2908</v>
      </c>
      <c r="B2378" s="1">
        <v>44274</v>
      </c>
      <c r="C2378" t="s">
        <v>106</v>
      </c>
      <c r="D2378" t="s">
        <v>64</v>
      </c>
      <c r="E2378" t="s">
        <v>30</v>
      </c>
      <c r="F2378" t="s">
        <v>31</v>
      </c>
      <c r="G2378" t="s">
        <v>32</v>
      </c>
      <c r="H2378" t="s">
        <v>33</v>
      </c>
      <c r="I2378" t="s">
        <v>34</v>
      </c>
      <c r="J2378" t="s">
        <v>96</v>
      </c>
      <c r="K2378" s="2">
        <v>29317</v>
      </c>
      <c r="L2378" t="s">
        <v>36</v>
      </c>
      <c r="M2378" t="s">
        <v>48</v>
      </c>
      <c r="N2378" t="s">
        <v>84</v>
      </c>
      <c r="O2378" t="s">
        <v>61</v>
      </c>
      <c r="P2378" t="s">
        <v>78</v>
      </c>
      <c r="Q2378">
        <v>1</v>
      </c>
      <c r="R2378" s="2">
        <v>45060</v>
      </c>
      <c r="S2378">
        <v>4</v>
      </c>
      <c r="T2378">
        <v>2</v>
      </c>
      <c r="U2378">
        <v>5</v>
      </c>
      <c r="V2378" s="1">
        <v>44893</v>
      </c>
      <c r="W2378" t="s">
        <v>41</v>
      </c>
      <c r="X2378" t="s">
        <v>51</v>
      </c>
      <c r="Y2378" t="s">
        <v>73</v>
      </c>
      <c r="Z2378">
        <v>1</v>
      </c>
      <c r="AA2378">
        <v>100.55</v>
      </c>
      <c r="AB2378">
        <v>41</v>
      </c>
    </row>
    <row r="2379" spans="1:28" x14ac:dyDescent="0.2">
      <c r="A2379">
        <v>2909</v>
      </c>
      <c r="B2379" s="1">
        <v>43552</v>
      </c>
      <c r="C2379" t="s">
        <v>106</v>
      </c>
      <c r="D2379" t="s">
        <v>74</v>
      </c>
      <c r="E2379" t="s">
        <v>30</v>
      </c>
      <c r="F2379" t="s">
        <v>55</v>
      </c>
      <c r="G2379" t="s">
        <v>32</v>
      </c>
      <c r="H2379" t="s">
        <v>46</v>
      </c>
      <c r="I2379" t="s">
        <v>34</v>
      </c>
      <c r="J2379" t="s">
        <v>70</v>
      </c>
      <c r="K2379" s="2">
        <v>15251</v>
      </c>
      <c r="L2379" t="s">
        <v>36</v>
      </c>
      <c r="M2379" t="s">
        <v>37</v>
      </c>
      <c r="N2379" t="s">
        <v>49</v>
      </c>
      <c r="O2379" t="s">
        <v>61</v>
      </c>
      <c r="P2379" t="s">
        <v>98</v>
      </c>
      <c r="Q2379">
        <v>1</v>
      </c>
      <c r="R2379" s="2">
        <v>44970</v>
      </c>
      <c r="S2379">
        <v>2</v>
      </c>
      <c r="T2379">
        <v>4</v>
      </c>
      <c r="U2379">
        <v>4</v>
      </c>
      <c r="V2379" s="1">
        <v>45058</v>
      </c>
      <c r="W2379" t="s">
        <v>68</v>
      </c>
      <c r="X2379" t="s">
        <v>42</v>
      </c>
      <c r="Y2379" t="s">
        <v>73</v>
      </c>
      <c r="Z2379">
        <v>4</v>
      </c>
      <c r="AA2379">
        <v>818.39</v>
      </c>
      <c r="AB2379">
        <v>78</v>
      </c>
    </row>
    <row r="2380" spans="1:28" x14ac:dyDescent="0.2">
      <c r="A2380">
        <v>2910</v>
      </c>
      <c r="B2380" s="1">
        <v>44682</v>
      </c>
      <c r="C2380" t="s">
        <v>106</v>
      </c>
      <c r="D2380" t="s">
        <v>69</v>
      </c>
      <c r="E2380" t="s">
        <v>30</v>
      </c>
      <c r="F2380" t="s">
        <v>46</v>
      </c>
      <c r="G2380" t="s">
        <v>45</v>
      </c>
      <c r="H2380" t="s">
        <v>55</v>
      </c>
      <c r="I2380" t="s">
        <v>34</v>
      </c>
      <c r="J2380" t="s">
        <v>70</v>
      </c>
      <c r="K2380" s="2">
        <v>16812</v>
      </c>
      <c r="L2380" t="s">
        <v>36</v>
      </c>
      <c r="M2380" t="s">
        <v>37</v>
      </c>
      <c r="N2380" t="s">
        <v>38</v>
      </c>
      <c r="O2380" t="s">
        <v>77</v>
      </c>
      <c r="P2380" t="s">
        <v>78</v>
      </c>
      <c r="Q2380">
        <v>1</v>
      </c>
      <c r="R2380" s="2">
        <v>45051</v>
      </c>
      <c r="S2380">
        <v>5</v>
      </c>
      <c r="T2380">
        <v>1</v>
      </c>
      <c r="U2380">
        <v>3</v>
      </c>
      <c r="V2380" s="1">
        <v>44823</v>
      </c>
      <c r="W2380" t="s">
        <v>68</v>
      </c>
      <c r="X2380" t="s">
        <v>42</v>
      </c>
      <c r="Y2380" t="s">
        <v>52</v>
      </c>
      <c r="Z2380">
        <v>1</v>
      </c>
      <c r="AA2380">
        <v>763.78</v>
      </c>
      <c r="AB2380">
        <v>76</v>
      </c>
    </row>
    <row r="2381" spans="1:28" x14ac:dyDescent="0.2">
      <c r="A2381">
        <v>2911</v>
      </c>
      <c r="B2381" s="1">
        <v>43319</v>
      </c>
      <c r="C2381" t="s">
        <v>28</v>
      </c>
      <c r="D2381" t="s">
        <v>64</v>
      </c>
      <c r="E2381" t="s">
        <v>30</v>
      </c>
      <c r="F2381" t="s">
        <v>46</v>
      </c>
      <c r="G2381" t="s">
        <v>45</v>
      </c>
      <c r="H2381" t="s">
        <v>55</v>
      </c>
      <c r="I2381" t="s">
        <v>34</v>
      </c>
      <c r="J2381" t="s">
        <v>35</v>
      </c>
      <c r="K2381" s="2">
        <v>19345</v>
      </c>
      <c r="L2381" t="s">
        <v>36</v>
      </c>
      <c r="M2381" t="s">
        <v>48</v>
      </c>
      <c r="N2381" t="s">
        <v>84</v>
      </c>
      <c r="O2381" t="s">
        <v>77</v>
      </c>
      <c r="P2381" t="s">
        <v>78</v>
      </c>
      <c r="Q2381">
        <v>2</v>
      </c>
      <c r="R2381" s="2">
        <v>44861</v>
      </c>
      <c r="S2381">
        <v>5</v>
      </c>
      <c r="T2381">
        <v>2</v>
      </c>
      <c r="U2381">
        <v>2</v>
      </c>
      <c r="V2381" s="1">
        <v>45013</v>
      </c>
      <c r="W2381" t="s">
        <v>68</v>
      </c>
      <c r="X2381" t="s">
        <v>42</v>
      </c>
      <c r="Y2381" t="s">
        <v>73</v>
      </c>
      <c r="Z2381">
        <v>1</v>
      </c>
      <c r="AA2381">
        <v>292.36</v>
      </c>
      <c r="AB2381">
        <v>66</v>
      </c>
    </row>
    <row r="2382" spans="1:28" x14ac:dyDescent="0.2">
      <c r="A2382">
        <v>2912</v>
      </c>
      <c r="B2382" s="1">
        <v>44682</v>
      </c>
      <c r="C2382" t="s">
        <v>28</v>
      </c>
      <c r="D2382" t="s">
        <v>94</v>
      </c>
      <c r="E2382" t="s">
        <v>30</v>
      </c>
      <c r="F2382" t="s">
        <v>55</v>
      </c>
      <c r="G2382" t="s">
        <v>32</v>
      </c>
      <c r="H2382" t="s">
        <v>33</v>
      </c>
      <c r="I2382" t="s">
        <v>34</v>
      </c>
      <c r="J2382" t="s">
        <v>96</v>
      </c>
      <c r="K2382" s="2">
        <v>22796</v>
      </c>
      <c r="L2382" t="s">
        <v>36</v>
      </c>
      <c r="M2382" t="s">
        <v>48</v>
      </c>
      <c r="N2382" t="s">
        <v>72</v>
      </c>
      <c r="O2382" t="s">
        <v>39</v>
      </c>
      <c r="P2382" t="s">
        <v>98</v>
      </c>
      <c r="Q2382">
        <v>4</v>
      </c>
      <c r="R2382" s="2">
        <v>45114</v>
      </c>
      <c r="S2382">
        <v>3</v>
      </c>
      <c r="T2382">
        <v>5</v>
      </c>
      <c r="U2382">
        <v>3</v>
      </c>
      <c r="V2382" s="1">
        <v>44937</v>
      </c>
      <c r="W2382" t="s">
        <v>92</v>
      </c>
      <c r="X2382" t="s">
        <v>42</v>
      </c>
      <c r="Y2382" t="s">
        <v>63</v>
      </c>
      <c r="Z2382">
        <v>2</v>
      </c>
      <c r="AA2382">
        <v>990.45</v>
      </c>
      <c r="AB2382">
        <v>60</v>
      </c>
    </row>
    <row r="2383" spans="1:28" x14ac:dyDescent="0.2">
      <c r="A2383">
        <v>2913</v>
      </c>
      <c r="B2383" s="1">
        <v>43802</v>
      </c>
      <c r="C2383" t="s">
        <v>28</v>
      </c>
      <c r="D2383" t="s">
        <v>74</v>
      </c>
      <c r="E2383" t="s">
        <v>30</v>
      </c>
      <c r="F2383" t="s">
        <v>55</v>
      </c>
      <c r="G2383" t="s">
        <v>56</v>
      </c>
      <c r="H2383" t="s">
        <v>46</v>
      </c>
      <c r="I2383" t="s">
        <v>34</v>
      </c>
      <c r="J2383" t="s">
        <v>89</v>
      </c>
      <c r="K2383" s="2">
        <v>18551</v>
      </c>
      <c r="L2383" t="s">
        <v>36</v>
      </c>
      <c r="M2383" t="s">
        <v>48</v>
      </c>
      <c r="N2383" t="s">
        <v>49</v>
      </c>
      <c r="O2383" t="s">
        <v>77</v>
      </c>
      <c r="P2383" t="s">
        <v>98</v>
      </c>
      <c r="Q2383">
        <v>2</v>
      </c>
      <c r="R2383" s="2">
        <v>45051</v>
      </c>
      <c r="S2383">
        <v>4</v>
      </c>
      <c r="T2383">
        <v>1</v>
      </c>
      <c r="U2383">
        <v>2</v>
      </c>
      <c r="V2383" s="1">
        <v>44896</v>
      </c>
      <c r="W2383" t="s">
        <v>92</v>
      </c>
      <c r="X2383" t="s">
        <v>51</v>
      </c>
      <c r="Y2383" t="s">
        <v>63</v>
      </c>
      <c r="Z2383">
        <v>3</v>
      </c>
      <c r="AA2383">
        <v>989.75</v>
      </c>
      <c r="AB2383">
        <v>69</v>
      </c>
    </row>
    <row r="2384" spans="1:28" x14ac:dyDescent="0.2">
      <c r="A2384">
        <v>2914</v>
      </c>
      <c r="B2384" s="1">
        <v>43832</v>
      </c>
      <c r="C2384" t="s">
        <v>28</v>
      </c>
      <c r="D2384" t="s">
        <v>81</v>
      </c>
      <c r="E2384" t="s">
        <v>30</v>
      </c>
      <c r="F2384" t="s">
        <v>55</v>
      </c>
      <c r="G2384" t="s">
        <v>32</v>
      </c>
      <c r="H2384" t="s">
        <v>46</v>
      </c>
      <c r="I2384" t="s">
        <v>34</v>
      </c>
      <c r="J2384" t="s">
        <v>89</v>
      </c>
      <c r="K2384" s="2">
        <v>26635</v>
      </c>
      <c r="L2384" t="s">
        <v>36</v>
      </c>
      <c r="M2384" t="s">
        <v>48</v>
      </c>
      <c r="N2384" t="s">
        <v>49</v>
      </c>
      <c r="O2384" t="s">
        <v>39</v>
      </c>
      <c r="P2384" t="s">
        <v>78</v>
      </c>
      <c r="Q2384">
        <v>2</v>
      </c>
      <c r="R2384" s="2">
        <v>45075</v>
      </c>
      <c r="S2384">
        <v>5</v>
      </c>
      <c r="T2384">
        <v>3</v>
      </c>
      <c r="U2384">
        <v>3</v>
      </c>
      <c r="V2384" s="1">
        <v>44849</v>
      </c>
      <c r="W2384" t="s">
        <v>92</v>
      </c>
      <c r="X2384" t="s">
        <v>42</v>
      </c>
      <c r="Y2384" t="s">
        <v>43</v>
      </c>
      <c r="Z2384">
        <v>1</v>
      </c>
      <c r="AA2384">
        <v>194.13</v>
      </c>
      <c r="AB2384">
        <v>48</v>
      </c>
    </row>
    <row r="2385" spans="1:28" x14ac:dyDescent="0.2">
      <c r="A2385">
        <v>2915</v>
      </c>
      <c r="B2385" s="1">
        <v>44681</v>
      </c>
      <c r="C2385" t="s">
        <v>28</v>
      </c>
      <c r="D2385" t="s">
        <v>54</v>
      </c>
      <c r="E2385" t="s">
        <v>108</v>
      </c>
      <c r="F2385" t="s">
        <v>55</v>
      </c>
      <c r="G2385" t="s">
        <v>56</v>
      </c>
      <c r="H2385" t="s">
        <v>46</v>
      </c>
      <c r="I2385" t="s">
        <v>34</v>
      </c>
      <c r="J2385" t="s">
        <v>70</v>
      </c>
      <c r="K2385" s="2">
        <v>33850</v>
      </c>
      <c r="L2385" t="s">
        <v>36</v>
      </c>
      <c r="M2385" t="s">
        <v>48</v>
      </c>
      <c r="N2385" t="s">
        <v>84</v>
      </c>
      <c r="O2385" t="s">
        <v>39</v>
      </c>
      <c r="P2385" t="s">
        <v>78</v>
      </c>
      <c r="Q2385">
        <v>1</v>
      </c>
      <c r="R2385" s="2">
        <v>45045</v>
      </c>
      <c r="S2385">
        <v>3</v>
      </c>
      <c r="T2385">
        <v>4</v>
      </c>
      <c r="U2385">
        <v>2</v>
      </c>
      <c r="V2385" s="1">
        <v>45010</v>
      </c>
      <c r="W2385" t="s">
        <v>68</v>
      </c>
      <c r="X2385" t="s">
        <v>42</v>
      </c>
      <c r="Y2385" t="s">
        <v>52</v>
      </c>
      <c r="Z2385">
        <v>2</v>
      </c>
      <c r="AA2385">
        <v>993.79</v>
      </c>
      <c r="AB2385">
        <v>30</v>
      </c>
    </row>
    <row r="2386" spans="1:28" x14ac:dyDescent="0.2">
      <c r="A2386">
        <v>2916</v>
      </c>
      <c r="B2386" s="1">
        <v>44016</v>
      </c>
      <c r="C2386" t="s">
        <v>28</v>
      </c>
      <c r="D2386" t="s">
        <v>69</v>
      </c>
      <c r="E2386" t="s">
        <v>108</v>
      </c>
      <c r="F2386" t="s">
        <v>46</v>
      </c>
      <c r="G2386" t="s">
        <v>32</v>
      </c>
      <c r="H2386" t="s">
        <v>33</v>
      </c>
      <c r="I2386" t="s">
        <v>34</v>
      </c>
      <c r="J2386" t="s">
        <v>58</v>
      </c>
      <c r="K2386" s="2">
        <v>19386</v>
      </c>
      <c r="L2386" t="s">
        <v>36</v>
      </c>
      <c r="M2386" t="s">
        <v>48</v>
      </c>
      <c r="N2386" t="s">
        <v>38</v>
      </c>
      <c r="O2386" t="s">
        <v>61</v>
      </c>
      <c r="P2386" t="s">
        <v>98</v>
      </c>
      <c r="Q2386">
        <v>2</v>
      </c>
      <c r="R2386" s="2">
        <v>44977</v>
      </c>
      <c r="S2386">
        <v>4</v>
      </c>
      <c r="T2386">
        <v>4</v>
      </c>
      <c r="U2386">
        <v>2</v>
      </c>
      <c r="V2386" s="1">
        <v>44843</v>
      </c>
      <c r="W2386" t="s">
        <v>68</v>
      </c>
      <c r="X2386" t="s">
        <v>42</v>
      </c>
      <c r="Y2386" t="s">
        <v>52</v>
      </c>
      <c r="Z2386">
        <v>2</v>
      </c>
      <c r="AA2386">
        <v>932.4</v>
      </c>
      <c r="AB2386">
        <v>67</v>
      </c>
    </row>
    <row r="2387" spans="1:28" x14ac:dyDescent="0.2">
      <c r="A2387">
        <v>2917</v>
      </c>
      <c r="B2387" s="1">
        <v>43866</v>
      </c>
      <c r="C2387" t="s">
        <v>28</v>
      </c>
      <c r="D2387" t="s">
        <v>29</v>
      </c>
      <c r="E2387" t="s">
        <v>30</v>
      </c>
      <c r="F2387" t="s">
        <v>31</v>
      </c>
      <c r="G2387" t="s">
        <v>45</v>
      </c>
      <c r="H2387" t="s">
        <v>46</v>
      </c>
      <c r="I2387" t="s">
        <v>34</v>
      </c>
      <c r="J2387" t="s">
        <v>70</v>
      </c>
      <c r="K2387" s="2">
        <v>33597</v>
      </c>
      <c r="L2387" t="s">
        <v>36</v>
      </c>
      <c r="M2387" t="s">
        <v>48</v>
      </c>
      <c r="N2387" t="s">
        <v>60</v>
      </c>
      <c r="O2387" t="s">
        <v>39</v>
      </c>
      <c r="P2387" t="s">
        <v>78</v>
      </c>
      <c r="Q2387">
        <v>4</v>
      </c>
      <c r="R2387" s="2">
        <v>44943</v>
      </c>
      <c r="S2387">
        <v>1</v>
      </c>
      <c r="T2387">
        <v>4</v>
      </c>
      <c r="U2387">
        <v>5</v>
      </c>
      <c r="V2387" s="1">
        <v>44849</v>
      </c>
      <c r="W2387" t="s">
        <v>50</v>
      </c>
      <c r="X2387" t="s">
        <v>51</v>
      </c>
      <c r="Y2387" t="s">
        <v>73</v>
      </c>
      <c r="Z2387">
        <v>3</v>
      </c>
      <c r="AA2387">
        <v>636.37</v>
      </c>
      <c r="AB2387">
        <v>29</v>
      </c>
    </row>
    <row r="2388" spans="1:28" x14ac:dyDescent="0.2">
      <c r="A2388">
        <v>2918</v>
      </c>
      <c r="B2388" s="1">
        <v>43456</v>
      </c>
      <c r="C2388" t="s">
        <v>28</v>
      </c>
      <c r="D2388" t="s">
        <v>85</v>
      </c>
      <c r="E2388" t="s">
        <v>30</v>
      </c>
      <c r="F2388" t="s">
        <v>46</v>
      </c>
      <c r="G2388" t="s">
        <v>56</v>
      </c>
      <c r="H2388" t="s">
        <v>55</v>
      </c>
      <c r="I2388" t="s">
        <v>34</v>
      </c>
      <c r="J2388" t="s">
        <v>70</v>
      </c>
      <c r="K2388" s="2">
        <v>28983</v>
      </c>
      <c r="L2388" t="s">
        <v>36</v>
      </c>
      <c r="M2388" t="s">
        <v>37</v>
      </c>
      <c r="N2388" t="s">
        <v>72</v>
      </c>
      <c r="O2388" t="s">
        <v>39</v>
      </c>
      <c r="P2388" t="s">
        <v>78</v>
      </c>
      <c r="Q2388">
        <v>4</v>
      </c>
      <c r="R2388" s="2">
        <v>44906</v>
      </c>
      <c r="S2388">
        <v>4</v>
      </c>
      <c r="T2388">
        <v>3</v>
      </c>
      <c r="U2388">
        <v>1</v>
      </c>
      <c r="V2388" s="1">
        <v>44801</v>
      </c>
      <c r="W2388" t="s">
        <v>62</v>
      </c>
      <c r="X2388" t="s">
        <v>51</v>
      </c>
      <c r="Y2388" t="s">
        <v>43</v>
      </c>
      <c r="Z2388">
        <v>1</v>
      </c>
      <c r="AA2388">
        <v>333.03</v>
      </c>
      <c r="AB2388">
        <v>39</v>
      </c>
    </row>
    <row r="2389" spans="1:28" x14ac:dyDescent="0.2">
      <c r="A2389">
        <v>2919</v>
      </c>
      <c r="B2389" s="1">
        <v>43576</v>
      </c>
      <c r="C2389" t="s">
        <v>28</v>
      </c>
      <c r="D2389" t="s">
        <v>44</v>
      </c>
      <c r="E2389" t="s">
        <v>30</v>
      </c>
      <c r="F2389" t="s">
        <v>55</v>
      </c>
      <c r="G2389" t="s">
        <v>45</v>
      </c>
      <c r="H2389" t="s">
        <v>46</v>
      </c>
      <c r="I2389" t="s">
        <v>34</v>
      </c>
      <c r="J2389" t="s">
        <v>70</v>
      </c>
      <c r="K2389" s="2">
        <v>32454</v>
      </c>
      <c r="L2389" t="s">
        <v>36</v>
      </c>
      <c r="M2389" t="s">
        <v>37</v>
      </c>
      <c r="N2389" t="s">
        <v>38</v>
      </c>
      <c r="O2389" t="s">
        <v>61</v>
      </c>
      <c r="P2389" t="s">
        <v>98</v>
      </c>
      <c r="Q2389">
        <v>5</v>
      </c>
      <c r="R2389" s="2">
        <v>45088</v>
      </c>
      <c r="S2389">
        <v>5</v>
      </c>
      <c r="T2389">
        <v>1</v>
      </c>
      <c r="U2389">
        <v>2</v>
      </c>
      <c r="V2389" s="1">
        <v>45039</v>
      </c>
      <c r="W2389" t="s">
        <v>68</v>
      </c>
      <c r="X2389" t="s">
        <v>42</v>
      </c>
      <c r="Y2389" t="s">
        <v>43</v>
      </c>
      <c r="Z2389">
        <v>1</v>
      </c>
      <c r="AA2389">
        <v>195.63</v>
      </c>
      <c r="AB2389">
        <v>31</v>
      </c>
    </row>
    <row r="2390" spans="1:28" x14ac:dyDescent="0.2">
      <c r="A2390">
        <v>2920</v>
      </c>
      <c r="B2390" s="1">
        <v>43924</v>
      </c>
      <c r="C2390" t="s">
        <v>28</v>
      </c>
      <c r="D2390" t="s">
        <v>87</v>
      </c>
      <c r="E2390" t="s">
        <v>30</v>
      </c>
      <c r="F2390" t="s">
        <v>55</v>
      </c>
      <c r="G2390" t="s">
        <v>45</v>
      </c>
      <c r="H2390" t="s">
        <v>46</v>
      </c>
      <c r="I2390" t="s">
        <v>34</v>
      </c>
      <c r="J2390" t="s">
        <v>70</v>
      </c>
      <c r="K2390" s="2">
        <v>21592</v>
      </c>
      <c r="L2390" t="s">
        <v>36</v>
      </c>
      <c r="M2390" t="s">
        <v>48</v>
      </c>
      <c r="N2390" t="s">
        <v>49</v>
      </c>
      <c r="O2390" t="s">
        <v>61</v>
      </c>
      <c r="P2390" t="s">
        <v>78</v>
      </c>
      <c r="Q2390">
        <v>5</v>
      </c>
      <c r="R2390" s="2">
        <v>44961</v>
      </c>
      <c r="S2390">
        <v>2</v>
      </c>
      <c r="T2390">
        <v>4</v>
      </c>
      <c r="U2390">
        <v>4</v>
      </c>
      <c r="V2390" s="1">
        <v>44831</v>
      </c>
      <c r="W2390" t="s">
        <v>68</v>
      </c>
      <c r="X2390" t="s">
        <v>51</v>
      </c>
      <c r="Y2390" t="s">
        <v>63</v>
      </c>
      <c r="Z2390">
        <v>2</v>
      </c>
      <c r="AA2390">
        <v>140.27000000000001</v>
      </c>
      <c r="AB2390">
        <v>61</v>
      </c>
    </row>
    <row r="2391" spans="1:28" x14ac:dyDescent="0.2">
      <c r="A2391">
        <v>2921</v>
      </c>
      <c r="B2391" s="1">
        <v>43365</v>
      </c>
      <c r="C2391" t="s">
        <v>28</v>
      </c>
      <c r="D2391" t="s">
        <v>64</v>
      </c>
      <c r="E2391" t="s">
        <v>30</v>
      </c>
      <c r="F2391" t="s">
        <v>55</v>
      </c>
      <c r="G2391" t="s">
        <v>56</v>
      </c>
      <c r="H2391" t="s">
        <v>46</v>
      </c>
      <c r="I2391" t="s">
        <v>34</v>
      </c>
      <c r="J2391" t="s">
        <v>47</v>
      </c>
      <c r="K2391" s="2">
        <v>21040</v>
      </c>
      <c r="L2391" t="s">
        <v>36</v>
      </c>
      <c r="M2391" t="s">
        <v>37</v>
      </c>
      <c r="N2391" t="s">
        <v>84</v>
      </c>
      <c r="O2391" t="s">
        <v>77</v>
      </c>
      <c r="P2391" t="s">
        <v>78</v>
      </c>
      <c r="Q2391">
        <v>2</v>
      </c>
      <c r="R2391" s="2">
        <v>45000</v>
      </c>
      <c r="S2391">
        <v>5</v>
      </c>
      <c r="T2391">
        <v>2</v>
      </c>
      <c r="U2391">
        <v>3</v>
      </c>
      <c r="V2391" s="1">
        <v>44937</v>
      </c>
      <c r="W2391" t="s">
        <v>50</v>
      </c>
      <c r="X2391" t="s">
        <v>51</v>
      </c>
      <c r="Y2391" t="s">
        <v>52</v>
      </c>
      <c r="Z2391">
        <v>1</v>
      </c>
      <c r="AA2391">
        <v>465.54</v>
      </c>
      <c r="AB2391">
        <v>61</v>
      </c>
    </row>
    <row r="2392" spans="1:28" x14ac:dyDescent="0.2">
      <c r="A2392">
        <v>2922</v>
      </c>
      <c r="B2392" s="1">
        <v>44848</v>
      </c>
      <c r="C2392" t="s">
        <v>28</v>
      </c>
      <c r="D2392" t="s">
        <v>69</v>
      </c>
      <c r="E2392" t="s">
        <v>30</v>
      </c>
      <c r="F2392" t="s">
        <v>46</v>
      </c>
      <c r="G2392" t="s">
        <v>56</v>
      </c>
      <c r="H2392" t="s">
        <v>55</v>
      </c>
      <c r="I2392" t="s">
        <v>34</v>
      </c>
      <c r="J2392" t="s">
        <v>65</v>
      </c>
      <c r="K2392" s="2">
        <v>34084</v>
      </c>
      <c r="L2392" t="s">
        <v>36</v>
      </c>
      <c r="M2392" t="s">
        <v>37</v>
      </c>
      <c r="N2392" t="s">
        <v>60</v>
      </c>
      <c r="O2392" t="s">
        <v>67</v>
      </c>
      <c r="P2392" t="s">
        <v>78</v>
      </c>
      <c r="Q2392">
        <v>5</v>
      </c>
      <c r="R2392" s="2">
        <v>45045</v>
      </c>
      <c r="S2392">
        <v>4</v>
      </c>
      <c r="T2392">
        <v>2</v>
      </c>
      <c r="U2392">
        <v>5</v>
      </c>
      <c r="V2392" s="1">
        <v>45065</v>
      </c>
      <c r="W2392" t="s">
        <v>68</v>
      </c>
      <c r="X2392" t="s">
        <v>51</v>
      </c>
      <c r="Y2392" t="s">
        <v>52</v>
      </c>
      <c r="Z2392">
        <v>1</v>
      </c>
      <c r="AA2392">
        <v>713.3</v>
      </c>
      <c r="AB2392">
        <v>29</v>
      </c>
    </row>
    <row r="2393" spans="1:28" x14ac:dyDescent="0.2">
      <c r="A2393">
        <v>2923</v>
      </c>
      <c r="B2393" s="1">
        <v>44604</v>
      </c>
      <c r="C2393" t="s">
        <v>28</v>
      </c>
      <c r="D2393" t="s">
        <v>29</v>
      </c>
      <c r="E2393" t="s">
        <v>30</v>
      </c>
      <c r="F2393" t="s">
        <v>46</v>
      </c>
      <c r="G2393" t="s">
        <v>45</v>
      </c>
      <c r="H2393" t="s">
        <v>46</v>
      </c>
      <c r="I2393" t="s">
        <v>34</v>
      </c>
      <c r="J2393" t="s">
        <v>70</v>
      </c>
      <c r="K2393" s="2">
        <v>29403</v>
      </c>
      <c r="L2393" t="s">
        <v>36</v>
      </c>
      <c r="M2393" t="s">
        <v>37</v>
      </c>
      <c r="N2393" t="s">
        <v>38</v>
      </c>
      <c r="O2393" t="s">
        <v>67</v>
      </c>
      <c r="P2393" t="s">
        <v>98</v>
      </c>
      <c r="Q2393">
        <v>4</v>
      </c>
      <c r="R2393" s="2">
        <v>45052</v>
      </c>
      <c r="S2393">
        <v>5</v>
      </c>
      <c r="T2393">
        <v>1</v>
      </c>
      <c r="U2393">
        <v>2</v>
      </c>
      <c r="V2393" s="1">
        <v>44849</v>
      </c>
      <c r="W2393" t="s">
        <v>68</v>
      </c>
      <c r="X2393" t="s">
        <v>42</v>
      </c>
      <c r="Y2393" t="s">
        <v>43</v>
      </c>
      <c r="Z2393">
        <v>4</v>
      </c>
      <c r="AA2393">
        <v>632.73</v>
      </c>
      <c r="AB2393">
        <v>42</v>
      </c>
    </row>
    <row r="2394" spans="1:28" x14ac:dyDescent="0.2">
      <c r="A2394">
        <v>2924</v>
      </c>
      <c r="B2394" s="1">
        <v>44278</v>
      </c>
      <c r="C2394" t="s">
        <v>28</v>
      </c>
      <c r="D2394" t="s">
        <v>44</v>
      </c>
      <c r="E2394" t="s">
        <v>108</v>
      </c>
      <c r="F2394" t="s">
        <v>31</v>
      </c>
      <c r="G2394" t="s">
        <v>56</v>
      </c>
      <c r="H2394" t="s">
        <v>46</v>
      </c>
      <c r="I2394" t="s">
        <v>34</v>
      </c>
      <c r="J2394" t="s">
        <v>70</v>
      </c>
      <c r="K2394" s="2">
        <v>28990</v>
      </c>
      <c r="L2394" t="s">
        <v>36</v>
      </c>
      <c r="M2394" t="s">
        <v>48</v>
      </c>
      <c r="N2394" t="s">
        <v>84</v>
      </c>
      <c r="O2394" t="s">
        <v>67</v>
      </c>
      <c r="P2394" t="s">
        <v>78</v>
      </c>
      <c r="Q2394">
        <v>5</v>
      </c>
      <c r="R2394" s="2">
        <v>45062</v>
      </c>
      <c r="S2394">
        <v>5</v>
      </c>
      <c r="T2394">
        <v>4</v>
      </c>
      <c r="U2394">
        <v>4</v>
      </c>
      <c r="V2394" s="1">
        <v>44865</v>
      </c>
      <c r="W2394" t="s">
        <v>68</v>
      </c>
      <c r="X2394" t="s">
        <v>51</v>
      </c>
      <c r="Y2394" t="s">
        <v>43</v>
      </c>
      <c r="Z2394">
        <v>1</v>
      </c>
      <c r="AA2394">
        <v>244.84</v>
      </c>
      <c r="AB2394">
        <v>42</v>
      </c>
    </row>
    <row r="2395" spans="1:28" x14ac:dyDescent="0.2">
      <c r="A2395">
        <v>2925</v>
      </c>
      <c r="B2395" s="1">
        <v>43342</v>
      </c>
      <c r="C2395" t="s">
        <v>106</v>
      </c>
      <c r="D2395" t="s">
        <v>29</v>
      </c>
      <c r="E2395" t="s">
        <v>30</v>
      </c>
      <c r="F2395" t="s">
        <v>46</v>
      </c>
      <c r="G2395" t="s">
        <v>56</v>
      </c>
      <c r="H2395" t="s">
        <v>33</v>
      </c>
      <c r="I2395" t="s">
        <v>34</v>
      </c>
      <c r="J2395" t="s">
        <v>58</v>
      </c>
      <c r="K2395" s="2">
        <v>26560</v>
      </c>
      <c r="L2395" t="s">
        <v>36</v>
      </c>
      <c r="M2395" t="s">
        <v>48</v>
      </c>
      <c r="N2395" t="s">
        <v>60</v>
      </c>
      <c r="O2395" t="s">
        <v>77</v>
      </c>
      <c r="P2395" t="s">
        <v>78</v>
      </c>
      <c r="Q2395">
        <v>4</v>
      </c>
      <c r="R2395" s="2">
        <v>45137</v>
      </c>
      <c r="S2395">
        <v>1</v>
      </c>
      <c r="T2395">
        <v>3</v>
      </c>
      <c r="U2395">
        <v>1</v>
      </c>
      <c r="V2395" s="1">
        <v>45030</v>
      </c>
      <c r="W2395" t="s">
        <v>92</v>
      </c>
      <c r="X2395" t="s">
        <v>51</v>
      </c>
      <c r="Y2395" t="s">
        <v>43</v>
      </c>
      <c r="Z2395">
        <v>4</v>
      </c>
      <c r="AA2395">
        <v>689.93</v>
      </c>
      <c r="AB2395">
        <v>46</v>
      </c>
    </row>
    <row r="2396" spans="1:28" x14ac:dyDescent="0.2">
      <c r="A2396">
        <v>2928</v>
      </c>
      <c r="B2396" s="1">
        <v>44206</v>
      </c>
      <c r="C2396" t="s">
        <v>106</v>
      </c>
      <c r="D2396" t="s">
        <v>87</v>
      </c>
      <c r="E2396" t="s">
        <v>30</v>
      </c>
      <c r="F2396" t="s">
        <v>55</v>
      </c>
      <c r="G2396" t="s">
        <v>56</v>
      </c>
      <c r="H2396" t="s">
        <v>46</v>
      </c>
      <c r="I2396" t="s">
        <v>34</v>
      </c>
      <c r="J2396" t="s">
        <v>65</v>
      </c>
      <c r="K2396" s="2">
        <v>26401</v>
      </c>
      <c r="L2396" t="s">
        <v>36</v>
      </c>
      <c r="M2396" t="s">
        <v>37</v>
      </c>
      <c r="N2396" t="s">
        <v>49</v>
      </c>
      <c r="O2396" t="s">
        <v>77</v>
      </c>
      <c r="P2396" t="s">
        <v>40</v>
      </c>
      <c r="Q2396">
        <v>5</v>
      </c>
      <c r="R2396" s="2">
        <v>44801</v>
      </c>
      <c r="S2396">
        <v>5</v>
      </c>
      <c r="T2396">
        <v>4</v>
      </c>
      <c r="U2396">
        <v>1</v>
      </c>
      <c r="V2396" s="1">
        <v>45098</v>
      </c>
      <c r="W2396" t="s">
        <v>92</v>
      </c>
      <c r="X2396" t="s">
        <v>51</v>
      </c>
      <c r="Y2396" t="s">
        <v>52</v>
      </c>
      <c r="Z2396">
        <v>2</v>
      </c>
      <c r="AA2396">
        <v>175.63</v>
      </c>
      <c r="AB2396">
        <v>49</v>
      </c>
    </row>
    <row r="2397" spans="1:28" x14ac:dyDescent="0.2">
      <c r="A2397">
        <v>2929</v>
      </c>
      <c r="B2397" s="1">
        <v>44062</v>
      </c>
      <c r="C2397" t="s">
        <v>106</v>
      </c>
      <c r="D2397" t="s">
        <v>64</v>
      </c>
      <c r="E2397" t="s">
        <v>108</v>
      </c>
      <c r="F2397" t="s">
        <v>55</v>
      </c>
      <c r="G2397" t="s">
        <v>56</v>
      </c>
      <c r="H2397" t="s">
        <v>33</v>
      </c>
      <c r="I2397" t="s">
        <v>34</v>
      </c>
      <c r="J2397" t="s">
        <v>70</v>
      </c>
      <c r="K2397" s="2">
        <v>31568</v>
      </c>
      <c r="L2397" t="s">
        <v>36</v>
      </c>
      <c r="M2397" t="s">
        <v>37</v>
      </c>
      <c r="N2397" t="s">
        <v>38</v>
      </c>
      <c r="O2397" t="s">
        <v>39</v>
      </c>
      <c r="P2397" t="s">
        <v>98</v>
      </c>
      <c r="Q2397">
        <v>2</v>
      </c>
      <c r="R2397" s="2">
        <v>44954</v>
      </c>
      <c r="S2397">
        <v>1</v>
      </c>
      <c r="T2397">
        <v>3</v>
      </c>
      <c r="U2397">
        <v>4</v>
      </c>
      <c r="V2397" s="1">
        <v>44827</v>
      </c>
      <c r="W2397" t="s">
        <v>62</v>
      </c>
      <c r="X2397" t="s">
        <v>42</v>
      </c>
      <c r="Y2397" t="s">
        <v>73</v>
      </c>
      <c r="Z2397">
        <v>5</v>
      </c>
      <c r="AA2397">
        <v>120.14</v>
      </c>
      <c r="AB2397">
        <v>34</v>
      </c>
    </row>
    <row r="2398" spans="1:28" x14ac:dyDescent="0.2">
      <c r="A2398">
        <v>2930</v>
      </c>
      <c r="B2398" s="1">
        <v>45037</v>
      </c>
      <c r="C2398" t="s">
        <v>106</v>
      </c>
      <c r="D2398" t="s">
        <v>94</v>
      </c>
      <c r="E2398" t="s">
        <v>30</v>
      </c>
      <c r="F2398" t="s">
        <v>46</v>
      </c>
      <c r="G2398" t="s">
        <v>45</v>
      </c>
      <c r="H2398" t="s">
        <v>55</v>
      </c>
      <c r="I2398" t="s">
        <v>34</v>
      </c>
      <c r="J2398" t="s">
        <v>103</v>
      </c>
      <c r="K2398" s="2">
        <v>36239</v>
      </c>
      <c r="L2398" t="s">
        <v>36</v>
      </c>
      <c r="M2398" t="s">
        <v>37</v>
      </c>
      <c r="N2398" t="s">
        <v>72</v>
      </c>
      <c r="O2398" t="s">
        <v>39</v>
      </c>
      <c r="P2398" t="s">
        <v>78</v>
      </c>
      <c r="Q2398">
        <v>2</v>
      </c>
      <c r="R2398" s="2">
        <v>45096</v>
      </c>
      <c r="S2398">
        <v>1</v>
      </c>
      <c r="T2398">
        <v>4</v>
      </c>
      <c r="U2398">
        <v>2</v>
      </c>
      <c r="V2398" s="1">
        <v>44980</v>
      </c>
      <c r="W2398" t="s">
        <v>68</v>
      </c>
      <c r="X2398" t="s">
        <v>51</v>
      </c>
      <c r="Y2398" t="s">
        <v>43</v>
      </c>
      <c r="Z2398">
        <v>5</v>
      </c>
      <c r="AA2398">
        <v>871.29</v>
      </c>
      <c r="AB2398">
        <v>24</v>
      </c>
    </row>
    <row r="2399" spans="1:28" x14ac:dyDescent="0.2">
      <c r="A2399">
        <v>2931</v>
      </c>
      <c r="B2399" s="1">
        <v>43859</v>
      </c>
      <c r="C2399" t="s">
        <v>28</v>
      </c>
      <c r="D2399" t="s">
        <v>87</v>
      </c>
      <c r="E2399" t="s">
        <v>108</v>
      </c>
      <c r="F2399" t="s">
        <v>55</v>
      </c>
      <c r="G2399" t="s">
        <v>56</v>
      </c>
      <c r="H2399" t="s">
        <v>33</v>
      </c>
      <c r="I2399" t="s">
        <v>34</v>
      </c>
      <c r="J2399" t="s">
        <v>70</v>
      </c>
      <c r="K2399" s="2">
        <v>25395</v>
      </c>
      <c r="L2399" t="s">
        <v>36</v>
      </c>
      <c r="M2399" t="s">
        <v>48</v>
      </c>
      <c r="N2399" t="s">
        <v>49</v>
      </c>
      <c r="O2399" t="s">
        <v>61</v>
      </c>
      <c r="P2399" t="s">
        <v>78</v>
      </c>
      <c r="Q2399">
        <v>2</v>
      </c>
      <c r="R2399" s="2">
        <v>44824</v>
      </c>
      <c r="S2399">
        <v>5</v>
      </c>
      <c r="T2399">
        <v>4</v>
      </c>
      <c r="U2399">
        <v>4</v>
      </c>
      <c r="V2399" s="1">
        <v>45130</v>
      </c>
      <c r="W2399" t="s">
        <v>41</v>
      </c>
      <c r="X2399" t="s">
        <v>51</v>
      </c>
      <c r="Y2399" t="s">
        <v>73</v>
      </c>
      <c r="Z2399">
        <v>1</v>
      </c>
      <c r="AA2399">
        <v>485.84</v>
      </c>
      <c r="AB2399">
        <v>51</v>
      </c>
    </row>
    <row r="2400" spans="1:28" x14ac:dyDescent="0.2">
      <c r="A2400">
        <v>2932</v>
      </c>
      <c r="B2400" s="1">
        <v>44427</v>
      </c>
      <c r="C2400" t="s">
        <v>28</v>
      </c>
      <c r="D2400" t="s">
        <v>64</v>
      </c>
      <c r="E2400" t="s">
        <v>108</v>
      </c>
      <c r="F2400" t="s">
        <v>46</v>
      </c>
      <c r="G2400" t="s">
        <v>45</v>
      </c>
      <c r="H2400" t="s">
        <v>55</v>
      </c>
      <c r="I2400" t="s">
        <v>34</v>
      </c>
      <c r="J2400" t="s">
        <v>35</v>
      </c>
      <c r="K2400" s="2">
        <v>17545</v>
      </c>
      <c r="L2400" t="s">
        <v>36</v>
      </c>
      <c r="M2400" t="s">
        <v>48</v>
      </c>
      <c r="N2400" t="s">
        <v>49</v>
      </c>
      <c r="O2400" t="s">
        <v>39</v>
      </c>
      <c r="P2400" t="s">
        <v>40</v>
      </c>
      <c r="Q2400">
        <v>4</v>
      </c>
      <c r="R2400" s="2">
        <v>45044</v>
      </c>
      <c r="S2400">
        <v>4</v>
      </c>
      <c r="T2400">
        <v>4</v>
      </c>
      <c r="U2400">
        <v>3</v>
      </c>
      <c r="V2400" s="1">
        <v>45063</v>
      </c>
      <c r="W2400" t="s">
        <v>92</v>
      </c>
      <c r="X2400" t="s">
        <v>51</v>
      </c>
      <c r="Y2400" t="s">
        <v>63</v>
      </c>
      <c r="Z2400">
        <v>2</v>
      </c>
      <c r="AA2400">
        <v>275.36</v>
      </c>
      <c r="AB2400">
        <v>73</v>
      </c>
    </row>
    <row r="2401" spans="1:28" x14ac:dyDescent="0.2">
      <c r="A2401">
        <v>2933</v>
      </c>
      <c r="B2401" s="1">
        <v>44273</v>
      </c>
      <c r="C2401" t="s">
        <v>28</v>
      </c>
      <c r="D2401" t="s">
        <v>94</v>
      </c>
      <c r="E2401" t="s">
        <v>30</v>
      </c>
      <c r="F2401" t="s">
        <v>55</v>
      </c>
      <c r="G2401" t="s">
        <v>45</v>
      </c>
      <c r="H2401" t="s">
        <v>46</v>
      </c>
      <c r="I2401" t="s">
        <v>34</v>
      </c>
      <c r="J2401" t="s">
        <v>101</v>
      </c>
      <c r="K2401" s="2">
        <v>17970</v>
      </c>
      <c r="L2401" t="s">
        <v>36</v>
      </c>
      <c r="M2401" t="s">
        <v>48</v>
      </c>
      <c r="N2401" t="s">
        <v>38</v>
      </c>
      <c r="O2401" t="s">
        <v>61</v>
      </c>
      <c r="P2401" t="s">
        <v>98</v>
      </c>
      <c r="Q2401">
        <v>1</v>
      </c>
      <c r="R2401" s="2">
        <v>45048</v>
      </c>
      <c r="S2401">
        <v>3</v>
      </c>
      <c r="T2401">
        <v>1</v>
      </c>
      <c r="U2401">
        <v>4</v>
      </c>
      <c r="V2401" s="1">
        <v>45109</v>
      </c>
      <c r="W2401" t="s">
        <v>92</v>
      </c>
      <c r="X2401" t="s">
        <v>51</v>
      </c>
      <c r="Y2401" t="s">
        <v>52</v>
      </c>
      <c r="Z2401">
        <v>3</v>
      </c>
      <c r="AA2401">
        <v>933.67</v>
      </c>
      <c r="AB2401">
        <v>72</v>
      </c>
    </row>
    <row r="2402" spans="1:28" x14ac:dyDescent="0.2">
      <c r="A2402">
        <v>2934</v>
      </c>
      <c r="B2402" s="1">
        <v>44493</v>
      </c>
      <c r="C2402" t="s">
        <v>28</v>
      </c>
      <c r="D2402" t="s">
        <v>74</v>
      </c>
      <c r="E2402" t="s">
        <v>30</v>
      </c>
      <c r="F2402" t="s">
        <v>31</v>
      </c>
      <c r="G2402" t="s">
        <v>56</v>
      </c>
      <c r="H2402" t="s">
        <v>33</v>
      </c>
      <c r="I2402" t="s">
        <v>34</v>
      </c>
      <c r="J2402" t="s">
        <v>70</v>
      </c>
      <c r="K2402" s="2">
        <v>23329</v>
      </c>
      <c r="L2402" t="s">
        <v>36</v>
      </c>
      <c r="M2402" t="s">
        <v>48</v>
      </c>
      <c r="N2402" t="s">
        <v>84</v>
      </c>
      <c r="O2402" t="s">
        <v>39</v>
      </c>
      <c r="P2402" t="s">
        <v>40</v>
      </c>
      <c r="Q2402">
        <v>2</v>
      </c>
      <c r="R2402" s="2">
        <v>44881</v>
      </c>
      <c r="S2402">
        <v>4</v>
      </c>
      <c r="T2402">
        <v>3</v>
      </c>
      <c r="U2402">
        <v>1</v>
      </c>
      <c r="V2402" s="1">
        <v>44999</v>
      </c>
      <c r="W2402" t="s">
        <v>68</v>
      </c>
      <c r="X2402" t="s">
        <v>42</v>
      </c>
      <c r="Y2402" t="s">
        <v>73</v>
      </c>
      <c r="Z2402">
        <v>4</v>
      </c>
      <c r="AA2402">
        <v>927.08</v>
      </c>
      <c r="AB2402">
        <v>58</v>
      </c>
    </row>
    <row r="2403" spans="1:28" x14ac:dyDescent="0.2">
      <c r="A2403">
        <v>2935</v>
      </c>
      <c r="B2403" s="1">
        <v>44107</v>
      </c>
      <c r="C2403" t="s">
        <v>28</v>
      </c>
      <c r="D2403" t="s">
        <v>81</v>
      </c>
      <c r="E2403" t="s">
        <v>30</v>
      </c>
      <c r="F2403" t="s">
        <v>31</v>
      </c>
      <c r="G2403" t="s">
        <v>56</v>
      </c>
      <c r="H2403" t="s">
        <v>46</v>
      </c>
      <c r="I2403" t="s">
        <v>34</v>
      </c>
      <c r="J2403" t="s">
        <v>101</v>
      </c>
      <c r="K2403" s="2">
        <v>35042</v>
      </c>
      <c r="L2403" t="s">
        <v>36</v>
      </c>
      <c r="M2403" t="s">
        <v>48</v>
      </c>
      <c r="N2403" t="s">
        <v>38</v>
      </c>
      <c r="O2403" t="s">
        <v>77</v>
      </c>
      <c r="P2403" t="s">
        <v>40</v>
      </c>
      <c r="Q2403">
        <v>5</v>
      </c>
      <c r="R2403" s="2">
        <v>44971</v>
      </c>
      <c r="S2403">
        <v>5</v>
      </c>
      <c r="T2403">
        <v>1</v>
      </c>
      <c r="U2403">
        <v>1</v>
      </c>
      <c r="V2403" s="1">
        <v>45132</v>
      </c>
      <c r="W2403" t="s">
        <v>92</v>
      </c>
      <c r="X2403" t="s">
        <v>51</v>
      </c>
      <c r="Y2403" t="s">
        <v>73</v>
      </c>
      <c r="Z2403">
        <v>4</v>
      </c>
      <c r="AA2403">
        <v>395.52</v>
      </c>
      <c r="AB2403">
        <v>25</v>
      </c>
    </row>
    <row r="2404" spans="1:28" x14ac:dyDescent="0.2">
      <c r="A2404">
        <v>2936</v>
      </c>
      <c r="B2404" s="1">
        <v>44978</v>
      </c>
      <c r="C2404" t="s">
        <v>28</v>
      </c>
      <c r="D2404" t="s">
        <v>54</v>
      </c>
      <c r="E2404" t="s">
        <v>30</v>
      </c>
      <c r="F2404" t="s">
        <v>31</v>
      </c>
      <c r="G2404" t="s">
        <v>32</v>
      </c>
      <c r="H2404" t="s">
        <v>46</v>
      </c>
      <c r="I2404" t="s">
        <v>34</v>
      </c>
      <c r="J2404" t="s">
        <v>65</v>
      </c>
      <c r="K2404" s="2">
        <v>30940</v>
      </c>
      <c r="L2404" t="s">
        <v>36</v>
      </c>
      <c r="M2404" t="s">
        <v>48</v>
      </c>
      <c r="N2404" t="s">
        <v>84</v>
      </c>
      <c r="O2404" t="s">
        <v>67</v>
      </c>
      <c r="P2404" t="s">
        <v>98</v>
      </c>
      <c r="Q2404">
        <v>1</v>
      </c>
      <c r="R2404" s="2">
        <v>44822</v>
      </c>
      <c r="S2404">
        <v>4</v>
      </c>
      <c r="T2404">
        <v>3</v>
      </c>
      <c r="U2404">
        <v>1</v>
      </c>
      <c r="V2404" s="1">
        <v>44918</v>
      </c>
      <c r="W2404" t="s">
        <v>41</v>
      </c>
      <c r="X2404" t="s">
        <v>42</v>
      </c>
      <c r="Y2404" t="s">
        <v>63</v>
      </c>
      <c r="Z2404">
        <v>3</v>
      </c>
      <c r="AA2404">
        <v>123.26</v>
      </c>
      <c r="AB2404">
        <v>39</v>
      </c>
    </row>
    <row r="2405" spans="1:28" x14ac:dyDescent="0.2">
      <c r="A2405">
        <v>2937</v>
      </c>
      <c r="B2405" s="1">
        <v>44044</v>
      </c>
      <c r="C2405" t="s">
        <v>28</v>
      </c>
      <c r="D2405" t="s">
        <v>69</v>
      </c>
      <c r="E2405" t="s">
        <v>30</v>
      </c>
      <c r="F2405" t="s">
        <v>31</v>
      </c>
      <c r="G2405" t="s">
        <v>45</v>
      </c>
      <c r="H2405" t="s">
        <v>33</v>
      </c>
      <c r="I2405" t="s">
        <v>34</v>
      </c>
      <c r="J2405" t="s">
        <v>105</v>
      </c>
      <c r="K2405" s="2">
        <v>19198</v>
      </c>
      <c r="L2405" t="s">
        <v>36</v>
      </c>
      <c r="M2405" t="s">
        <v>48</v>
      </c>
      <c r="N2405" t="s">
        <v>72</v>
      </c>
      <c r="O2405" t="s">
        <v>67</v>
      </c>
      <c r="P2405" t="s">
        <v>98</v>
      </c>
      <c r="Q2405">
        <v>2</v>
      </c>
      <c r="R2405" s="2">
        <v>44904</v>
      </c>
      <c r="S2405">
        <v>1</v>
      </c>
      <c r="T2405">
        <v>4</v>
      </c>
      <c r="U2405">
        <v>4</v>
      </c>
      <c r="V2405" s="1">
        <v>45132</v>
      </c>
      <c r="W2405" t="s">
        <v>41</v>
      </c>
      <c r="X2405" t="s">
        <v>42</v>
      </c>
      <c r="Y2405" t="s">
        <v>63</v>
      </c>
      <c r="Z2405">
        <v>3</v>
      </c>
      <c r="AA2405">
        <v>198.45</v>
      </c>
      <c r="AB2405">
        <v>68</v>
      </c>
    </row>
    <row r="2406" spans="1:28" x14ac:dyDescent="0.2">
      <c r="A2406">
        <v>2938</v>
      </c>
      <c r="B2406" s="1">
        <v>44934</v>
      </c>
      <c r="C2406" t="s">
        <v>28</v>
      </c>
      <c r="D2406" t="s">
        <v>29</v>
      </c>
      <c r="E2406" t="s">
        <v>30</v>
      </c>
      <c r="F2406" t="s">
        <v>55</v>
      </c>
      <c r="G2406" t="s">
        <v>32</v>
      </c>
      <c r="H2406" t="s">
        <v>55</v>
      </c>
      <c r="I2406" t="s">
        <v>34</v>
      </c>
      <c r="J2406" t="s">
        <v>47</v>
      </c>
      <c r="K2406" s="2">
        <v>26644</v>
      </c>
      <c r="L2406" t="s">
        <v>36</v>
      </c>
      <c r="M2406" t="s">
        <v>48</v>
      </c>
      <c r="N2406" t="s">
        <v>38</v>
      </c>
      <c r="O2406" t="s">
        <v>67</v>
      </c>
      <c r="P2406" t="s">
        <v>98</v>
      </c>
      <c r="Q2406">
        <v>1</v>
      </c>
      <c r="R2406" s="2">
        <v>44956</v>
      </c>
      <c r="S2406">
        <v>2</v>
      </c>
      <c r="T2406">
        <v>5</v>
      </c>
      <c r="U2406">
        <v>1</v>
      </c>
      <c r="V2406" s="1">
        <v>45064</v>
      </c>
      <c r="W2406" t="s">
        <v>92</v>
      </c>
      <c r="X2406" t="s">
        <v>42</v>
      </c>
      <c r="Y2406" t="s">
        <v>73</v>
      </c>
      <c r="Z2406">
        <v>2</v>
      </c>
      <c r="AA2406">
        <v>478.07</v>
      </c>
      <c r="AB2406">
        <v>51</v>
      </c>
    </row>
    <row r="2407" spans="1:28" x14ac:dyDescent="0.2">
      <c r="A2407">
        <v>2939</v>
      </c>
      <c r="B2407" s="1">
        <v>44768</v>
      </c>
      <c r="C2407" t="s">
        <v>28</v>
      </c>
      <c r="D2407" t="s">
        <v>85</v>
      </c>
      <c r="E2407" t="s">
        <v>30</v>
      </c>
      <c r="F2407" t="s">
        <v>31</v>
      </c>
      <c r="G2407" t="s">
        <v>56</v>
      </c>
      <c r="H2407" t="s">
        <v>55</v>
      </c>
      <c r="I2407" t="s">
        <v>34</v>
      </c>
      <c r="J2407" t="s">
        <v>75</v>
      </c>
      <c r="K2407" s="2">
        <v>29425</v>
      </c>
      <c r="L2407" t="s">
        <v>36</v>
      </c>
      <c r="M2407" t="s">
        <v>37</v>
      </c>
      <c r="N2407" t="s">
        <v>49</v>
      </c>
      <c r="O2407" t="s">
        <v>61</v>
      </c>
      <c r="P2407" t="s">
        <v>98</v>
      </c>
      <c r="Q2407">
        <v>2</v>
      </c>
      <c r="R2407" s="2">
        <v>45029</v>
      </c>
      <c r="S2407">
        <v>4</v>
      </c>
      <c r="T2407">
        <v>3</v>
      </c>
      <c r="U2407">
        <v>3</v>
      </c>
      <c r="V2407" s="1">
        <v>44810</v>
      </c>
      <c r="W2407" t="s">
        <v>62</v>
      </c>
      <c r="X2407" t="s">
        <v>51</v>
      </c>
      <c r="Y2407" t="s">
        <v>63</v>
      </c>
      <c r="Z2407">
        <v>3</v>
      </c>
      <c r="AA2407">
        <v>285.5</v>
      </c>
      <c r="AB2407">
        <v>42</v>
      </c>
    </row>
    <row r="2408" spans="1:28" x14ac:dyDescent="0.2">
      <c r="A2408">
        <v>2940</v>
      </c>
      <c r="B2408" s="1">
        <v>44074</v>
      </c>
      <c r="C2408" t="s">
        <v>28</v>
      </c>
      <c r="D2408" t="s">
        <v>44</v>
      </c>
      <c r="E2408" t="s">
        <v>30</v>
      </c>
      <c r="F2408" t="s">
        <v>31</v>
      </c>
      <c r="G2408" t="s">
        <v>45</v>
      </c>
      <c r="H2408" t="s">
        <v>46</v>
      </c>
      <c r="I2408" t="s">
        <v>34</v>
      </c>
      <c r="J2408" t="s">
        <v>105</v>
      </c>
      <c r="K2408" s="2">
        <v>26638</v>
      </c>
      <c r="L2408" t="s">
        <v>36</v>
      </c>
      <c r="M2408" t="s">
        <v>37</v>
      </c>
      <c r="N2408" t="s">
        <v>72</v>
      </c>
      <c r="O2408" t="s">
        <v>61</v>
      </c>
      <c r="P2408" t="s">
        <v>98</v>
      </c>
      <c r="Q2408">
        <v>5</v>
      </c>
      <c r="R2408" s="2">
        <v>45034</v>
      </c>
      <c r="S2408">
        <v>5</v>
      </c>
      <c r="T2408">
        <v>1</v>
      </c>
      <c r="U2408">
        <v>3</v>
      </c>
      <c r="V2408" s="1">
        <v>45091</v>
      </c>
      <c r="W2408" t="s">
        <v>92</v>
      </c>
      <c r="X2408" t="s">
        <v>51</v>
      </c>
      <c r="Y2408" t="s">
        <v>73</v>
      </c>
      <c r="Z2408">
        <v>2</v>
      </c>
      <c r="AA2408">
        <v>490.26</v>
      </c>
      <c r="AB2408">
        <v>48</v>
      </c>
    </row>
    <row r="2409" spans="1:28" x14ac:dyDescent="0.2">
      <c r="A2409">
        <v>2941</v>
      </c>
      <c r="B2409" s="1">
        <v>44870</v>
      </c>
      <c r="C2409" t="s">
        <v>28</v>
      </c>
      <c r="D2409" t="s">
        <v>87</v>
      </c>
      <c r="E2409" t="s">
        <v>30</v>
      </c>
      <c r="F2409" t="s">
        <v>46</v>
      </c>
      <c r="G2409" t="s">
        <v>56</v>
      </c>
      <c r="H2409" t="s">
        <v>55</v>
      </c>
      <c r="I2409" t="s">
        <v>34</v>
      </c>
      <c r="J2409" t="s">
        <v>79</v>
      </c>
      <c r="K2409" s="2">
        <v>34450</v>
      </c>
      <c r="L2409" t="s">
        <v>36</v>
      </c>
      <c r="M2409" t="s">
        <v>48</v>
      </c>
      <c r="N2409" t="s">
        <v>49</v>
      </c>
      <c r="O2409" t="s">
        <v>77</v>
      </c>
      <c r="P2409" t="s">
        <v>98</v>
      </c>
      <c r="Q2409">
        <v>2</v>
      </c>
      <c r="R2409" s="2">
        <v>44909</v>
      </c>
      <c r="S2409">
        <v>5</v>
      </c>
      <c r="T2409">
        <v>2</v>
      </c>
      <c r="U2409">
        <v>5</v>
      </c>
      <c r="V2409" s="1">
        <v>44876</v>
      </c>
      <c r="W2409" t="s">
        <v>50</v>
      </c>
      <c r="X2409" t="s">
        <v>42</v>
      </c>
      <c r="Y2409" t="s">
        <v>63</v>
      </c>
      <c r="Z2409">
        <v>3</v>
      </c>
      <c r="AA2409">
        <v>828.68</v>
      </c>
      <c r="AB2409">
        <v>28</v>
      </c>
    </row>
    <row r="2410" spans="1:28" x14ac:dyDescent="0.2">
      <c r="A2410">
        <v>2942</v>
      </c>
      <c r="B2410" s="1">
        <v>43615</v>
      </c>
      <c r="C2410" t="s">
        <v>28</v>
      </c>
      <c r="D2410" t="s">
        <v>64</v>
      </c>
      <c r="E2410" t="s">
        <v>30</v>
      </c>
      <c r="F2410" t="s">
        <v>55</v>
      </c>
      <c r="G2410" t="s">
        <v>32</v>
      </c>
      <c r="H2410" t="s">
        <v>46</v>
      </c>
      <c r="I2410" t="s">
        <v>34</v>
      </c>
      <c r="J2410" t="s">
        <v>58</v>
      </c>
      <c r="K2410" s="2">
        <v>17958</v>
      </c>
      <c r="L2410" t="s">
        <v>36</v>
      </c>
      <c r="M2410" t="s">
        <v>37</v>
      </c>
      <c r="N2410" t="s">
        <v>72</v>
      </c>
      <c r="O2410" t="s">
        <v>39</v>
      </c>
      <c r="P2410" t="s">
        <v>98</v>
      </c>
      <c r="Q2410">
        <v>2</v>
      </c>
      <c r="R2410" s="2">
        <v>44851</v>
      </c>
      <c r="S2410">
        <v>3</v>
      </c>
      <c r="T2410">
        <v>3</v>
      </c>
      <c r="U2410">
        <v>4</v>
      </c>
      <c r="V2410" s="1">
        <v>44977</v>
      </c>
      <c r="W2410" t="s">
        <v>68</v>
      </c>
      <c r="X2410" t="s">
        <v>51</v>
      </c>
      <c r="Y2410" t="s">
        <v>52</v>
      </c>
      <c r="Z2410">
        <v>2</v>
      </c>
      <c r="AA2410">
        <v>858.29</v>
      </c>
      <c r="AB2410">
        <v>70</v>
      </c>
    </row>
    <row r="2411" spans="1:28" x14ac:dyDescent="0.2">
      <c r="A2411">
        <v>2943</v>
      </c>
      <c r="B2411" s="1">
        <v>43808</v>
      </c>
      <c r="C2411" t="s">
        <v>28</v>
      </c>
      <c r="D2411" t="s">
        <v>94</v>
      </c>
      <c r="E2411" t="s">
        <v>30</v>
      </c>
      <c r="F2411" t="s">
        <v>55</v>
      </c>
      <c r="G2411" t="s">
        <v>56</v>
      </c>
      <c r="H2411" t="s">
        <v>46</v>
      </c>
      <c r="I2411" t="s">
        <v>34</v>
      </c>
      <c r="J2411" t="s">
        <v>58</v>
      </c>
      <c r="K2411" s="2">
        <v>23056</v>
      </c>
      <c r="L2411" t="s">
        <v>36</v>
      </c>
      <c r="M2411" t="s">
        <v>37</v>
      </c>
      <c r="N2411" t="s">
        <v>60</v>
      </c>
      <c r="O2411" t="s">
        <v>61</v>
      </c>
      <c r="P2411" t="s">
        <v>98</v>
      </c>
      <c r="Q2411">
        <v>2</v>
      </c>
      <c r="R2411" s="2">
        <v>44852</v>
      </c>
      <c r="S2411">
        <v>4</v>
      </c>
      <c r="T2411">
        <v>1</v>
      </c>
      <c r="U2411">
        <v>5</v>
      </c>
      <c r="V2411" s="1">
        <v>45020</v>
      </c>
      <c r="W2411" t="s">
        <v>92</v>
      </c>
      <c r="X2411" t="s">
        <v>51</v>
      </c>
      <c r="Y2411" t="s">
        <v>63</v>
      </c>
      <c r="Z2411">
        <v>3</v>
      </c>
      <c r="AA2411">
        <v>494.19</v>
      </c>
      <c r="AB2411">
        <v>56</v>
      </c>
    </row>
    <row r="2412" spans="1:28" x14ac:dyDescent="0.2">
      <c r="A2412">
        <v>2944</v>
      </c>
      <c r="B2412" s="1">
        <v>43595</v>
      </c>
      <c r="C2412" t="s">
        <v>28</v>
      </c>
      <c r="D2412" t="s">
        <v>74</v>
      </c>
      <c r="E2412" t="s">
        <v>30</v>
      </c>
      <c r="F2412" t="s">
        <v>46</v>
      </c>
      <c r="G2412" t="s">
        <v>32</v>
      </c>
      <c r="H2412" t="s">
        <v>46</v>
      </c>
      <c r="I2412" t="s">
        <v>34</v>
      </c>
      <c r="J2412" t="s">
        <v>75</v>
      </c>
      <c r="K2412" s="2">
        <v>19092</v>
      </c>
      <c r="L2412" t="s">
        <v>36</v>
      </c>
      <c r="M2412" t="s">
        <v>37</v>
      </c>
      <c r="N2412" t="s">
        <v>60</v>
      </c>
      <c r="O2412" t="s">
        <v>39</v>
      </c>
      <c r="P2412" t="s">
        <v>98</v>
      </c>
      <c r="Q2412">
        <v>1</v>
      </c>
      <c r="R2412" s="2">
        <v>45067</v>
      </c>
      <c r="S2412">
        <v>2</v>
      </c>
      <c r="T2412">
        <v>4</v>
      </c>
      <c r="U2412">
        <v>1</v>
      </c>
      <c r="V2412" s="1">
        <v>44974</v>
      </c>
      <c r="W2412" t="s">
        <v>92</v>
      </c>
      <c r="X2412" t="s">
        <v>42</v>
      </c>
      <c r="Y2412" t="s">
        <v>73</v>
      </c>
      <c r="Z2412">
        <v>4</v>
      </c>
      <c r="AA2412">
        <v>502.56</v>
      </c>
      <c r="AB2412">
        <v>67</v>
      </c>
    </row>
    <row r="2413" spans="1:28" x14ac:dyDescent="0.2">
      <c r="A2413">
        <v>2945</v>
      </c>
      <c r="B2413" s="1">
        <v>43711</v>
      </c>
      <c r="C2413" t="s">
        <v>28</v>
      </c>
      <c r="D2413" t="s">
        <v>81</v>
      </c>
      <c r="E2413" t="s">
        <v>108</v>
      </c>
      <c r="F2413" t="s">
        <v>55</v>
      </c>
      <c r="G2413" t="s">
        <v>56</v>
      </c>
      <c r="H2413" t="s">
        <v>33</v>
      </c>
      <c r="I2413" t="s">
        <v>34</v>
      </c>
      <c r="J2413" t="s">
        <v>47</v>
      </c>
      <c r="K2413" s="2">
        <v>27993</v>
      </c>
      <c r="L2413" t="s">
        <v>36</v>
      </c>
      <c r="M2413" t="s">
        <v>48</v>
      </c>
      <c r="N2413" t="s">
        <v>38</v>
      </c>
      <c r="O2413" t="s">
        <v>39</v>
      </c>
      <c r="P2413" t="s">
        <v>98</v>
      </c>
      <c r="Q2413">
        <v>4</v>
      </c>
      <c r="R2413" s="2">
        <v>44825</v>
      </c>
      <c r="S2413">
        <v>4</v>
      </c>
      <c r="T2413">
        <v>2</v>
      </c>
      <c r="U2413">
        <v>1</v>
      </c>
      <c r="V2413" s="1">
        <v>45108</v>
      </c>
      <c r="W2413" t="s">
        <v>92</v>
      </c>
      <c r="X2413" t="s">
        <v>51</v>
      </c>
      <c r="Y2413" t="s">
        <v>43</v>
      </c>
      <c r="Z2413">
        <v>5</v>
      </c>
      <c r="AA2413">
        <v>826.82</v>
      </c>
      <c r="AB2413">
        <v>43</v>
      </c>
    </row>
    <row r="2414" spans="1:28" x14ac:dyDescent="0.2">
      <c r="A2414">
        <v>2946</v>
      </c>
      <c r="B2414" s="1">
        <v>43356</v>
      </c>
      <c r="C2414" t="s">
        <v>106</v>
      </c>
      <c r="D2414" t="s">
        <v>69</v>
      </c>
      <c r="E2414" t="s">
        <v>30</v>
      </c>
      <c r="F2414" t="s">
        <v>31</v>
      </c>
      <c r="G2414" t="s">
        <v>45</v>
      </c>
      <c r="H2414" t="s">
        <v>55</v>
      </c>
      <c r="I2414" t="s">
        <v>34</v>
      </c>
      <c r="J2414" t="s">
        <v>89</v>
      </c>
      <c r="K2414" s="2">
        <v>30862</v>
      </c>
      <c r="L2414" t="s">
        <v>36</v>
      </c>
      <c r="M2414" t="s">
        <v>48</v>
      </c>
      <c r="N2414" t="s">
        <v>72</v>
      </c>
      <c r="O2414" t="s">
        <v>77</v>
      </c>
      <c r="P2414" t="s">
        <v>98</v>
      </c>
      <c r="Q2414">
        <v>2</v>
      </c>
      <c r="R2414" s="2">
        <v>44946</v>
      </c>
      <c r="S2414">
        <v>4</v>
      </c>
      <c r="T2414">
        <v>5</v>
      </c>
      <c r="U2414">
        <v>3</v>
      </c>
      <c r="V2414" s="1">
        <v>45119</v>
      </c>
      <c r="W2414" t="s">
        <v>41</v>
      </c>
      <c r="X2414" t="s">
        <v>42</v>
      </c>
      <c r="Y2414" t="s">
        <v>43</v>
      </c>
      <c r="Z2414">
        <v>4</v>
      </c>
      <c r="AA2414">
        <v>655.83</v>
      </c>
      <c r="AB2414">
        <v>34</v>
      </c>
    </row>
    <row r="2415" spans="1:28" x14ac:dyDescent="0.2">
      <c r="A2415">
        <v>2947</v>
      </c>
      <c r="B2415" s="1">
        <v>44357</v>
      </c>
      <c r="C2415" t="s">
        <v>106</v>
      </c>
      <c r="D2415" t="s">
        <v>29</v>
      </c>
      <c r="E2415" t="s">
        <v>30</v>
      </c>
      <c r="F2415" t="s">
        <v>46</v>
      </c>
      <c r="G2415" t="s">
        <v>32</v>
      </c>
      <c r="H2415" t="s">
        <v>33</v>
      </c>
      <c r="I2415" t="s">
        <v>34</v>
      </c>
      <c r="J2415" t="s">
        <v>101</v>
      </c>
      <c r="K2415" s="2">
        <v>21415</v>
      </c>
      <c r="L2415" t="s">
        <v>36</v>
      </c>
      <c r="M2415" t="s">
        <v>48</v>
      </c>
      <c r="N2415" t="s">
        <v>84</v>
      </c>
      <c r="O2415" t="s">
        <v>77</v>
      </c>
      <c r="P2415" t="s">
        <v>40</v>
      </c>
      <c r="Q2415">
        <v>1</v>
      </c>
      <c r="R2415" s="2">
        <v>44968</v>
      </c>
      <c r="S2415">
        <v>3</v>
      </c>
      <c r="T2415">
        <v>4</v>
      </c>
      <c r="U2415">
        <v>2</v>
      </c>
      <c r="V2415" s="1">
        <v>44786</v>
      </c>
      <c r="W2415" t="s">
        <v>62</v>
      </c>
      <c r="X2415" t="s">
        <v>51</v>
      </c>
      <c r="Y2415" t="s">
        <v>52</v>
      </c>
      <c r="Z2415">
        <v>1</v>
      </c>
      <c r="AA2415">
        <v>543.80999999999995</v>
      </c>
      <c r="AB2415">
        <v>63</v>
      </c>
    </row>
    <row r="2416" spans="1:28" x14ac:dyDescent="0.2">
      <c r="A2416">
        <v>2950</v>
      </c>
      <c r="B2416" s="1">
        <v>43357</v>
      </c>
      <c r="C2416" t="s">
        <v>106</v>
      </c>
      <c r="D2416" t="s">
        <v>87</v>
      </c>
      <c r="E2416" t="s">
        <v>108</v>
      </c>
      <c r="F2416" t="s">
        <v>46</v>
      </c>
      <c r="G2416" t="s">
        <v>32</v>
      </c>
      <c r="H2416" t="s">
        <v>33</v>
      </c>
      <c r="I2416" t="s">
        <v>34</v>
      </c>
      <c r="J2416" t="s">
        <v>104</v>
      </c>
      <c r="K2416" s="2">
        <v>15710</v>
      </c>
      <c r="L2416" t="s">
        <v>36</v>
      </c>
      <c r="M2416" t="s">
        <v>37</v>
      </c>
      <c r="N2416" t="s">
        <v>38</v>
      </c>
      <c r="O2416" t="s">
        <v>67</v>
      </c>
      <c r="P2416" t="s">
        <v>98</v>
      </c>
      <c r="Q2416">
        <v>4</v>
      </c>
      <c r="R2416" s="2">
        <v>44794</v>
      </c>
      <c r="S2416">
        <v>3</v>
      </c>
      <c r="T2416">
        <v>3</v>
      </c>
      <c r="U2416">
        <v>5</v>
      </c>
      <c r="V2416" s="1">
        <v>45004</v>
      </c>
      <c r="W2416" t="s">
        <v>68</v>
      </c>
      <c r="X2416" t="s">
        <v>42</v>
      </c>
      <c r="Y2416" t="s">
        <v>63</v>
      </c>
      <c r="Z2416">
        <v>2</v>
      </c>
      <c r="AA2416">
        <v>331.52</v>
      </c>
      <c r="AB2416">
        <v>75</v>
      </c>
    </row>
    <row r="2417" spans="1:28" x14ac:dyDescent="0.2">
      <c r="A2417">
        <v>2951</v>
      </c>
      <c r="B2417" s="1">
        <v>43611</v>
      </c>
      <c r="C2417" t="s">
        <v>106</v>
      </c>
      <c r="D2417" t="s">
        <v>64</v>
      </c>
      <c r="E2417" t="s">
        <v>30</v>
      </c>
      <c r="F2417" t="s">
        <v>55</v>
      </c>
      <c r="G2417" t="s">
        <v>32</v>
      </c>
      <c r="H2417" t="s">
        <v>46</v>
      </c>
      <c r="I2417" t="s">
        <v>34</v>
      </c>
      <c r="J2417" t="s">
        <v>65</v>
      </c>
      <c r="K2417" s="2">
        <v>15984</v>
      </c>
      <c r="L2417" t="s">
        <v>36</v>
      </c>
      <c r="M2417" t="s">
        <v>37</v>
      </c>
      <c r="N2417" t="s">
        <v>72</v>
      </c>
      <c r="O2417" t="s">
        <v>39</v>
      </c>
      <c r="P2417" t="s">
        <v>40</v>
      </c>
      <c r="Q2417">
        <v>2</v>
      </c>
      <c r="R2417" s="2">
        <v>45077</v>
      </c>
      <c r="S2417">
        <v>3</v>
      </c>
      <c r="T2417">
        <v>1</v>
      </c>
      <c r="U2417">
        <v>3</v>
      </c>
      <c r="V2417" s="1">
        <v>44811</v>
      </c>
      <c r="W2417" t="s">
        <v>41</v>
      </c>
      <c r="X2417" t="s">
        <v>51</v>
      </c>
      <c r="Y2417" t="s">
        <v>73</v>
      </c>
      <c r="Z2417">
        <v>3</v>
      </c>
      <c r="AA2417">
        <v>973.96</v>
      </c>
      <c r="AB2417">
        <v>76</v>
      </c>
    </row>
    <row r="2418" spans="1:28" x14ac:dyDescent="0.2">
      <c r="A2418">
        <v>2952</v>
      </c>
      <c r="B2418" s="1">
        <v>43651</v>
      </c>
      <c r="C2418" t="s">
        <v>106</v>
      </c>
      <c r="D2418" t="s">
        <v>94</v>
      </c>
      <c r="E2418" t="s">
        <v>30</v>
      </c>
      <c r="F2418" t="s">
        <v>31</v>
      </c>
      <c r="G2418" t="s">
        <v>32</v>
      </c>
      <c r="H2418" t="s">
        <v>55</v>
      </c>
      <c r="I2418" t="s">
        <v>34</v>
      </c>
      <c r="J2418" t="s">
        <v>75</v>
      </c>
      <c r="K2418" s="2">
        <v>19110</v>
      </c>
      <c r="L2418" t="s">
        <v>36</v>
      </c>
      <c r="M2418" t="s">
        <v>37</v>
      </c>
      <c r="N2418" t="s">
        <v>72</v>
      </c>
      <c r="O2418" t="s">
        <v>39</v>
      </c>
      <c r="P2418" t="s">
        <v>40</v>
      </c>
      <c r="Q2418">
        <v>4</v>
      </c>
      <c r="R2418" s="2">
        <v>45017</v>
      </c>
      <c r="S2418">
        <v>5</v>
      </c>
      <c r="T2418">
        <v>3</v>
      </c>
      <c r="U2418">
        <v>2</v>
      </c>
      <c r="V2418" s="1">
        <v>45054</v>
      </c>
      <c r="W2418" t="s">
        <v>92</v>
      </c>
      <c r="X2418" t="s">
        <v>42</v>
      </c>
      <c r="Y2418" t="s">
        <v>63</v>
      </c>
      <c r="Z2418">
        <v>3</v>
      </c>
      <c r="AA2418">
        <v>149.09</v>
      </c>
      <c r="AB2418">
        <v>67</v>
      </c>
    </row>
    <row r="2419" spans="1:28" x14ac:dyDescent="0.2">
      <c r="A2419">
        <v>2953</v>
      </c>
      <c r="B2419" s="1">
        <v>43774</v>
      </c>
      <c r="C2419" t="s">
        <v>28</v>
      </c>
      <c r="D2419" t="s">
        <v>64</v>
      </c>
      <c r="E2419" t="s">
        <v>30</v>
      </c>
      <c r="F2419" t="s">
        <v>55</v>
      </c>
      <c r="G2419" t="s">
        <v>56</v>
      </c>
      <c r="H2419" t="s">
        <v>55</v>
      </c>
      <c r="I2419" t="s">
        <v>34</v>
      </c>
      <c r="J2419" t="s">
        <v>70</v>
      </c>
      <c r="K2419" s="2">
        <v>20898</v>
      </c>
      <c r="L2419" t="s">
        <v>36</v>
      </c>
      <c r="M2419" t="s">
        <v>48</v>
      </c>
      <c r="N2419" t="s">
        <v>60</v>
      </c>
      <c r="O2419" t="s">
        <v>39</v>
      </c>
      <c r="P2419" t="s">
        <v>40</v>
      </c>
      <c r="Q2419">
        <v>5</v>
      </c>
      <c r="R2419" s="2">
        <v>45078</v>
      </c>
      <c r="S2419">
        <v>2</v>
      </c>
      <c r="T2419">
        <v>3</v>
      </c>
      <c r="U2419">
        <v>4</v>
      </c>
      <c r="V2419" s="1">
        <v>44906</v>
      </c>
      <c r="W2419" t="s">
        <v>41</v>
      </c>
      <c r="X2419" t="s">
        <v>51</v>
      </c>
      <c r="Y2419" t="s">
        <v>52</v>
      </c>
      <c r="Z2419">
        <v>4</v>
      </c>
      <c r="AA2419">
        <v>925.16</v>
      </c>
      <c r="AB2419">
        <v>62</v>
      </c>
    </row>
    <row r="2420" spans="1:28" x14ac:dyDescent="0.2">
      <c r="A2420">
        <v>2954</v>
      </c>
      <c r="B2420" s="1">
        <v>43668</v>
      </c>
      <c r="C2420" t="s">
        <v>28</v>
      </c>
      <c r="D2420" t="s">
        <v>74</v>
      </c>
      <c r="E2420" t="s">
        <v>30</v>
      </c>
      <c r="F2420" t="s">
        <v>46</v>
      </c>
      <c r="G2420" t="s">
        <v>56</v>
      </c>
      <c r="H2420" t="s">
        <v>46</v>
      </c>
      <c r="I2420" t="s">
        <v>34</v>
      </c>
      <c r="J2420" t="s">
        <v>70</v>
      </c>
      <c r="K2420" s="2">
        <v>20311</v>
      </c>
      <c r="L2420" t="s">
        <v>36</v>
      </c>
      <c r="M2420" t="s">
        <v>37</v>
      </c>
      <c r="N2420" t="s">
        <v>72</v>
      </c>
      <c r="O2420" t="s">
        <v>39</v>
      </c>
      <c r="P2420" t="s">
        <v>40</v>
      </c>
      <c r="Q2420">
        <v>2</v>
      </c>
      <c r="R2420" s="2">
        <v>45131</v>
      </c>
      <c r="S2420">
        <v>5</v>
      </c>
      <c r="T2420">
        <v>2</v>
      </c>
      <c r="U2420">
        <v>1</v>
      </c>
      <c r="V2420" s="1">
        <v>44857</v>
      </c>
      <c r="W2420" t="s">
        <v>62</v>
      </c>
      <c r="X2420" t="s">
        <v>51</v>
      </c>
      <c r="Y2420" t="s">
        <v>73</v>
      </c>
      <c r="Z2420">
        <v>2</v>
      </c>
      <c r="AA2420">
        <v>833.13</v>
      </c>
      <c r="AB2420">
        <v>64</v>
      </c>
    </row>
    <row r="2421" spans="1:28" x14ac:dyDescent="0.2">
      <c r="A2421">
        <v>2955</v>
      </c>
      <c r="B2421" s="1">
        <v>44095</v>
      </c>
      <c r="C2421" t="s">
        <v>28</v>
      </c>
      <c r="D2421" t="s">
        <v>94</v>
      </c>
      <c r="E2421" t="s">
        <v>30</v>
      </c>
      <c r="F2421" t="s">
        <v>55</v>
      </c>
      <c r="G2421" t="s">
        <v>45</v>
      </c>
      <c r="H2421" t="s">
        <v>46</v>
      </c>
      <c r="I2421" t="s">
        <v>34</v>
      </c>
      <c r="J2421" t="s">
        <v>65</v>
      </c>
      <c r="K2421" s="2">
        <v>21715</v>
      </c>
      <c r="L2421" t="s">
        <v>36</v>
      </c>
      <c r="M2421" t="s">
        <v>48</v>
      </c>
      <c r="N2421" t="s">
        <v>60</v>
      </c>
      <c r="O2421" t="s">
        <v>67</v>
      </c>
      <c r="P2421" t="s">
        <v>40</v>
      </c>
      <c r="Q2421">
        <v>1</v>
      </c>
      <c r="R2421" s="2">
        <v>45089</v>
      </c>
      <c r="S2421">
        <v>5</v>
      </c>
      <c r="T2421">
        <v>2</v>
      </c>
      <c r="U2421">
        <v>3</v>
      </c>
      <c r="V2421" s="1">
        <v>45081</v>
      </c>
      <c r="W2421" t="s">
        <v>62</v>
      </c>
      <c r="X2421" t="s">
        <v>51</v>
      </c>
      <c r="Y2421" t="s">
        <v>43</v>
      </c>
      <c r="Z2421">
        <v>5</v>
      </c>
      <c r="AA2421">
        <v>191.49</v>
      </c>
      <c r="AB2421">
        <v>61</v>
      </c>
    </row>
    <row r="2422" spans="1:28" x14ac:dyDescent="0.2">
      <c r="A2422">
        <v>2956</v>
      </c>
      <c r="B2422" s="1">
        <v>43780</v>
      </c>
      <c r="C2422" t="s">
        <v>28</v>
      </c>
      <c r="D2422" t="s">
        <v>74</v>
      </c>
      <c r="E2422" t="s">
        <v>30</v>
      </c>
      <c r="F2422" t="s">
        <v>46</v>
      </c>
      <c r="G2422" t="s">
        <v>32</v>
      </c>
      <c r="H2422" t="s">
        <v>55</v>
      </c>
      <c r="I2422" t="s">
        <v>34</v>
      </c>
      <c r="J2422" t="s">
        <v>79</v>
      </c>
      <c r="K2422" s="2">
        <v>36509</v>
      </c>
      <c r="L2422" t="s">
        <v>36</v>
      </c>
      <c r="M2422" t="s">
        <v>48</v>
      </c>
      <c r="N2422" t="s">
        <v>49</v>
      </c>
      <c r="O2422" t="s">
        <v>39</v>
      </c>
      <c r="P2422" t="s">
        <v>40</v>
      </c>
      <c r="Q2422">
        <v>2</v>
      </c>
      <c r="R2422" s="2">
        <v>44963</v>
      </c>
      <c r="S2422">
        <v>5</v>
      </c>
      <c r="T2422">
        <v>4</v>
      </c>
      <c r="U2422">
        <v>1</v>
      </c>
      <c r="V2422" s="1">
        <v>44847</v>
      </c>
      <c r="W2422" t="s">
        <v>50</v>
      </c>
      <c r="X2422" t="s">
        <v>51</v>
      </c>
      <c r="Y2422" t="s">
        <v>73</v>
      </c>
      <c r="Z2422">
        <v>3</v>
      </c>
      <c r="AA2422">
        <v>474.15</v>
      </c>
      <c r="AB2422">
        <v>20</v>
      </c>
    </row>
    <row r="2423" spans="1:28" x14ac:dyDescent="0.2">
      <c r="A2423">
        <v>2957</v>
      </c>
      <c r="B2423" s="1">
        <v>44235</v>
      </c>
      <c r="C2423" t="s">
        <v>28</v>
      </c>
      <c r="D2423" t="s">
        <v>81</v>
      </c>
      <c r="E2423" t="s">
        <v>30</v>
      </c>
      <c r="F2423" t="s">
        <v>46</v>
      </c>
      <c r="G2423" t="s">
        <v>56</v>
      </c>
      <c r="H2423" t="s">
        <v>33</v>
      </c>
      <c r="I2423" t="s">
        <v>34</v>
      </c>
      <c r="J2423" t="s">
        <v>70</v>
      </c>
      <c r="K2423" s="2">
        <v>21928</v>
      </c>
      <c r="L2423" t="s">
        <v>36</v>
      </c>
      <c r="M2423" t="s">
        <v>48</v>
      </c>
      <c r="N2423" t="s">
        <v>49</v>
      </c>
      <c r="O2423" t="s">
        <v>61</v>
      </c>
      <c r="P2423" t="s">
        <v>40</v>
      </c>
      <c r="Q2423">
        <v>1</v>
      </c>
      <c r="R2423" s="2">
        <v>44978</v>
      </c>
      <c r="S2423">
        <v>1</v>
      </c>
      <c r="T2423">
        <v>3</v>
      </c>
      <c r="U2423">
        <v>4</v>
      </c>
      <c r="V2423" s="1">
        <v>44803</v>
      </c>
      <c r="W2423" t="s">
        <v>62</v>
      </c>
      <c r="X2423" t="s">
        <v>51</v>
      </c>
      <c r="Y2423" t="s">
        <v>43</v>
      </c>
      <c r="Z2423">
        <v>1</v>
      </c>
      <c r="AA2423">
        <v>550.41999999999996</v>
      </c>
      <c r="AB2423">
        <v>61</v>
      </c>
    </row>
    <row r="2424" spans="1:28" x14ac:dyDescent="0.2">
      <c r="A2424">
        <v>2958</v>
      </c>
      <c r="B2424" s="1">
        <v>43983</v>
      </c>
      <c r="C2424" t="s">
        <v>28</v>
      </c>
      <c r="D2424" t="s">
        <v>54</v>
      </c>
      <c r="E2424" t="s">
        <v>30</v>
      </c>
      <c r="F2424" t="s">
        <v>31</v>
      </c>
      <c r="G2424" t="s">
        <v>32</v>
      </c>
      <c r="H2424" t="s">
        <v>55</v>
      </c>
      <c r="I2424" t="s">
        <v>34</v>
      </c>
      <c r="J2424" t="s">
        <v>104</v>
      </c>
      <c r="K2424" s="2">
        <v>16536</v>
      </c>
      <c r="L2424" t="s">
        <v>36</v>
      </c>
      <c r="M2424" t="s">
        <v>48</v>
      </c>
      <c r="N2424" t="s">
        <v>72</v>
      </c>
      <c r="O2424" t="s">
        <v>77</v>
      </c>
      <c r="P2424" t="s">
        <v>40</v>
      </c>
      <c r="Q2424">
        <v>4</v>
      </c>
      <c r="R2424" s="2">
        <v>45062</v>
      </c>
      <c r="S2424">
        <v>1</v>
      </c>
      <c r="T2424">
        <v>2</v>
      </c>
      <c r="U2424">
        <v>4</v>
      </c>
      <c r="V2424" s="1">
        <v>44966</v>
      </c>
      <c r="W2424" t="s">
        <v>68</v>
      </c>
      <c r="X2424" t="s">
        <v>51</v>
      </c>
      <c r="Y2424" t="s">
        <v>52</v>
      </c>
      <c r="Z2424">
        <v>1</v>
      </c>
      <c r="AA2424">
        <v>681.23</v>
      </c>
      <c r="AB2424">
        <v>75</v>
      </c>
    </row>
    <row r="2425" spans="1:28" x14ac:dyDescent="0.2">
      <c r="A2425">
        <v>2959</v>
      </c>
      <c r="B2425" s="1">
        <v>44860</v>
      </c>
      <c r="C2425" t="s">
        <v>28</v>
      </c>
      <c r="D2425" t="s">
        <v>69</v>
      </c>
      <c r="E2425" t="s">
        <v>108</v>
      </c>
      <c r="F2425" t="s">
        <v>46</v>
      </c>
      <c r="G2425" t="s">
        <v>45</v>
      </c>
      <c r="H2425" t="s">
        <v>33</v>
      </c>
      <c r="I2425" t="s">
        <v>34</v>
      </c>
      <c r="J2425" t="s">
        <v>47</v>
      </c>
      <c r="K2425" s="2">
        <v>15583</v>
      </c>
      <c r="L2425" t="s">
        <v>36</v>
      </c>
      <c r="M2425" t="s">
        <v>48</v>
      </c>
      <c r="N2425" t="s">
        <v>49</v>
      </c>
      <c r="O2425" t="s">
        <v>39</v>
      </c>
      <c r="P2425" t="s">
        <v>40</v>
      </c>
      <c r="Q2425">
        <v>2</v>
      </c>
      <c r="R2425" s="2">
        <v>45112</v>
      </c>
      <c r="S2425">
        <v>1</v>
      </c>
      <c r="T2425">
        <v>5</v>
      </c>
      <c r="U2425">
        <v>2</v>
      </c>
      <c r="V2425" s="1">
        <v>45113</v>
      </c>
      <c r="W2425" t="s">
        <v>50</v>
      </c>
      <c r="X2425" t="s">
        <v>42</v>
      </c>
      <c r="Y2425" t="s">
        <v>52</v>
      </c>
      <c r="Z2425">
        <v>5</v>
      </c>
      <c r="AA2425">
        <v>657.64</v>
      </c>
      <c r="AB2425">
        <v>80</v>
      </c>
    </row>
    <row r="2426" spans="1:28" x14ac:dyDescent="0.2">
      <c r="A2426">
        <v>2960</v>
      </c>
      <c r="B2426" s="1">
        <v>43508</v>
      </c>
      <c r="C2426" t="s">
        <v>28</v>
      </c>
      <c r="D2426" t="s">
        <v>29</v>
      </c>
      <c r="E2426" t="s">
        <v>30</v>
      </c>
      <c r="F2426" t="s">
        <v>55</v>
      </c>
      <c r="G2426" t="s">
        <v>32</v>
      </c>
      <c r="H2426" t="s">
        <v>46</v>
      </c>
      <c r="I2426" t="s">
        <v>34</v>
      </c>
      <c r="J2426" t="s">
        <v>65</v>
      </c>
      <c r="K2426" s="2">
        <v>28024</v>
      </c>
      <c r="L2426" t="s">
        <v>36</v>
      </c>
      <c r="M2426" t="s">
        <v>37</v>
      </c>
      <c r="N2426" t="s">
        <v>38</v>
      </c>
      <c r="O2426" t="s">
        <v>77</v>
      </c>
      <c r="P2426" t="s">
        <v>40</v>
      </c>
      <c r="Q2426">
        <v>2</v>
      </c>
      <c r="R2426" s="2">
        <v>44827</v>
      </c>
      <c r="S2426">
        <v>2</v>
      </c>
      <c r="T2426">
        <v>4</v>
      </c>
      <c r="U2426">
        <v>3</v>
      </c>
      <c r="V2426" s="1">
        <v>44911</v>
      </c>
      <c r="W2426" t="s">
        <v>62</v>
      </c>
      <c r="X2426" t="s">
        <v>42</v>
      </c>
      <c r="Y2426" t="s">
        <v>52</v>
      </c>
      <c r="Z2426">
        <v>4</v>
      </c>
      <c r="AA2426">
        <v>449.66</v>
      </c>
      <c r="AB2426">
        <v>43</v>
      </c>
    </row>
    <row r="2427" spans="1:28" x14ac:dyDescent="0.2">
      <c r="A2427">
        <v>2961</v>
      </c>
      <c r="B2427" s="1">
        <v>44853</v>
      </c>
      <c r="C2427" t="s">
        <v>28</v>
      </c>
      <c r="D2427" t="s">
        <v>85</v>
      </c>
      <c r="E2427" t="s">
        <v>30</v>
      </c>
      <c r="F2427" t="s">
        <v>55</v>
      </c>
      <c r="G2427" t="s">
        <v>45</v>
      </c>
      <c r="H2427" t="s">
        <v>55</v>
      </c>
      <c r="I2427" t="s">
        <v>34</v>
      </c>
      <c r="J2427" t="s">
        <v>70</v>
      </c>
      <c r="K2427" s="2">
        <v>28479</v>
      </c>
      <c r="L2427" t="s">
        <v>36</v>
      </c>
      <c r="M2427" t="s">
        <v>37</v>
      </c>
      <c r="N2427" t="s">
        <v>84</v>
      </c>
      <c r="O2427" t="s">
        <v>77</v>
      </c>
      <c r="P2427" t="s">
        <v>40</v>
      </c>
      <c r="Q2427">
        <v>2</v>
      </c>
      <c r="R2427" s="2">
        <v>44969</v>
      </c>
      <c r="S2427">
        <v>2</v>
      </c>
      <c r="T2427">
        <v>2</v>
      </c>
      <c r="U2427">
        <v>4</v>
      </c>
      <c r="V2427" s="1">
        <v>44945</v>
      </c>
      <c r="W2427" t="s">
        <v>41</v>
      </c>
      <c r="X2427" t="s">
        <v>51</v>
      </c>
      <c r="Y2427" t="s">
        <v>73</v>
      </c>
      <c r="Z2427">
        <v>5</v>
      </c>
      <c r="AA2427">
        <v>587.25</v>
      </c>
      <c r="AB2427">
        <v>45</v>
      </c>
    </row>
    <row r="2428" spans="1:28" x14ac:dyDescent="0.2">
      <c r="A2428">
        <v>2962</v>
      </c>
      <c r="B2428" s="1">
        <v>43811</v>
      </c>
      <c r="C2428" t="s">
        <v>28</v>
      </c>
      <c r="D2428" t="s">
        <v>44</v>
      </c>
      <c r="E2428" t="s">
        <v>30</v>
      </c>
      <c r="F2428" t="s">
        <v>55</v>
      </c>
      <c r="G2428" t="s">
        <v>45</v>
      </c>
      <c r="H2428" t="s">
        <v>55</v>
      </c>
      <c r="I2428" t="s">
        <v>34</v>
      </c>
      <c r="J2428" t="s">
        <v>79</v>
      </c>
      <c r="K2428" s="2">
        <v>30227</v>
      </c>
      <c r="L2428" t="s">
        <v>36</v>
      </c>
      <c r="M2428" t="s">
        <v>37</v>
      </c>
      <c r="N2428" t="s">
        <v>49</v>
      </c>
      <c r="O2428" t="s">
        <v>61</v>
      </c>
      <c r="P2428" t="s">
        <v>40</v>
      </c>
      <c r="Q2428">
        <v>1</v>
      </c>
      <c r="R2428" s="2">
        <v>44914</v>
      </c>
      <c r="S2428">
        <v>1</v>
      </c>
      <c r="T2428">
        <v>2</v>
      </c>
      <c r="U2428">
        <v>3</v>
      </c>
      <c r="V2428" s="1">
        <v>44801</v>
      </c>
      <c r="W2428" t="s">
        <v>50</v>
      </c>
      <c r="X2428" t="s">
        <v>42</v>
      </c>
      <c r="Y2428" t="s">
        <v>43</v>
      </c>
      <c r="Z2428">
        <v>2</v>
      </c>
      <c r="AA2428">
        <v>198.55</v>
      </c>
      <c r="AB2428">
        <v>37</v>
      </c>
    </row>
    <row r="2429" spans="1:28" x14ac:dyDescent="0.2">
      <c r="A2429">
        <v>2963</v>
      </c>
      <c r="B2429" s="1">
        <v>44529</v>
      </c>
      <c r="C2429" t="s">
        <v>28</v>
      </c>
      <c r="D2429" t="s">
        <v>87</v>
      </c>
      <c r="E2429" t="s">
        <v>30</v>
      </c>
      <c r="F2429" t="s">
        <v>55</v>
      </c>
      <c r="G2429" t="s">
        <v>56</v>
      </c>
      <c r="H2429" t="s">
        <v>55</v>
      </c>
      <c r="I2429" t="s">
        <v>34</v>
      </c>
      <c r="J2429" t="s">
        <v>70</v>
      </c>
      <c r="K2429" s="2">
        <v>27641</v>
      </c>
      <c r="L2429" t="s">
        <v>36</v>
      </c>
      <c r="M2429" t="s">
        <v>48</v>
      </c>
      <c r="N2429" t="s">
        <v>60</v>
      </c>
      <c r="O2429" t="s">
        <v>67</v>
      </c>
      <c r="P2429" t="s">
        <v>40</v>
      </c>
      <c r="Q2429">
        <v>2</v>
      </c>
      <c r="R2429" s="2">
        <v>44836</v>
      </c>
      <c r="S2429">
        <v>1</v>
      </c>
      <c r="T2429">
        <v>3</v>
      </c>
      <c r="U2429">
        <v>2</v>
      </c>
      <c r="V2429" s="1">
        <v>45085</v>
      </c>
      <c r="W2429" t="s">
        <v>50</v>
      </c>
      <c r="X2429" t="s">
        <v>51</v>
      </c>
      <c r="Y2429" t="s">
        <v>63</v>
      </c>
      <c r="Z2429">
        <v>5</v>
      </c>
      <c r="AA2429">
        <v>629.24</v>
      </c>
      <c r="AB2429">
        <v>46</v>
      </c>
    </row>
    <row r="2430" spans="1:28" x14ac:dyDescent="0.2">
      <c r="A2430">
        <v>2964</v>
      </c>
      <c r="B2430" s="1">
        <v>44331</v>
      </c>
      <c r="C2430" t="s">
        <v>28</v>
      </c>
      <c r="D2430" t="s">
        <v>64</v>
      </c>
      <c r="E2430" t="s">
        <v>30</v>
      </c>
      <c r="F2430" t="s">
        <v>46</v>
      </c>
      <c r="G2430" t="s">
        <v>56</v>
      </c>
      <c r="H2430" t="s">
        <v>55</v>
      </c>
      <c r="I2430" t="s">
        <v>34</v>
      </c>
      <c r="J2430" t="s">
        <v>70</v>
      </c>
      <c r="K2430" s="2">
        <v>21338</v>
      </c>
      <c r="L2430" t="s">
        <v>36</v>
      </c>
      <c r="M2430" t="s">
        <v>37</v>
      </c>
      <c r="N2430" t="s">
        <v>60</v>
      </c>
      <c r="O2430" t="s">
        <v>77</v>
      </c>
      <c r="P2430" t="s">
        <v>40</v>
      </c>
      <c r="Q2430">
        <v>2</v>
      </c>
      <c r="R2430" s="2">
        <v>44910</v>
      </c>
      <c r="S2430">
        <v>4</v>
      </c>
      <c r="T2430">
        <v>1</v>
      </c>
      <c r="U2430">
        <v>3</v>
      </c>
      <c r="V2430" s="1">
        <v>44848</v>
      </c>
      <c r="W2430" t="s">
        <v>92</v>
      </c>
      <c r="X2430" t="s">
        <v>42</v>
      </c>
      <c r="Y2430" t="s">
        <v>52</v>
      </c>
      <c r="Z2430">
        <v>2</v>
      </c>
      <c r="AA2430">
        <v>614.05999999999995</v>
      </c>
      <c r="AB2430">
        <v>63</v>
      </c>
    </row>
    <row r="2431" spans="1:28" x14ac:dyDescent="0.2">
      <c r="A2431">
        <v>2965</v>
      </c>
      <c r="B2431" s="1">
        <v>44953</v>
      </c>
      <c r="C2431" t="s">
        <v>28</v>
      </c>
      <c r="D2431" t="s">
        <v>94</v>
      </c>
      <c r="E2431" t="s">
        <v>30</v>
      </c>
      <c r="F2431" t="s">
        <v>31</v>
      </c>
      <c r="G2431" t="s">
        <v>56</v>
      </c>
      <c r="H2431" t="s">
        <v>33</v>
      </c>
      <c r="I2431" t="s">
        <v>34</v>
      </c>
      <c r="J2431" t="s">
        <v>70</v>
      </c>
      <c r="K2431" s="2">
        <v>20824</v>
      </c>
      <c r="L2431" t="s">
        <v>36</v>
      </c>
      <c r="M2431" t="s">
        <v>37</v>
      </c>
      <c r="N2431" t="s">
        <v>49</v>
      </c>
      <c r="O2431" t="s">
        <v>77</v>
      </c>
      <c r="P2431" t="s">
        <v>40</v>
      </c>
      <c r="Q2431">
        <v>1</v>
      </c>
      <c r="R2431" s="2">
        <v>45120</v>
      </c>
      <c r="S2431">
        <v>4</v>
      </c>
      <c r="T2431">
        <v>4</v>
      </c>
      <c r="U2431">
        <v>5</v>
      </c>
      <c r="V2431" s="1">
        <v>44992</v>
      </c>
      <c r="W2431" t="s">
        <v>62</v>
      </c>
      <c r="X2431" t="s">
        <v>51</v>
      </c>
      <c r="Y2431" t="s">
        <v>63</v>
      </c>
      <c r="Z2431">
        <v>3</v>
      </c>
      <c r="AA2431">
        <v>426.26</v>
      </c>
      <c r="AB2431">
        <v>66</v>
      </c>
    </row>
    <row r="2432" spans="1:28" x14ac:dyDescent="0.2">
      <c r="A2432">
        <v>2966</v>
      </c>
      <c r="B2432" s="1">
        <v>44015</v>
      </c>
      <c r="C2432" t="s">
        <v>28</v>
      </c>
      <c r="D2432" t="s">
        <v>74</v>
      </c>
      <c r="E2432" t="s">
        <v>30</v>
      </c>
      <c r="F2432" t="s">
        <v>55</v>
      </c>
      <c r="G2432" t="s">
        <v>45</v>
      </c>
      <c r="H2432" t="s">
        <v>33</v>
      </c>
      <c r="I2432" t="s">
        <v>34</v>
      </c>
      <c r="J2432" t="s">
        <v>47</v>
      </c>
      <c r="K2432" s="2">
        <v>22394</v>
      </c>
      <c r="L2432" t="s">
        <v>36</v>
      </c>
      <c r="M2432" t="s">
        <v>48</v>
      </c>
      <c r="N2432" t="s">
        <v>38</v>
      </c>
      <c r="O2432" t="s">
        <v>77</v>
      </c>
      <c r="P2432" t="s">
        <v>40</v>
      </c>
      <c r="Q2432">
        <v>4</v>
      </c>
      <c r="R2432" s="2">
        <v>44991</v>
      </c>
      <c r="S2432">
        <v>5</v>
      </c>
      <c r="T2432">
        <v>2</v>
      </c>
      <c r="U2432">
        <v>5</v>
      </c>
      <c r="V2432" s="1">
        <v>44851</v>
      </c>
      <c r="W2432" t="s">
        <v>62</v>
      </c>
      <c r="X2432" t="s">
        <v>42</v>
      </c>
      <c r="Y2432" t="s">
        <v>73</v>
      </c>
      <c r="Z2432">
        <v>5</v>
      </c>
      <c r="AA2432">
        <v>197.73</v>
      </c>
      <c r="AB2432">
        <v>59</v>
      </c>
    </row>
    <row r="2433" spans="1:28" x14ac:dyDescent="0.2">
      <c r="A2433">
        <v>2967</v>
      </c>
      <c r="B2433" s="1">
        <v>44921</v>
      </c>
      <c r="C2433" t="s">
        <v>28</v>
      </c>
      <c r="D2433" t="s">
        <v>81</v>
      </c>
      <c r="E2433" t="s">
        <v>30</v>
      </c>
      <c r="F2433" t="s">
        <v>55</v>
      </c>
      <c r="G2433" t="s">
        <v>45</v>
      </c>
      <c r="H2433" t="s">
        <v>46</v>
      </c>
      <c r="I2433" t="s">
        <v>34</v>
      </c>
      <c r="J2433" t="s">
        <v>70</v>
      </c>
      <c r="K2433" s="2">
        <v>30656</v>
      </c>
      <c r="L2433" t="s">
        <v>36</v>
      </c>
      <c r="M2433" t="s">
        <v>37</v>
      </c>
      <c r="N2433" t="s">
        <v>60</v>
      </c>
      <c r="O2433" t="s">
        <v>67</v>
      </c>
      <c r="P2433" t="s">
        <v>40</v>
      </c>
      <c r="Q2433">
        <v>4</v>
      </c>
      <c r="R2433" s="2">
        <v>44784</v>
      </c>
      <c r="S2433">
        <v>2</v>
      </c>
      <c r="T2433">
        <v>3</v>
      </c>
      <c r="U2433">
        <v>1</v>
      </c>
      <c r="V2433" s="1">
        <v>45128</v>
      </c>
      <c r="W2433" t="s">
        <v>50</v>
      </c>
      <c r="X2433" t="s">
        <v>51</v>
      </c>
      <c r="Y2433" t="s">
        <v>52</v>
      </c>
      <c r="Z2433">
        <v>3</v>
      </c>
      <c r="AA2433">
        <v>145.68</v>
      </c>
      <c r="AB2433">
        <v>39</v>
      </c>
    </row>
    <row r="2434" spans="1:28" x14ac:dyDescent="0.2">
      <c r="A2434">
        <v>2968</v>
      </c>
      <c r="B2434" s="1">
        <v>43457</v>
      </c>
      <c r="C2434" t="s">
        <v>28</v>
      </c>
      <c r="D2434" t="s">
        <v>29</v>
      </c>
      <c r="E2434" t="s">
        <v>30</v>
      </c>
      <c r="F2434" t="s">
        <v>46</v>
      </c>
      <c r="G2434" t="s">
        <v>56</v>
      </c>
      <c r="H2434" t="s">
        <v>33</v>
      </c>
      <c r="I2434" t="s">
        <v>34</v>
      </c>
      <c r="J2434" t="s">
        <v>65</v>
      </c>
      <c r="K2434" s="2">
        <v>29742</v>
      </c>
      <c r="L2434" t="s">
        <v>36</v>
      </c>
      <c r="M2434" t="s">
        <v>37</v>
      </c>
      <c r="N2434" t="s">
        <v>72</v>
      </c>
      <c r="O2434" t="s">
        <v>61</v>
      </c>
      <c r="P2434" t="s">
        <v>40</v>
      </c>
      <c r="Q2434">
        <v>4</v>
      </c>
      <c r="R2434" s="2">
        <v>45069</v>
      </c>
      <c r="S2434">
        <v>1</v>
      </c>
      <c r="T2434">
        <v>5</v>
      </c>
      <c r="U2434">
        <v>4</v>
      </c>
      <c r="V2434" s="1">
        <v>44885</v>
      </c>
      <c r="W2434" t="s">
        <v>50</v>
      </c>
      <c r="X2434" t="s">
        <v>42</v>
      </c>
      <c r="Y2434" t="s">
        <v>43</v>
      </c>
      <c r="Z2434">
        <v>3</v>
      </c>
      <c r="AA2434">
        <v>764.74</v>
      </c>
      <c r="AB2434">
        <v>37</v>
      </c>
    </row>
    <row r="2435" spans="1:28" x14ac:dyDescent="0.2">
      <c r="A2435">
        <v>2969</v>
      </c>
      <c r="B2435" s="1">
        <v>44102</v>
      </c>
      <c r="C2435" t="s">
        <v>106</v>
      </c>
      <c r="D2435" t="s">
        <v>74</v>
      </c>
      <c r="E2435" t="s">
        <v>108</v>
      </c>
      <c r="F2435" t="s">
        <v>31</v>
      </c>
      <c r="G2435" t="s">
        <v>45</v>
      </c>
      <c r="H2435" t="s">
        <v>46</v>
      </c>
      <c r="I2435" t="s">
        <v>34</v>
      </c>
      <c r="J2435" t="s">
        <v>65</v>
      </c>
      <c r="K2435" s="2">
        <v>32139</v>
      </c>
      <c r="L2435" t="s">
        <v>36</v>
      </c>
      <c r="M2435" t="s">
        <v>37</v>
      </c>
      <c r="N2435" t="s">
        <v>49</v>
      </c>
      <c r="O2435" t="s">
        <v>67</v>
      </c>
      <c r="P2435" t="s">
        <v>40</v>
      </c>
      <c r="Q2435">
        <v>2</v>
      </c>
      <c r="R2435" s="2">
        <v>44886</v>
      </c>
      <c r="S2435">
        <v>4</v>
      </c>
      <c r="T2435">
        <v>5</v>
      </c>
      <c r="U2435">
        <v>5</v>
      </c>
      <c r="V2435" s="1">
        <v>44852</v>
      </c>
      <c r="W2435" t="s">
        <v>50</v>
      </c>
      <c r="X2435" t="s">
        <v>42</v>
      </c>
      <c r="Y2435" t="s">
        <v>73</v>
      </c>
      <c r="Z2435">
        <v>3</v>
      </c>
      <c r="AA2435">
        <v>405.4</v>
      </c>
      <c r="AB2435">
        <v>33</v>
      </c>
    </row>
    <row r="2436" spans="1:28" x14ac:dyDescent="0.2">
      <c r="A2436">
        <v>2970</v>
      </c>
      <c r="B2436" s="1">
        <v>44090</v>
      </c>
      <c r="C2436" t="s">
        <v>28</v>
      </c>
      <c r="D2436" t="s">
        <v>87</v>
      </c>
      <c r="E2436" t="s">
        <v>30</v>
      </c>
      <c r="F2436" t="s">
        <v>55</v>
      </c>
      <c r="G2436" t="s">
        <v>56</v>
      </c>
      <c r="H2436" t="s">
        <v>33</v>
      </c>
      <c r="I2436" t="s">
        <v>34</v>
      </c>
      <c r="J2436" t="s">
        <v>65</v>
      </c>
      <c r="K2436" s="2">
        <v>30071</v>
      </c>
      <c r="L2436" t="s">
        <v>36</v>
      </c>
      <c r="M2436" t="s">
        <v>37</v>
      </c>
      <c r="N2436" t="s">
        <v>49</v>
      </c>
      <c r="O2436" t="s">
        <v>39</v>
      </c>
      <c r="P2436" t="s">
        <v>40</v>
      </c>
      <c r="Q2436">
        <v>5</v>
      </c>
      <c r="R2436" s="2">
        <v>44857</v>
      </c>
      <c r="S2436">
        <v>5</v>
      </c>
      <c r="T2436">
        <v>5</v>
      </c>
      <c r="U2436">
        <v>5</v>
      </c>
      <c r="V2436" s="1">
        <v>44942</v>
      </c>
      <c r="W2436" t="s">
        <v>41</v>
      </c>
      <c r="X2436" t="s">
        <v>51</v>
      </c>
      <c r="Y2436" t="s">
        <v>43</v>
      </c>
      <c r="Z2436">
        <v>4</v>
      </c>
      <c r="AA2436">
        <v>689.49</v>
      </c>
      <c r="AB2436">
        <v>38</v>
      </c>
    </row>
    <row r="2437" spans="1:28" x14ac:dyDescent="0.2">
      <c r="A2437">
        <v>2971</v>
      </c>
      <c r="B2437" s="1">
        <v>43870</v>
      </c>
      <c r="C2437" t="s">
        <v>106</v>
      </c>
      <c r="D2437" t="s">
        <v>64</v>
      </c>
      <c r="E2437" t="s">
        <v>30</v>
      </c>
      <c r="F2437" t="s">
        <v>31</v>
      </c>
      <c r="G2437" t="s">
        <v>32</v>
      </c>
      <c r="H2437" t="s">
        <v>33</v>
      </c>
      <c r="I2437" t="s">
        <v>34</v>
      </c>
      <c r="J2437" t="s">
        <v>47</v>
      </c>
      <c r="K2437" s="2">
        <v>35345</v>
      </c>
      <c r="L2437" t="s">
        <v>36</v>
      </c>
      <c r="M2437" t="s">
        <v>37</v>
      </c>
      <c r="N2437" t="s">
        <v>38</v>
      </c>
      <c r="O2437" t="s">
        <v>77</v>
      </c>
      <c r="P2437" t="s">
        <v>40</v>
      </c>
      <c r="Q2437">
        <v>1</v>
      </c>
      <c r="R2437" s="2">
        <v>44848</v>
      </c>
      <c r="S2437">
        <v>3</v>
      </c>
      <c r="T2437">
        <v>5</v>
      </c>
      <c r="U2437">
        <v>4</v>
      </c>
      <c r="V2437" s="1">
        <v>45028</v>
      </c>
      <c r="W2437" t="s">
        <v>62</v>
      </c>
      <c r="X2437" t="s">
        <v>42</v>
      </c>
      <c r="Y2437" t="s">
        <v>52</v>
      </c>
      <c r="Z2437">
        <v>2</v>
      </c>
      <c r="AA2437">
        <v>141.13999999999999</v>
      </c>
      <c r="AB2437">
        <v>24</v>
      </c>
    </row>
    <row r="2438" spans="1:28" x14ac:dyDescent="0.2">
      <c r="A2438">
        <v>2972</v>
      </c>
      <c r="B2438" s="1">
        <v>44970</v>
      </c>
      <c r="C2438" t="s">
        <v>28</v>
      </c>
      <c r="D2438" t="s">
        <v>64</v>
      </c>
      <c r="E2438" t="s">
        <v>30</v>
      </c>
      <c r="F2438" t="s">
        <v>55</v>
      </c>
      <c r="G2438" t="s">
        <v>56</v>
      </c>
      <c r="H2438" t="s">
        <v>46</v>
      </c>
      <c r="I2438" t="s">
        <v>34</v>
      </c>
      <c r="J2438" t="s">
        <v>65</v>
      </c>
      <c r="K2438" s="2">
        <v>17626</v>
      </c>
      <c r="L2438" t="s">
        <v>36</v>
      </c>
      <c r="M2438" t="s">
        <v>37</v>
      </c>
      <c r="N2438" t="s">
        <v>60</v>
      </c>
      <c r="O2438" t="s">
        <v>39</v>
      </c>
      <c r="P2438" t="s">
        <v>40</v>
      </c>
      <c r="Q2438">
        <v>1</v>
      </c>
      <c r="R2438" s="2">
        <v>44889</v>
      </c>
      <c r="S2438">
        <v>3</v>
      </c>
      <c r="T2438">
        <v>4</v>
      </c>
      <c r="U2438">
        <v>3</v>
      </c>
      <c r="V2438" s="1">
        <v>44986</v>
      </c>
      <c r="W2438" t="s">
        <v>41</v>
      </c>
      <c r="X2438" t="s">
        <v>42</v>
      </c>
      <c r="Y2438" t="s">
        <v>73</v>
      </c>
      <c r="Z2438">
        <v>1</v>
      </c>
      <c r="AA2438">
        <v>788.69</v>
      </c>
      <c r="AB2438">
        <v>75</v>
      </c>
    </row>
    <row r="2439" spans="1:28" x14ac:dyDescent="0.2">
      <c r="A2439">
        <v>2973</v>
      </c>
      <c r="B2439" s="1">
        <v>43800</v>
      </c>
      <c r="C2439" t="s">
        <v>28</v>
      </c>
      <c r="D2439" t="s">
        <v>85</v>
      </c>
      <c r="E2439" t="s">
        <v>30</v>
      </c>
      <c r="F2439" t="s">
        <v>46</v>
      </c>
      <c r="G2439" t="s">
        <v>32</v>
      </c>
      <c r="H2439" t="s">
        <v>46</v>
      </c>
      <c r="I2439" t="s">
        <v>34</v>
      </c>
      <c r="J2439" t="s">
        <v>65</v>
      </c>
      <c r="K2439" s="2">
        <v>18793</v>
      </c>
      <c r="L2439" t="s">
        <v>36</v>
      </c>
      <c r="M2439" t="s">
        <v>37</v>
      </c>
      <c r="N2439" t="s">
        <v>60</v>
      </c>
      <c r="O2439" t="s">
        <v>67</v>
      </c>
      <c r="P2439" t="s">
        <v>40</v>
      </c>
      <c r="Q2439">
        <v>5</v>
      </c>
      <c r="R2439" s="2">
        <v>44904</v>
      </c>
      <c r="S2439">
        <v>1</v>
      </c>
      <c r="T2439">
        <v>3</v>
      </c>
      <c r="U2439">
        <v>3</v>
      </c>
      <c r="V2439" s="1">
        <v>45120</v>
      </c>
      <c r="W2439" t="s">
        <v>68</v>
      </c>
      <c r="X2439" t="s">
        <v>42</v>
      </c>
      <c r="Y2439" t="s">
        <v>43</v>
      </c>
      <c r="Z2439">
        <v>5</v>
      </c>
      <c r="AA2439">
        <v>458.81</v>
      </c>
      <c r="AB2439">
        <v>68</v>
      </c>
    </row>
    <row r="2440" spans="1:28" x14ac:dyDescent="0.2">
      <c r="A2440">
        <v>2974</v>
      </c>
      <c r="B2440" s="1">
        <v>44869</v>
      </c>
      <c r="C2440" t="s">
        <v>28</v>
      </c>
      <c r="D2440" t="s">
        <v>85</v>
      </c>
      <c r="E2440" t="s">
        <v>30</v>
      </c>
      <c r="F2440" t="s">
        <v>55</v>
      </c>
      <c r="G2440" t="s">
        <v>32</v>
      </c>
      <c r="H2440" t="s">
        <v>46</v>
      </c>
      <c r="I2440" t="s">
        <v>34</v>
      </c>
      <c r="J2440" t="s">
        <v>70</v>
      </c>
      <c r="K2440" s="2">
        <v>16474</v>
      </c>
      <c r="L2440" t="s">
        <v>36</v>
      </c>
      <c r="M2440" t="s">
        <v>37</v>
      </c>
      <c r="N2440" t="s">
        <v>72</v>
      </c>
      <c r="O2440" t="s">
        <v>61</v>
      </c>
      <c r="P2440" t="s">
        <v>40</v>
      </c>
      <c r="Q2440">
        <v>5</v>
      </c>
      <c r="R2440" s="2">
        <v>44891</v>
      </c>
      <c r="S2440">
        <v>4</v>
      </c>
      <c r="T2440">
        <v>5</v>
      </c>
      <c r="U2440">
        <v>4</v>
      </c>
      <c r="V2440" s="1">
        <v>45043</v>
      </c>
      <c r="W2440" t="s">
        <v>62</v>
      </c>
      <c r="X2440" t="s">
        <v>42</v>
      </c>
      <c r="Y2440" t="s">
        <v>73</v>
      </c>
      <c r="Z2440">
        <v>5</v>
      </c>
      <c r="AA2440">
        <v>140.91</v>
      </c>
      <c r="AB2440">
        <v>77</v>
      </c>
    </row>
    <row r="2441" spans="1:28" x14ac:dyDescent="0.2">
      <c r="A2441">
        <v>2975</v>
      </c>
      <c r="B2441" s="1">
        <v>44300</v>
      </c>
      <c r="C2441" t="s">
        <v>28</v>
      </c>
      <c r="D2441" t="s">
        <v>74</v>
      </c>
      <c r="E2441" t="s">
        <v>30</v>
      </c>
      <c r="F2441" t="s">
        <v>55</v>
      </c>
      <c r="G2441" t="s">
        <v>45</v>
      </c>
      <c r="H2441" t="s">
        <v>33</v>
      </c>
      <c r="I2441" t="s">
        <v>34</v>
      </c>
      <c r="J2441" t="s">
        <v>109</v>
      </c>
      <c r="K2441" s="2">
        <v>17701</v>
      </c>
      <c r="L2441" t="s">
        <v>36</v>
      </c>
      <c r="M2441" t="s">
        <v>48</v>
      </c>
      <c r="N2441" t="s">
        <v>84</v>
      </c>
      <c r="O2441" t="s">
        <v>67</v>
      </c>
      <c r="P2441" t="s">
        <v>40</v>
      </c>
      <c r="Q2441">
        <v>4</v>
      </c>
      <c r="R2441" s="2">
        <v>44924</v>
      </c>
      <c r="S2441">
        <v>2</v>
      </c>
      <c r="T2441">
        <v>3</v>
      </c>
      <c r="U2441">
        <v>4</v>
      </c>
      <c r="V2441" s="1">
        <v>45119</v>
      </c>
      <c r="W2441" t="s">
        <v>41</v>
      </c>
      <c r="X2441" t="s">
        <v>51</v>
      </c>
      <c r="Y2441" t="s">
        <v>63</v>
      </c>
      <c r="Z2441">
        <v>5</v>
      </c>
      <c r="AA2441">
        <v>551.76</v>
      </c>
      <c r="AB2441">
        <v>73</v>
      </c>
    </row>
    <row r="2442" spans="1:28" x14ac:dyDescent="0.2">
      <c r="A2442">
        <v>2977</v>
      </c>
      <c r="B2442" s="1">
        <v>44071</v>
      </c>
      <c r="C2442" t="s">
        <v>106</v>
      </c>
      <c r="D2442" t="s">
        <v>81</v>
      </c>
      <c r="E2442" t="s">
        <v>30</v>
      </c>
      <c r="F2442" t="s">
        <v>46</v>
      </c>
      <c r="G2442" t="s">
        <v>45</v>
      </c>
      <c r="H2442" t="s">
        <v>33</v>
      </c>
      <c r="I2442" t="s">
        <v>34</v>
      </c>
      <c r="J2442" t="s">
        <v>105</v>
      </c>
      <c r="K2442" s="2">
        <v>32121</v>
      </c>
      <c r="L2442" t="s">
        <v>36</v>
      </c>
      <c r="M2442" t="s">
        <v>48</v>
      </c>
      <c r="N2442" t="s">
        <v>72</v>
      </c>
      <c r="O2442" t="s">
        <v>77</v>
      </c>
      <c r="P2442" t="s">
        <v>40</v>
      </c>
      <c r="Q2442">
        <v>2</v>
      </c>
      <c r="R2442" s="2">
        <v>45006</v>
      </c>
      <c r="S2442">
        <v>2</v>
      </c>
      <c r="T2442">
        <v>4</v>
      </c>
      <c r="U2442">
        <v>3</v>
      </c>
      <c r="V2442" s="1">
        <v>45017</v>
      </c>
      <c r="W2442" t="s">
        <v>62</v>
      </c>
      <c r="X2442" t="s">
        <v>42</v>
      </c>
      <c r="Y2442" t="s">
        <v>73</v>
      </c>
      <c r="Z2442">
        <v>4</v>
      </c>
      <c r="AA2442">
        <v>640.04999999999995</v>
      </c>
      <c r="AB2442">
        <v>33</v>
      </c>
    </row>
    <row r="2443" spans="1:28" x14ac:dyDescent="0.2">
      <c r="A2443">
        <v>2978</v>
      </c>
      <c r="B2443" s="1">
        <v>44789</v>
      </c>
      <c r="C2443" t="s">
        <v>28</v>
      </c>
      <c r="D2443" t="s">
        <v>29</v>
      </c>
      <c r="E2443" t="s">
        <v>30</v>
      </c>
      <c r="F2443" t="s">
        <v>55</v>
      </c>
      <c r="G2443" t="s">
        <v>32</v>
      </c>
      <c r="H2443" t="s">
        <v>46</v>
      </c>
      <c r="I2443" t="s">
        <v>34</v>
      </c>
      <c r="J2443" t="s">
        <v>105</v>
      </c>
      <c r="K2443" s="2">
        <v>29840</v>
      </c>
      <c r="L2443" t="s">
        <v>36</v>
      </c>
      <c r="M2443" t="s">
        <v>48</v>
      </c>
      <c r="N2443" t="s">
        <v>49</v>
      </c>
      <c r="O2443" t="s">
        <v>77</v>
      </c>
      <c r="P2443" t="s">
        <v>40</v>
      </c>
      <c r="Q2443">
        <v>4</v>
      </c>
      <c r="R2443" s="2">
        <v>44802</v>
      </c>
      <c r="S2443">
        <v>5</v>
      </c>
      <c r="T2443">
        <v>2</v>
      </c>
      <c r="U2443">
        <v>4</v>
      </c>
      <c r="V2443" s="1">
        <v>44867</v>
      </c>
      <c r="W2443" t="s">
        <v>92</v>
      </c>
      <c r="X2443" t="s">
        <v>42</v>
      </c>
      <c r="Y2443" t="s">
        <v>43</v>
      </c>
      <c r="Z2443">
        <v>1</v>
      </c>
      <c r="AA2443">
        <v>470.62</v>
      </c>
      <c r="AB2443">
        <v>41</v>
      </c>
    </row>
    <row r="2444" spans="1:28" x14ac:dyDescent="0.2">
      <c r="A2444">
        <v>2979</v>
      </c>
      <c r="B2444" s="1">
        <v>44618</v>
      </c>
      <c r="C2444" t="s">
        <v>28</v>
      </c>
      <c r="D2444" t="s">
        <v>54</v>
      </c>
      <c r="E2444" t="s">
        <v>30</v>
      </c>
      <c r="F2444" t="s">
        <v>55</v>
      </c>
      <c r="G2444" t="s">
        <v>45</v>
      </c>
      <c r="H2444" t="s">
        <v>33</v>
      </c>
      <c r="I2444" t="s">
        <v>34</v>
      </c>
      <c r="J2444" t="s">
        <v>70</v>
      </c>
      <c r="K2444" s="2">
        <v>37058</v>
      </c>
      <c r="L2444" t="s">
        <v>36</v>
      </c>
      <c r="M2444" t="s">
        <v>37</v>
      </c>
      <c r="N2444" t="s">
        <v>60</v>
      </c>
      <c r="O2444" t="s">
        <v>39</v>
      </c>
      <c r="P2444" t="s">
        <v>40</v>
      </c>
      <c r="Q2444">
        <v>2</v>
      </c>
      <c r="R2444" s="2">
        <v>44934</v>
      </c>
      <c r="S2444">
        <v>4</v>
      </c>
      <c r="T2444">
        <v>5</v>
      </c>
      <c r="U2444">
        <v>4</v>
      </c>
      <c r="V2444" s="1">
        <v>45087</v>
      </c>
      <c r="W2444" t="s">
        <v>41</v>
      </c>
      <c r="X2444" t="s">
        <v>51</v>
      </c>
      <c r="Y2444" t="s">
        <v>43</v>
      </c>
      <c r="Z2444">
        <v>4</v>
      </c>
      <c r="AA2444">
        <v>257.87</v>
      </c>
      <c r="AB2444">
        <v>21</v>
      </c>
    </row>
    <row r="2445" spans="1:28" x14ac:dyDescent="0.2">
      <c r="A2445">
        <v>2980</v>
      </c>
      <c r="B2445" s="1">
        <v>43829</v>
      </c>
      <c r="C2445" t="s">
        <v>28</v>
      </c>
      <c r="D2445" t="s">
        <v>85</v>
      </c>
      <c r="E2445" t="s">
        <v>30</v>
      </c>
      <c r="F2445" t="s">
        <v>46</v>
      </c>
      <c r="G2445" t="s">
        <v>45</v>
      </c>
      <c r="H2445" t="s">
        <v>33</v>
      </c>
      <c r="I2445" t="s">
        <v>34</v>
      </c>
      <c r="J2445" t="s">
        <v>65</v>
      </c>
      <c r="K2445" s="2">
        <v>21072</v>
      </c>
      <c r="L2445" t="s">
        <v>36</v>
      </c>
      <c r="M2445" t="s">
        <v>37</v>
      </c>
      <c r="N2445" t="s">
        <v>49</v>
      </c>
      <c r="O2445" t="s">
        <v>77</v>
      </c>
      <c r="P2445" t="s">
        <v>40</v>
      </c>
      <c r="Q2445">
        <v>2</v>
      </c>
      <c r="R2445" s="2">
        <v>44963</v>
      </c>
      <c r="S2445">
        <v>1</v>
      </c>
      <c r="T2445">
        <v>3</v>
      </c>
      <c r="U2445">
        <v>5</v>
      </c>
      <c r="V2445" s="1">
        <v>44974</v>
      </c>
      <c r="W2445" t="s">
        <v>50</v>
      </c>
      <c r="X2445" t="s">
        <v>51</v>
      </c>
      <c r="Y2445" t="s">
        <v>73</v>
      </c>
      <c r="Z2445">
        <v>4</v>
      </c>
      <c r="AA2445">
        <v>970.09</v>
      </c>
      <c r="AB2445">
        <v>62</v>
      </c>
    </row>
    <row r="2446" spans="1:28" x14ac:dyDescent="0.2">
      <c r="A2446">
        <v>2981</v>
      </c>
      <c r="B2446" s="1">
        <v>44765</v>
      </c>
      <c r="C2446" t="s">
        <v>28</v>
      </c>
      <c r="D2446" t="s">
        <v>64</v>
      </c>
      <c r="E2446" t="s">
        <v>30</v>
      </c>
      <c r="F2446" t="s">
        <v>46</v>
      </c>
      <c r="G2446" t="s">
        <v>56</v>
      </c>
      <c r="H2446" t="s">
        <v>55</v>
      </c>
      <c r="I2446" t="s">
        <v>34</v>
      </c>
      <c r="J2446" t="s">
        <v>47</v>
      </c>
      <c r="K2446" s="2">
        <v>29214</v>
      </c>
      <c r="L2446" t="s">
        <v>36</v>
      </c>
      <c r="M2446" t="s">
        <v>37</v>
      </c>
      <c r="N2446" t="s">
        <v>72</v>
      </c>
      <c r="O2446" t="s">
        <v>61</v>
      </c>
      <c r="P2446" t="s">
        <v>40</v>
      </c>
      <c r="Q2446">
        <v>1</v>
      </c>
      <c r="R2446" s="2">
        <v>44825</v>
      </c>
      <c r="S2446">
        <v>5</v>
      </c>
      <c r="T2446">
        <v>3</v>
      </c>
      <c r="U2446">
        <v>2</v>
      </c>
      <c r="V2446" s="1">
        <v>45102</v>
      </c>
      <c r="W2446" t="s">
        <v>92</v>
      </c>
      <c r="X2446" t="s">
        <v>51</v>
      </c>
      <c r="Y2446" t="s">
        <v>63</v>
      </c>
      <c r="Z2446">
        <v>2</v>
      </c>
      <c r="AA2446">
        <v>197.96</v>
      </c>
      <c r="AB2446">
        <v>43</v>
      </c>
    </row>
    <row r="2447" spans="1:28" x14ac:dyDescent="0.2">
      <c r="A2447">
        <v>2982</v>
      </c>
      <c r="B2447" s="1">
        <v>43387</v>
      </c>
      <c r="C2447" t="s">
        <v>106</v>
      </c>
      <c r="D2447" t="s">
        <v>74</v>
      </c>
      <c r="E2447" t="s">
        <v>30</v>
      </c>
      <c r="F2447" t="s">
        <v>55</v>
      </c>
      <c r="G2447" t="s">
        <v>56</v>
      </c>
      <c r="H2447" t="s">
        <v>33</v>
      </c>
      <c r="I2447" t="s">
        <v>34</v>
      </c>
      <c r="J2447" t="s">
        <v>70</v>
      </c>
      <c r="K2447" s="2">
        <v>19017</v>
      </c>
      <c r="L2447" t="s">
        <v>36</v>
      </c>
      <c r="M2447" t="s">
        <v>37</v>
      </c>
      <c r="N2447" t="s">
        <v>60</v>
      </c>
      <c r="O2447" t="s">
        <v>67</v>
      </c>
      <c r="P2447" t="s">
        <v>40</v>
      </c>
      <c r="Q2447">
        <v>2</v>
      </c>
      <c r="R2447" s="2">
        <v>44817</v>
      </c>
      <c r="S2447">
        <v>5</v>
      </c>
      <c r="T2447">
        <v>4</v>
      </c>
      <c r="U2447">
        <v>3</v>
      </c>
      <c r="V2447" s="1">
        <v>44865</v>
      </c>
      <c r="W2447" t="s">
        <v>62</v>
      </c>
      <c r="X2447" t="s">
        <v>51</v>
      </c>
      <c r="Y2447" t="s">
        <v>43</v>
      </c>
      <c r="Z2447">
        <v>2</v>
      </c>
      <c r="AA2447">
        <v>166.78</v>
      </c>
      <c r="AB2447">
        <v>66</v>
      </c>
    </row>
    <row r="2448" spans="1:28" x14ac:dyDescent="0.2">
      <c r="A2448">
        <v>2983</v>
      </c>
      <c r="B2448" s="1">
        <v>44247</v>
      </c>
      <c r="C2448" t="s">
        <v>106</v>
      </c>
      <c r="D2448" t="s">
        <v>54</v>
      </c>
      <c r="E2448" t="s">
        <v>30</v>
      </c>
      <c r="F2448" t="s">
        <v>55</v>
      </c>
      <c r="G2448" t="s">
        <v>32</v>
      </c>
      <c r="H2448" t="s">
        <v>33</v>
      </c>
      <c r="I2448" t="s">
        <v>34</v>
      </c>
      <c r="J2448" t="s">
        <v>89</v>
      </c>
      <c r="K2448" s="2">
        <v>22751</v>
      </c>
      <c r="L2448" t="s">
        <v>36</v>
      </c>
      <c r="M2448" t="s">
        <v>48</v>
      </c>
      <c r="N2448" t="s">
        <v>49</v>
      </c>
      <c r="O2448" t="s">
        <v>39</v>
      </c>
      <c r="P2448" t="s">
        <v>40</v>
      </c>
      <c r="Q2448">
        <v>2</v>
      </c>
      <c r="R2448" s="2">
        <v>45108</v>
      </c>
      <c r="S2448">
        <v>4</v>
      </c>
      <c r="T2448">
        <v>5</v>
      </c>
      <c r="U2448">
        <v>4</v>
      </c>
      <c r="V2448" s="1">
        <v>45102</v>
      </c>
      <c r="W2448" t="s">
        <v>62</v>
      </c>
      <c r="X2448" t="s">
        <v>51</v>
      </c>
      <c r="Y2448" t="s">
        <v>73</v>
      </c>
      <c r="Z2448">
        <v>4</v>
      </c>
      <c r="AA2448">
        <v>267.60000000000002</v>
      </c>
      <c r="AB2448">
        <v>59</v>
      </c>
    </row>
    <row r="2449" spans="1:28" x14ac:dyDescent="0.2">
      <c r="A2449">
        <v>2984</v>
      </c>
      <c r="B2449" s="1">
        <v>43918</v>
      </c>
      <c r="C2449" t="s">
        <v>106</v>
      </c>
      <c r="D2449" t="s">
        <v>94</v>
      </c>
      <c r="E2449" t="s">
        <v>30</v>
      </c>
      <c r="F2449" t="s">
        <v>31</v>
      </c>
      <c r="G2449" t="s">
        <v>56</v>
      </c>
      <c r="H2449" t="s">
        <v>33</v>
      </c>
      <c r="I2449" t="s">
        <v>34</v>
      </c>
      <c r="J2449" t="s">
        <v>79</v>
      </c>
      <c r="K2449" s="2">
        <v>27487</v>
      </c>
      <c r="L2449" t="s">
        <v>36</v>
      </c>
      <c r="M2449" t="s">
        <v>37</v>
      </c>
      <c r="N2449" t="s">
        <v>72</v>
      </c>
      <c r="O2449" t="s">
        <v>77</v>
      </c>
      <c r="P2449" t="s">
        <v>40</v>
      </c>
      <c r="Q2449">
        <v>5</v>
      </c>
      <c r="R2449" s="2">
        <v>44904</v>
      </c>
      <c r="S2449">
        <v>4</v>
      </c>
      <c r="T2449">
        <v>1</v>
      </c>
      <c r="U2449">
        <v>1</v>
      </c>
      <c r="V2449" s="1">
        <v>45070</v>
      </c>
      <c r="W2449" t="s">
        <v>62</v>
      </c>
      <c r="X2449" t="s">
        <v>42</v>
      </c>
      <c r="Y2449" t="s">
        <v>52</v>
      </c>
      <c r="Z2449">
        <v>1</v>
      </c>
      <c r="AA2449">
        <v>671.21</v>
      </c>
      <c r="AB2449">
        <v>45</v>
      </c>
    </row>
    <row r="2450" spans="1:28" x14ac:dyDescent="0.2">
      <c r="A2450">
        <v>2985</v>
      </c>
      <c r="B2450" s="1">
        <v>43501</v>
      </c>
      <c r="C2450" t="s">
        <v>28</v>
      </c>
      <c r="D2450" t="s">
        <v>85</v>
      </c>
      <c r="E2450" t="s">
        <v>30</v>
      </c>
      <c r="F2450" t="s">
        <v>31</v>
      </c>
      <c r="G2450" t="s">
        <v>45</v>
      </c>
      <c r="H2450" t="s">
        <v>46</v>
      </c>
      <c r="I2450" t="s">
        <v>34</v>
      </c>
      <c r="J2450" t="s">
        <v>58</v>
      </c>
      <c r="K2450" s="2">
        <v>25828</v>
      </c>
      <c r="L2450" t="s">
        <v>36</v>
      </c>
      <c r="M2450" t="s">
        <v>48</v>
      </c>
      <c r="N2450" t="s">
        <v>49</v>
      </c>
      <c r="O2450" t="s">
        <v>67</v>
      </c>
      <c r="P2450" t="s">
        <v>40</v>
      </c>
      <c r="Q2450">
        <v>1</v>
      </c>
      <c r="R2450" s="2">
        <v>45121</v>
      </c>
      <c r="S2450">
        <v>3</v>
      </c>
      <c r="T2450">
        <v>5</v>
      </c>
      <c r="U2450">
        <v>2</v>
      </c>
      <c r="V2450" s="1">
        <v>44859</v>
      </c>
      <c r="W2450" t="s">
        <v>50</v>
      </c>
      <c r="X2450" t="s">
        <v>42</v>
      </c>
      <c r="Y2450" t="s">
        <v>43</v>
      </c>
      <c r="Z2450">
        <v>4</v>
      </c>
      <c r="AA2450">
        <v>813.43</v>
      </c>
      <c r="AB2450">
        <v>49</v>
      </c>
    </row>
    <row r="2451" spans="1:28" x14ac:dyDescent="0.2">
      <c r="A2451">
        <v>2986</v>
      </c>
      <c r="B2451" s="1">
        <v>45035</v>
      </c>
      <c r="C2451" t="s">
        <v>28</v>
      </c>
      <c r="D2451" t="s">
        <v>81</v>
      </c>
      <c r="E2451" t="s">
        <v>30</v>
      </c>
      <c r="F2451" t="s">
        <v>55</v>
      </c>
      <c r="G2451" t="s">
        <v>56</v>
      </c>
      <c r="H2451" t="s">
        <v>33</v>
      </c>
      <c r="I2451" t="s">
        <v>34</v>
      </c>
      <c r="J2451" t="s">
        <v>75</v>
      </c>
      <c r="K2451" s="2">
        <v>25944</v>
      </c>
      <c r="L2451" t="s">
        <v>36</v>
      </c>
      <c r="M2451" t="s">
        <v>37</v>
      </c>
      <c r="N2451" t="s">
        <v>84</v>
      </c>
      <c r="O2451" t="s">
        <v>61</v>
      </c>
      <c r="P2451" t="s">
        <v>40</v>
      </c>
      <c r="Q2451">
        <v>1</v>
      </c>
      <c r="R2451" s="2">
        <v>45119</v>
      </c>
      <c r="S2451">
        <v>4</v>
      </c>
      <c r="T2451">
        <v>5</v>
      </c>
      <c r="U2451">
        <v>3</v>
      </c>
      <c r="V2451" s="1">
        <v>44977</v>
      </c>
      <c r="W2451" t="s">
        <v>92</v>
      </c>
      <c r="X2451" t="s">
        <v>42</v>
      </c>
      <c r="Y2451" t="s">
        <v>63</v>
      </c>
      <c r="Z2451">
        <v>1</v>
      </c>
      <c r="AA2451">
        <v>501.89</v>
      </c>
      <c r="AB2451">
        <v>52</v>
      </c>
    </row>
    <row r="2452" spans="1:28" x14ac:dyDescent="0.2">
      <c r="A2452">
        <v>2987</v>
      </c>
      <c r="B2452" s="1">
        <v>44098</v>
      </c>
      <c r="C2452" t="s">
        <v>28</v>
      </c>
      <c r="D2452" t="s">
        <v>64</v>
      </c>
      <c r="E2452" t="s">
        <v>30</v>
      </c>
      <c r="F2452" t="s">
        <v>31</v>
      </c>
      <c r="G2452" t="s">
        <v>56</v>
      </c>
      <c r="H2452" t="s">
        <v>55</v>
      </c>
      <c r="I2452" t="s">
        <v>34</v>
      </c>
      <c r="J2452" t="s">
        <v>100</v>
      </c>
      <c r="K2452" s="2">
        <v>24158</v>
      </c>
      <c r="L2452" t="s">
        <v>36</v>
      </c>
      <c r="M2452" t="s">
        <v>48</v>
      </c>
      <c r="N2452" t="s">
        <v>60</v>
      </c>
      <c r="O2452" t="s">
        <v>61</v>
      </c>
      <c r="P2452" t="s">
        <v>40</v>
      </c>
      <c r="Q2452">
        <v>4</v>
      </c>
      <c r="R2452" s="2">
        <v>45113</v>
      </c>
      <c r="S2452">
        <v>4</v>
      </c>
      <c r="T2452">
        <v>3</v>
      </c>
      <c r="U2452">
        <v>3</v>
      </c>
      <c r="V2452" s="1">
        <v>44946</v>
      </c>
      <c r="W2452" t="s">
        <v>41</v>
      </c>
      <c r="X2452" t="s">
        <v>51</v>
      </c>
      <c r="Y2452" t="s">
        <v>43</v>
      </c>
      <c r="Z2452">
        <v>4</v>
      </c>
      <c r="AA2452">
        <v>133.4</v>
      </c>
      <c r="AB2452">
        <v>54</v>
      </c>
    </row>
    <row r="2453" spans="1:28" x14ac:dyDescent="0.2">
      <c r="A2453">
        <v>2988</v>
      </c>
      <c r="B2453" s="1">
        <v>44149</v>
      </c>
      <c r="C2453" t="s">
        <v>28</v>
      </c>
      <c r="D2453" t="s">
        <v>87</v>
      </c>
      <c r="E2453" t="s">
        <v>30</v>
      </c>
      <c r="F2453" t="s">
        <v>55</v>
      </c>
      <c r="G2453" t="s">
        <v>45</v>
      </c>
      <c r="H2453" t="s">
        <v>46</v>
      </c>
      <c r="I2453" t="s">
        <v>34</v>
      </c>
      <c r="J2453" t="s">
        <v>65</v>
      </c>
      <c r="K2453" s="2">
        <v>26316</v>
      </c>
      <c r="L2453" t="s">
        <v>36</v>
      </c>
      <c r="M2453" t="s">
        <v>48</v>
      </c>
      <c r="N2453" t="s">
        <v>49</v>
      </c>
      <c r="O2453" t="s">
        <v>67</v>
      </c>
      <c r="P2453" t="s">
        <v>40</v>
      </c>
      <c r="Q2453">
        <v>1</v>
      </c>
      <c r="R2453" s="2">
        <v>45122</v>
      </c>
      <c r="S2453">
        <v>4</v>
      </c>
      <c r="T2453">
        <v>4</v>
      </c>
      <c r="U2453">
        <v>4</v>
      </c>
      <c r="V2453" s="1">
        <v>44929</v>
      </c>
      <c r="W2453" t="s">
        <v>50</v>
      </c>
      <c r="X2453" t="s">
        <v>42</v>
      </c>
      <c r="Y2453" t="s">
        <v>43</v>
      </c>
      <c r="Z2453">
        <v>4</v>
      </c>
      <c r="AA2453">
        <v>312.8</v>
      </c>
      <c r="AB2453">
        <v>48</v>
      </c>
    </row>
    <row r="2454" spans="1:28" x14ac:dyDescent="0.2">
      <c r="A2454">
        <v>2989</v>
      </c>
      <c r="B2454" s="1">
        <v>44455</v>
      </c>
      <c r="C2454" t="s">
        <v>28</v>
      </c>
      <c r="D2454" t="s">
        <v>64</v>
      </c>
      <c r="E2454" t="s">
        <v>30</v>
      </c>
      <c r="F2454" t="s">
        <v>31</v>
      </c>
      <c r="G2454" t="s">
        <v>56</v>
      </c>
      <c r="H2454" t="s">
        <v>33</v>
      </c>
      <c r="I2454" t="s">
        <v>34</v>
      </c>
      <c r="J2454" t="s">
        <v>79</v>
      </c>
      <c r="K2454" s="2">
        <v>15487</v>
      </c>
      <c r="L2454" t="s">
        <v>36</v>
      </c>
      <c r="M2454" t="s">
        <v>37</v>
      </c>
      <c r="N2454" t="s">
        <v>49</v>
      </c>
      <c r="O2454" t="s">
        <v>39</v>
      </c>
      <c r="P2454" t="s">
        <v>40</v>
      </c>
      <c r="Q2454">
        <v>4</v>
      </c>
      <c r="R2454" s="2">
        <v>45095</v>
      </c>
      <c r="S2454">
        <v>2</v>
      </c>
      <c r="T2454">
        <v>3</v>
      </c>
      <c r="U2454">
        <v>3</v>
      </c>
      <c r="V2454" s="1">
        <v>44889</v>
      </c>
      <c r="W2454" t="s">
        <v>92</v>
      </c>
      <c r="X2454" t="s">
        <v>51</v>
      </c>
      <c r="Y2454" t="s">
        <v>43</v>
      </c>
      <c r="Z2454">
        <v>3</v>
      </c>
      <c r="AA2454">
        <v>272.76</v>
      </c>
      <c r="AB2454">
        <v>79</v>
      </c>
    </row>
    <row r="2455" spans="1:28" x14ac:dyDescent="0.2">
      <c r="A2455">
        <v>2990</v>
      </c>
      <c r="B2455" s="1">
        <v>43576</v>
      </c>
      <c r="C2455" t="s">
        <v>28</v>
      </c>
      <c r="D2455" t="s">
        <v>94</v>
      </c>
      <c r="E2455" t="s">
        <v>30</v>
      </c>
      <c r="F2455" t="s">
        <v>55</v>
      </c>
      <c r="G2455" t="s">
        <v>32</v>
      </c>
      <c r="H2455" t="s">
        <v>46</v>
      </c>
      <c r="I2455" t="s">
        <v>34</v>
      </c>
      <c r="J2455" t="s">
        <v>65</v>
      </c>
      <c r="K2455" s="2">
        <v>36308</v>
      </c>
      <c r="L2455" t="s">
        <v>36</v>
      </c>
      <c r="M2455" t="s">
        <v>37</v>
      </c>
      <c r="N2455" t="s">
        <v>38</v>
      </c>
      <c r="O2455" t="s">
        <v>61</v>
      </c>
      <c r="P2455" t="s">
        <v>40</v>
      </c>
      <c r="Q2455">
        <v>2</v>
      </c>
      <c r="R2455" s="2">
        <v>45067</v>
      </c>
      <c r="S2455">
        <v>2</v>
      </c>
      <c r="T2455">
        <v>2</v>
      </c>
      <c r="U2455">
        <v>3</v>
      </c>
      <c r="V2455" s="1">
        <v>45060</v>
      </c>
      <c r="W2455" t="s">
        <v>62</v>
      </c>
      <c r="X2455" t="s">
        <v>51</v>
      </c>
      <c r="Y2455" t="s">
        <v>73</v>
      </c>
      <c r="Z2455">
        <v>3</v>
      </c>
      <c r="AA2455">
        <v>494.03</v>
      </c>
      <c r="AB2455">
        <v>20</v>
      </c>
    </row>
    <row r="2456" spans="1:28" x14ac:dyDescent="0.2">
      <c r="A2456">
        <v>2991</v>
      </c>
      <c r="B2456" s="1">
        <v>43903</v>
      </c>
      <c r="C2456" t="s">
        <v>28</v>
      </c>
      <c r="D2456" t="s">
        <v>74</v>
      </c>
      <c r="E2456" t="s">
        <v>30</v>
      </c>
      <c r="F2456" t="s">
        <v>31</v>
      </c>
      <c r="G2456" t="s">
        <v>45</v>
      </c>
      <c r="H2456" t="s">
        <v>55</v>
      </c>
      <c r="I2456" t="s">
        <v>34</v>
      </c>
      <c r="J2456" t="s">
        <v>65</v>
      </c>
      <c r="K2456" s="2">
        <v>36236</v>
      </c>
      <c r="L2456" t="s">
        <v>36</v>
      </c>
      <c r="M2456" t="s">
        <v>37</v>
      </c>
      <c r="N2456" t="s">
        <v>38</v>
      </c>
      <c r="O2456" t="s">
        <v>61</v>
      </c>
      <c r="P2456" t="s">
        <v>78</v>
      </c>
      <c r="Q2456">
        <v>2</v>
      </c>
      <c r="R2456" s="2">
        <v>44796</v>
      </c>
      <c r="S2456">
        <v>5</v>
      </c>
      <c r="T2456">
        <v>5</v>
      </c>
      <c r="U2456">
        <v>3</v>
      </c>
      <c r="V2456" s="1">
        <v>44897</v>
      </c>
      <c r="W2456" t="s">
        <v>62</v>
      </c>
      <c r="X2456" t="s">
        <v>42</v>
      </c>
      <c r="Y2456" t="s">
        <v>63</v>
      </c>
      <c r="Z2456">
        <v>3</v>
      </c>
      <c r="AA2456">
        <v>722.92</v>
      </c>
      <c r="AB2456">
        <v>21</v>
      </c>
    </row>
    <row r="2457" spans="1:28" x14ac:dyDescent="0.2">
      <c r="A2457">
        <v>2992</v>
      </c>
      <c r="B2457" s="1">
        <v>44667</v>
      </c>
      <c r="C2457" t="s">
        <v>28</v>
      </c>
      <c r="D2457" t="s">
        <v>81</v>
      </c>
      <c r="E2457" t="s">
        <v>30</v>
      </c>
      <c r="F2457" t="s">
        <v>55</v>
      </c>
      <c r="G2457" t="s">
        <v>45</v>
      </c>
      <c r="H2457" t="s">
        <v>46</v>
      </c>
      <c r="I2457" t="s">
        <v>34</v>
      </c>
      <c r="J2457" t="s">
        <v>70</v>
      </c>
      <c r="K2457" s="2">
        <v>26955</v>
      </c>
      <c r="L2457" t="s">
        <v>36</v>
      </c>
      <c r="M2457" t="s">
        <v>37</v>
      </c>
      <c r="N2457" t="s">
        <v>84</v>
      </c>
      <c r="O2457" t="s">
        <v>67</v>
      </c>
      <c r="P2457" t="s">
        <v>40</v>
      </c>
      <c r="Q2457">
        <v>4</v>
      </c>
      <c r="R2457" s="2">
        <v>44902</v>
      </c>
      <c r="S2457">
        <v>1</v>
      </c>
      <c r="T2457">
        <v>4</v>
      </c>
      <c r="U2457">
        <v>2</v>
      </c>
      <c r="V2457" s="1">
        <v>44960</v>
      </c>
      <c r="W2457" t="s">
        <v>41</v>
      </c>
      <c r="X2457" t="s">
        <v>42</v>
      </c>
      <c r="Y2457" t="s">
        <v>73</v>
      </c>
      <c r="Z2457">
        <v>1</v>
      </c>
      <c r="AA2457">
        <v>125.34</v>
      </c>
      <c r="AB2457">
        <v>49</v>
      </c>
    </row>
    <row r="2458" spans="1:28" x14ac:dyDescent="0.2">
      <c r="A2458">
        <v>2993</v>
      </c>
      <c r="B2458" s="1">
        <v>43542</v>
      </c>
      <c r="C2458" t="s">
        <v>28</v>
      </c>
      <c r="D2458" t="s">
        <v>54</v>
      </c>
      <c r="E2458" t="s">
        <v>30</v>
      </c>
      <c r="F2458" t="s">
        <v>55</v>
      </c>
      <c r="G2458" t="s">
        <v>45</v>
      </c>
      <c r="H2458" t="s">
        <v>55</v>
      </c>
      <c r="I2458" t="s">
        <v>34</v>
      </c>
      <c r="J2458" t="s">
        <v>65</v>
      </c>
      <c r="K2458" s="2">
        <v>16809</v>
      </c>
      <c r="L2458" t="s">
        <v>36</v>
      </c>
      <c r="M2458" t="s">
        <v>48</v>
      </c>
      <c r="N2458" t="s">
        <v>38</v>
      </c>
      <c r="O2458" t="s">
        <v>39</v>
      </c>
      <c r="P2458" t="s">
        <v>40</v>
      </c>
      <c r="Q2458">
        <v>4</v>
      </c>
      <c r="R2458" s="2">
        <v>44909</v>
      </c>
      <c r="S2458">
        <v>5</v>
      </c>
      <c r="T2458">
        <v>5</v>
      </c>
      <c r="U2458">
        <v>1</v>
      </c>
      <c r="V2458" s="1">
        <v>44868</v>
      </c>
      <c r="W2458" t="s">
        <v>92</v>
      </c>
      <c r="X2458" t="s">
        <v>42</v>
      </c>
      <c r="Y2458" t="s">
        <v>52</v>
      </c>
      <c r="Z2458">
        <v>3</v>
      </c>
      <c r="AA2458">
        <v>559.24</v>
      </c>
      <c r="AB2458">
        <v>73</v>
      </c>
    </row>
    <row r="2459" spans="1:28" x14ac:dyDescent="0.2">
      <c r="A2459">
        <v>2994</v>
      </c>
      <c r="B2459" s="1">
        <v>44610</v>
      </c>
      <c r="C2459" t="s">
        <v>28</v>
      </c>
      <c r="D2459" t="s">
        <v>69</v>
      </c>
      <c r="E2459" t="s">
        <v>30</v>
      </c>
      <c r="F2459" t="s">
        <v>46</v>
      </c>
      <c r="G2459" t="s">
        <v>56</v>
      </c>
      <c r="H2459" t="s">
        <v>33</v>
      </c>
      <c r="I2459" t="s">
        <v>34</v>
      </c>
      <c r="J2459" t="s">
        <v>79</v>
      </c>
      <c r="K2459" s="2">
        <v>19489</v>
      </c>
      <c r="L2459" t="s">
        <v>36</v>
      </c>
      <c r="M2459" t="s">
        <v>48</v>
      </c>
      <c r="N2459" t="s">
        <v>60</v>
      </c>
      <c r="O2459" t="s">
        <v>67</v>
      </c>
      <c r="P2459" t="s">
        <v>40</v>
      </c>
      <c r="Q2459">
        <v>4</v>
      </c>
      <c r="R2459" s="2">
        <v>44911</v>
      </c>
      <c r="S2459">
        <v>5</v>
      </c>
      <c r="T2459">
        <v>5</v>
      </c>
      <c r="U2459">
        <v>3</v>
      </c>
      <c r="V2459" s="1">
        <v>44909</v>
      </c>
      <c r="W2459" t="s">
        <v>62</v>
      </c>
      <c r="X2459" t="s">
        <v>51</v>
      </c>
      <c r="Y2459" t="s">
        <v>52</v>
      </c>
      <c r="Z2459">
        <v>1</v>
      </c>
      <c r="AA2459">
        <v>936.24</v>
      </c>
      <c r="AB2459">
        <v>69</v>
      </c>
    </row>
    <row r="2460" spans="1:28" x14ac:dyDescent="0.2">
      <c r="A2460">
        <v>2995</v>
      </c>
      <c r="B2460" s="1">
        <v>43346</v>
      </c>
      <c r="C2460" t="s">
        <v>28</v>
      </c>
      <c r="D2460" t="s">
        <v>29</v>
      </c>
      <c r="E2460" t="s">
        <v>30</v>
      </c>
      <c r="F2460" t="s">
        <v>55</v>
      </c>
      <c r="G2460" t="s">
        <v>45</v>
      </c>
      <c r="H2460" t="s">
        <v>55</v>
      </c>
      <c r="I2460" t="s">
        <v>34</v>
      </c>
      <c r="J2460" t="s">
        <v>65</v>
      </c>
      <c r="K2460" s="2">
        <v>20014</v>
      </c>
      <c r="L2460" t="s">
        <v>36</v>
      </c>
      <c r="M2460" t="s">
        <v>48</v>
      </c>
      <c r="N2460" t="s">
        <v>60</v>
      </c>
      <c r="O2460" t="s">
        <v>61</v>
      </c>
      <c r="P2460" t="s">
        <v>98</v>
      </c>
      <c r="Q2460">
        <v>4</v>
      </c>
      <c r="R2460" s="2">
        <v>44945</v>
      </c>
      <c r="S2460">
        <v>1</v>
      </c>
      <c r="T2460">
        <v>5</v>
      </c>
      <c r="U2460">
        <v>2</v>
      </c>
      <c r="V2460" s="1">
        <v>45110</v>
      </c>
      <c r="W2460" t="s">
        <v>68</v>
      </c>
      <c r="X2460" t="s">
        <v>42</v>
      </c>
      <c r="Y2460" t="s">
        <v>73</v>
      </c>
      <c r="Z2460">
        <v>1</v>
      </c>
      <c r="AA2460">
        <v>440.35</v>
      </c>
      <c r="AB2460">
        <v>64</v>
      </c>
    </row>
    <row r="2461" spans="1:28" x14ac:dyDescent="0.2">
      <c r="A2461">
        <v>2996</v>
      </c>
      <c r="B2461" s="1">
        <v>44727</v>
      </c>
      <c r="C2461" t="s">
        <v>28</v>
      </c>
      <c r="D2461" t="s">
        <v>85</v>
      </c>
      <c r="E2461" t="s">
        <v>30</v>
      </c>
      <c r="F2461" t="s">
        <v>31</v>
      </c>
      <c r="G2461" t="s">
        <v>56</v>
      </c>
      <c r="H2461" t="s">
        <v>33</v>
      </c>
      <c r="I2461" t="s">
        <v>34</v>
      </c>
      <c r="J2461" t="s">
        <v>65</v>
      </c>
      <c r="K2461" s="2">
        <v>32781</v>
      </c>
      <c r="L2461" t="s">
        <v>36</v>
      </c>
      <c r="M2461" t="s">
        <v>37</v>
      </c>
      <c r="N2461" t="s">
        <v>60</v>
      </c>
      <c r="O2461" t="s">
        <v>39</v>
      </c>
      <c r="P2461" t="s">
        <v>40</v>
      </c>
      <c r="Q2461">
        <v>4</v>
      </c>
      <c r="R2461" s="2">
        <v>44800</v>
      </c>
      <c r="S2461">
        <v>3</v>
      </c>
      <c r="T2461">
        <v>2</v>
      </c>
      <c r="U2461">
        <v>2</v>
      </c>
      <c r="V2461" s="1">
        <v>44834</v>
      </c>
      <c r="W2461" t="s">
        <v>68</v>
      </c>
      <c r="X2461" t="s">
        <v>42</v>
      </c>
      <c r="Y2461" t="s">
        <v>73</v>
      </c>
      <c r="Z2461">
        <v>2</v>
      </c>
      <c r="AA2461">
        <v>727.12</v>
      </c>
      <c r="AB2461">
        <v>33</v>
      </c>
    </row>
    <row r="2462" spans="1:28" x14ac:dyDescent="0.2">
      <c r="A2462">
        <v>2997</v>
      </c>
      <c r="B2462" s="1">
        <v>44606</v>
      </c>
      <c r="C2462" t="s">
        <v>28</v>
      </c>
      <c r="D2462" t="s">
        <v>44</v>
      </c>
      <c r="E2462" t="s">
        <v>30</v>
      </c>
      <c r="F2462" t="s">
        <v>31</v>
      </c>
      <c r="G2462" t="s">
        <v>56</v>
      </c>
      <c r="H2462" t="s">
        <v>46</v>
      </c>
      <c r="I2462" t="s">
        <v>34</v>
      </c>
      <c r="J2462" t="s">
        <v>65</v>
      </c>
      <c r="K2462" s="2">
        <v>31228</v>
      </c>
      <c r="L2462" t="s">
        <v>36</v>
      </c>
      <c r="M2462" t="s">
        <v>37</v>
      </c>
      <c r="N2462" t="s">
        <v>60</v>
      </c>
      <c r="O2462" t="s">
        <v>67</v>
      </c>
      <c r="P2462" t="s">
        <v>40</v>
      </c>
      <c r="Q2462">
        <v>2</v>
      </c>
      <c r="R2462" s="2">
        <v>44895</v>
      </c>
      <c r="S2462">
        <v>1</v>
      </c>
      <c r="T2462">
        <v>2</v>
      </c>
      <c r="U2462">
        <v>5</v>
      </c>
      <c r="V2462" s="1">
        <v>44973</v>
      </c>
      <c r="W2462" t="s">
        <v>92</v>
      </c>
      <c r="X2462" t="s">
        <v>51</v>
      </c>
      <c r="Y2462" t="s">
        <v>63</v>
      </c>
      <c r="Z2462">
        <v>4</v>
      </c>
      <c r="AA2462">
        <v>433.14</v>
      </c>
      <c r="AB2462">
        <v>37</v>
      </c>
    </row>
    <row r="2463" spans="1:28" x14ac:dyDescent="0.2">
      <c r="A2463">
        <v>2998</v>
      </c>
      <c r="B2463" s="1">
        <v>45116</v>
      </c>
      <c r="C2463" t="s">
        <v>28</v>
      </c>
      <c r="D2463" t="s">
        <v>87</v>
      </c>
      <c r="E2463" t="s">
        <v>30</v>
      </c>
      <c r="F2463" t="s">
        <v>31</v>
      </c>
      <c r="G2463" t="s">
        <v>32</v>
      </c>
      <c r="H2463" t="s">
        <v>46</v>
      </c>
      <c r="I2463" t="s">
        <v>34</v>
      </c>
      <c r="J2463" t="s">
        <v>65</v>
      </c>
      <c r="K2463" s="2">
        <v>24991</v>
      </c>
      <c r="L2463" t="s">
        <v>36</v>
      </c>
      <c r="M2463" t="s">
        <v>48</v>
      </c>
      <c r="N2463" t="s">
        <v>38</v>
      </c>
      <c r="O2463" t="s">
        <v>39</v>
      </c>
      <c r="P2463" t="s">
        <v>98</v>
      </c>
      <c r="Q2463">
        <v>1</v>
      </c>
      <c r="R2463" s="2">
        <v>44961</v>
      </c>
      <c r="S2463">
        <v>4</v>
      </c>
      <c r="T2463">
        <v>3</v>
      </c>
      <c r="U2463">
        <v>3</v>
      </c>
      <c r="V2463" s="1">
        <v>44851</v>
      </c>
      <c r="W2463" t="s">
        <v>50</v>
      </c>
      <c r="X2463" t="s">
        <v>51</v>
      </c>
      <c r="Y2463" t="s">
        <v>43</v>
      </c>
      <c r="Z2463">
        <v>1</v>
      </c>
      <c r="AA2463">
        <v>764.14</v>
      </c>
      <c r="AB2463">
        <v>55</v>
      </c>
    </row>
    <row r="2464" spans="1:28" x14ac:dyDescent="0.2">
      <c r="A2464">
        <v>2999</v>
      </c>
      <c r="B2464" s="1">
        <v>43401</v>
      </c>
      <c r="C2464" t="s">
        <v>28</v>
      </c>
      <c r="D2464" t="s">
        <v>64</v>
      </c>
      <c r="E2464" t="s">
        <v>30</v>
      </c>
      <c r="F2464" t="s">
        <v>31</v>
      </c>
      <c r="G2464" t="s">
        <v>56</v>
      </c>
      <c r="H2464" t="s">
        <v>46</v>
      </c>
      <c r="I2464" t="s">
        <v>34</v>
      </c>
      <c r="J2464" t="s">
        <v>70</v>
      </c>
      <c r="K2464" s="2">
        <v>25643</v>
      </c>
      <c r="L2464" t="s">
        <v>36</v>
      </c>
      <c r="M2464" t="s">
        <v>48</v>
      </c>
      <c r="N2464" t="s">
        <v>84</v>
      </c>
      <c r="O2464" t="s">
        <v>77</v>
      </c>
      <c r="P2464" t="s">
        <v>40</v>
      </c>
      <c r="Q2464">
        <v>2</v>
      </c>
      <c r="R2464" s="2">
        <v>44950</v>
      </c>
      <c r="S2464">
        <v>2</v>
      </c>
      <c r="T2464">
        <v>1</v>
      </c>
      <c r="U2464">
        <v>4</v>
      </c>
      <c r="V2464" s="1">
        <v>45091</v>
      </c>
      <c r="W2464" t="s">
        <v>50</v>
      </c>
      <c r="X2464" t="s">
        <v>42</v>
      </c>
      <c r="Y2464" t="s">
        <v>73</v>
      </c>
      <c r="Z2464">
        <v>5</v>
      </c>
      <c r="AA2464">
        <v>800.21</v>
      </c>
      <c r="AB2464">
        <v>48</v>
      </c>
    </row>
    <row r="2465" spans="1:28" x14ac:dyDescent="0.2">
      <c r="A2465">
        <v>3000</v>
      </c>
      <c r="B2465" s="1">
        <v>44751</v>
      </c>
      <c r="C2465" t="s">
        <v>28</v>
      </c>
      <c r="D2465" t="s">
        <v>94</v>
      </c>
      <c r="E2465" t="s">
        <v>30</v>
      </c>
      <c r="F2465" t="s">
        <v>31</v>
      </c>
      <c r="G2465" t="s">
        <v>56</v>
      </c>
      <c r="H2465" t="s">
        <v>55</v>
      </c>
      <c r="I2465" t="s">
        <v>34</v>
      </c>
      <c r="J2465" t="s">
        <v>134</v>
      </c>
      <c r="K2465" s="2">
        <v>26934</v>
      </c>
      <c r="L2465" t="s">
        <v>36</v>
      </c>
      <c r="M2465" t="s">
        <v>48</v>
      </c>
      <c r="N2465" t="s">
        <v>60</v>
      </c>
      <c r="O2465" t="s">
        <v>61</v>
      </c>
      <c r="P2465" t="s">
        <v>40</v>
      </c>
      <c r="Q2465">
        <v>1</v>
      </c>
      <c r="R2465" s="2">
        <v>45124</v>
      </c>
      <c r="S2465">
        <v>2</v>
      </c>
      <c r="T2465">
        <v>2</v>
      </c>
      <c r="U2465">
        <v>5</v>
      </c>
      <c r="V2465" s="1">
        <v>45057</v>
      </c>
      <c r="W2465" t="s">
        <v>68</v>
      </c>
      <c r="X2465" t="s">
        <v>51</v>
      </c>
      <c r="Y2465" t="s">
        <v>52</v>
      </c>
      <c r="Z2465">
        <v>2</v>
      </c>
      <c r="AA2465">
        <v>172.72</v>
      </c>
      <c r="AB2465">
        <v>49</v>
      </c>
    </row>
    <row r="2466" spans="1:28" x14ac:dyDescent="0.2">
      <c r="A2466">
        <v>3001</v>
      </c>
      <c r="B2466" s="1">
        <v>43370</v>
      </c>
      <c r="C2466" t="s">
        <v>28</v>
      </c>
      <c r="D2466" t="s">
        <v>74</v>
      </c>
      <c r="E2466" t="s">
        <v>30</v>
      </c>
      <c r="F2466" t="s">
        <v>55</v>
      </c>
      <c r="G2466" t="s">
        <v>32</v>
      </c>
      <c r="H2466" t="s">
        <v>46</v>
      </c>
      <c r="I2466" t="s">
        <v>34</v>
      </c>
      <c r="J2466" t="s">
        <v>65</v>
      </c>
      <c r="K2466" s="2">
        <v>15629</v>
      </c>
      <c r="L2466" t="s">
        <v>36</v>
      </c>
      <c r="M2466" t="s">
        <v>48</v>
      </c>
      <c r="N2466" t="s">
        <v>84</v>
      </c>
      <c r="O2466" t="s">
        <v>39</v>
      </c>
      <c r="P2466" t="s">
        <v>40</v>
      </c>
      <c r="Q2466">
        <v>5</v>
      </c>
      <c r="R2466" s="2">
        <v>45029</v>
      </c>
      <c r="S2466">
        <v>5</v>
      </c>
      <c r="T2466">
        <v>4</v>
      </c>
      <c r="U2466">
        <v>3</v>
      </c>
      <c r="V2466" s="1">
        <v>44921</v>
      </c>
      <c r="W2466" t="s">
        <v>92</v>
      </c>
      <c r="X2466" t="s">
        <v>42</v>
      </c>
      <c r="Y2466" t="s">
        <v>73</v>
      </c>
      <c r="Z2466">
        <v>5</v>
      </c>
      <c r="AA2466">
        <v>346.93</v>
      </c>
      <c r="AB2466">
        <v>76</v>
      </c>
    </row>
    <row r="2467" spans="1:28" x14ac:dyDescent="0.2">
      <c r="A2467">
        <v>3002</v>
      </c>
      <c r="B2467" s="1">
        <v>44131</v>
      </c>
      <c r="C2467" t="s">
        <v>106</v>
      </c>
      <c r="D2467" t="s">
        <v>69</v>
      </c>
      <c r="E2467" t="s">
        <v>30</v>
      </c>
      <c r="F2467" t="s">
        <v>55</v>
      </c>
      <c r="G2467" t="s">
        <v>45</v>
      </c>
      <c r="H2467" t="s">
        <v>46</v>
      </c>
      <c r="I2467" t="s">
        <v>34</v>
      </c>
      <c r="J2467" t="s">
        <v>65</v>
      </c>
      <c r="K2467" s="2">
        <v>33374</v>
      </c>
      <c r="L2467" t="s">
        <v>36</v>
      </c>
      <c r="M2467" t="s">
        <v>37</v>
      </c>
      <c r="N2467" t="s">
        <v>38</v>
      </c>
      <c r="O2467" t="s">
        <v>39</v>
      </c>
      <c r="P2467" t="s">
        <v>40</v>
      </c>
      <c r="Q2467">
        <v>2</v>
      </c>
      <c r="R2467" s="2">
        <v>44814</v>
      </c>
      <c r="S2467">
        <v>3</v>
      </c>
      <c r="T2467">
        <v>3</v>
      </c>
      <c r="U2467">
        <v>3</v>
      </c>
      <c r="V2467" s="1">
        <v>44962</v>
      </c>
      <c r="W2467" t="s">
        <v>41</v>
      </c>
      <c r="X2467" t="s">
        <v>42</v>
      </c>
      <c r="Y2467" t="s">
        <v>73</v>
      </c>
      <c r="Z2467">
        <v>4</v>
      </c>
      <c r="AA2467">
        <v>247.81</v>
      </c>
      <c r="AB2467">
        <v>29</v>
      </c>
    </row>
    <row r="2468" spans="1:28" x14ac:dyDescent="0.2">
      <c r="A2468">
        <v>3003</v>
      </c>
      <c r="B2468" s="1">
        <v>44470</v>
      </c>
      <c r="C2468" t="s">
        <v>106</v>
      </c>
      <c r="D2468" t="s">
        <v>29</v>
      </c>
      <c r="E2468" t="s">
        <v>30</v>
      </c>
      <c r="F2468" t="s">
        <v>55</v>
      </c>
      <c r="G2468" t="s">
        <v>45</v>
      </c>
      <c r="H2468" t="s">
        <v>46</v>
      </c>
      <c r="I2468" t="s">
        <v>34</v>
      </c>
      <c r="J2468" t="s">
        <v>70</v>
      </c>
      <c r="K2468" s="2">
        <v>33116</v>
      </c>
      <c r="L2468" t="s">
        <v>36</v>
      </c>
      <c r="M2468" t="s">
        <v>37</v>
      </c>
      <c r="N2468" t="s">
        <v>60</v>
      </c>
      <c r="O2468" t="s">
        <v>61</v>
      </c>
      <c r="P2468" t="s">
        <v>40</v>
      </c>
      <c r="Q2468">
        <v>5</v>
      </c>
      <c r="R2468" s="2">
        <v>44943</v>
      </c>
      <c r="S2468">
        <v>4</v>
      </c>
      <c r="T2468">
        <v>3</v>
      </c>
      <c r="U2468">
        <v>5</v>
      </c>
      <c r="V2468" s="1">
        <v>44881</v>
      </c>
      <c r="W2468" t="s">
        <v>68</v>
      </c>
      <c r="X2468" t="s">
        <v>42</v>
      </c>
      <c r="Y2468" t="s">
        <v>73</v>
      </c>
      <c r="Z2468">
        <v>4</v>
      </c>
      <c r="AA2468">
        <v>144.84</v>
      </c>
      <c r="AB2468">
        <v>31</v>
      </c>
    </row>
    <row r="2469" spans="1:28" x14ac:dyDescent="0.2">
      <c r="A2469">
        <v>3004</v>
      </c>
      <c r="B2469" s="1">
        <v>43706</v>
      </c>
      <c r="C2469" t="s">
        <v>106</v>
      </c>
      <c r="D2469" t="s">
        <v>44</v>
      </c>
      <c r="E2469" t="s">
        <v>30</v>
      </c>
      <c r="F2469" t="s">
        <v>55</v>
      </c>
      <c r="G2469" t="s">
        <v>56</v>
      </c>
      <c r="H2469" t="s">
        <v>55</v>
      </c>
      <c r="I2469" t="s">
        <v>34</v>
      </c>
      <c r="J2469" t="s">
        <v>65</v>
      </c>
      <c r="K2469" s="2">
        <v>35088</v>
      </c>
      <c r="L2469" t="s">
        <v>36</v>
      </c>
      <c r="M2469" t="s">
        <v>37</v>
      </c>
      <c r="N2469" t="s">
        <v>84</v>
      </c>
      <c r="O2469" t="s">
        <v>77</v>
      </c>
      <c r="P2469" t="s">
        <v>40</v>
      </c>
      <c r="Q2469">
        <v>5</v>
      </c>
      <c r="R2469" s="2">
        <v>44855</v>
      </c>
      <c r="S2469">
        <v>4</v>
      </c>
      <c r="T2469">
        <v>3</v>
      </c>
      <c r="U2469">
        <v>4</v>
      </c>
      <c r="V2469" s="1">
        <v>44992</v>
      </c>
      <c r="W2469" t="s">
        <v>68</v>
      </c>
      <c r="X2469" t="s">
        <v>42</v>
      </c>
      <c r="Y2469" t="s">
        <v>52</v>
      </c>
      <c r="Z2469">
        <v>1</v>
      </c>
      <c r="AA2469">
        <v>183.63</v>
      </c>
      <c r="AB2469">
        <v>23</v>
      </c>
    </row>
    <row r="2470" spans="1:28" x14ac:dyDescent="0.2">
      <c r="A2470">
        <v>3005</v>
      </c>
      <c r="B2470" s="1">
        <v>44194</v>
      </c>
      <c r="C2470" t="s">
        <v>106</v>
      </c>
      <c r="D2470" t="s">
        <v>87</v>
      </c>
      <c r="E2470" t="s">
        <v>30</v>
      </c>
      <c r="F2470" t="s">
        <v>31</v>
      </c>
      <c r="G2470" t="s">
        <v>32</v>
      </c>
      <c r="H2470" t="s">
        <v>46</v>
      </c>
      <c r="I2470" t="s">
        <v>34</v>
      </c>
      <c r="J2470" t="s">
        <v>65</v>
      </c>
      <c r="K2470" s="2">
        <v>15726</v>
      </c>
      <c r="L2470" t="s">
        <v>36</v>
      </c>
      <c r="M2470" t="s">
        <v>37</v>
      </c>
      <c r="N2470" t="s">
        <v>49</v>
      </c>
      <c r="O2470" t="s">
        <v>39</v>
      </c>
      <c r="P2470" t="s">
        <v>40</v>
      </c>
      <c r="Q2470">
        <v>2</v>
      </c>
      <c r="R2470" s="2">
        <v>44944</v>
      </c>
      <c r="S2470">
        <v>4</v>
      </c>
      <c r="T2470">
        <v>5</v>
      </c>
      <c r="U2470">
        <v>1</v>
      </c>
      <c r="V2470" s="1">
        <v>45006</v>
      </c>
      <c r="W2470" t="s">
        <v>92</v>
      </c>
      <c r="X2470" t="s">
        <v>42</v>
      </c>
      <c r="Y2470" t="s">
        <v>73</v>
      </c>
      <c r="Z2470">
        <v>5</v>
      </c>
      <c r="AA2470">
        <v>997.4</v>
      </c>
      <c r="AB2470">
        <v>77</v>
      </c>
    </row>
    <row r="2471" spans="1:28" x14ac:dyDescent="0.2">
      <c r="A2471">
        <v>3006</v>
      </c>
      <c r="B2471" s="1">
        <v>44838</v>
      </c>
      <c r="C2471" t="s">
        <v>106</v>
      </c>
      <c r="D2471" t="s">
        <v>81</v>
      </c>
      <c r="E2471" t="s">
        <v>30</v>
      </c>
      <c r="F2471" t="s">
        <v>46</v>
      </c>
      <c r="G2471" t="s">
        <v>32</v>
      </c>
      <c r="H2471" t="s">
        <v>55</v>
      </c>
      <c r="I2471" t="s">
        <v>34</v>
      </c>
      <c r="J2471" t="s">
        <v>70</v>
      </c>
      <c r="K2471" s="2">
        <v>25045</v>
      </c>
      <c r="L2471" t="s">
        <v>36</v>
      </c>
      <c r="M2471" t="s">
        <v>37</v>
      </c>
      <c r="N2471" t="s">
        <v>84</v>
      </c>
      <c r="O2471" t="s">
        <v>61</v>
      </c>
      <c r="P2471" t="s">
        <v>40</v>
      </c>
      <c r="Q2471">
        <v>1</v>
      </c>
      <c r="R2471" s="2">
        <v>44985</v>
      </c>
      <c r="S2471">
        <v>3</v>
      </c>
      <c r="T2471">
        <v>5</v>
      </c>
      <c r="U2471">
        <v>2</v>
      </c>
      <c r="V2471" s="1">
        <v>45059</v>
      </c>
      <c r="W2471" t="s">
        <v>92</v>
      </c>
      <c r="X2471" t="s">
        <v>51</v>
      </c>
      <c r="Y2471" t="s">
        <v>73</v>
      </c>
      <c r="Z2471">
        <v>3</v>
      </c>
      <c r="AA2471">
        <v>415.18</v>
      </c>
      <c r="AB2471">
        <v>54</v>
      </c>
    </row>
    <row r="2472" spans="1:28" x14ac:dyDescent="0.2">
      <c r="A2472">
        <v>3007</v>
      </c>
      <c r="B2472" s="1">
        <v>43545</v>
      </c>
      <c r="C2472" t="s">
        <v>106</v>
      </c>
      <c r="D2472" t="s">
        <v>54</v>
      </c>
      <c r="E2472" t="s">
        <v>30</v>
      </c>
      <c r="F2472" t="s">
        <v>46</v>
      </c>
      <c r="G2472" t="s">
        <v>45</v>
      </c>
      <c r="H2472" t="s">
        <v>55</v>
      </c>
      <c r="I2472" t="s">
        <v>34</v>
      </c>
      <c r="J2472" t="s">
        <v>65</v>
      </c>
      <c r="K2472" s="2">
        <v>18184</v>
      </c>
      <c r="L2472" t="s">
        <v>36</v>
      </c>
      <c r="M2472" t="s">
        <v>37</v>
      </c>
      <c r="N2472" t="s">
        <v>72</v>
      </c>
      <c r="O2472" t="s">
        <v>67</v>
      </c>
      <c r="P2472" t="s">
        <v>40</v>
      </c>
      <c r="Q2472">
        <v>2</v>
      </c>
      <c r="R2472" s="2">
        <v>45061</v>
      </c>
      <c r="S2472">
        <v>2</v>
      </c>
      <c r="T2472">
        <v>5</v>
      </c>
      <c r="U2472">
        <v>3</v>
      </c>
      <c r="V2472" s="1">
        <v>45126</v>
      </c>
      <c r="W2472" t="s">
        <v>50</v>
      </c>
      <c r="X2472" t="s">
        <v>51</v>
      </c>
      <c r="Y2472" t="s">
        <v>52</v>
      </c>
      <c r="Z2472">
        <v>5</v>
      </c>
      <c r="AA2472">
        <v>147.35</v>
      </c>
      <c r="AB2472">
        <v>70</v>
      </c>
    </row>
    <row r="2473" spans="1:28" x14ac:dyDescent="0.2">
      <c r="A2473">
        <v>3008</v>
      </c>
      <c r="B2473" s="1">
        <v>43924</v>
      </c>
      <c r="C2473" t="s">
        <v>106</v>
      </c>
      <c r="D2473" t="s">
        <v>94</v>
      </c>
      <c r="E2473" t="s">
        <v>30</v>
      </c>
      <c r="F2473" t="s">
        <v>55</v>
      </c>
      <c r="G2473" t="s">
        <v>45</v>
      </c>
      <c r="H2473" t="s">
        <v>55</v>
      </c>
      <c r="I2473" t="s">
        <v>34</v>
      </c>
      <c r="J2473" t="s">
        <v>58</v>
      </c>
      <c r="K2473" s="2">
        <v>28190</v>
      </c>
      <c r="L2473" t="s">
        <v>36</v>
      </c>
      <c r="M2473" t="s">
        <v>37</v>
      </c>
      <c r="N2473" t="s">
        <v>72</v>
      </c>
      <c r="O2473" t="s">
        <v>39</v>
      </c>
      <c r="P2473" t="s">
        <v>40</v>
      </c>
      <c r="Q2473">
        <v>4</v>
      </c>
      <c r="R2473" s="2">
        <v>45025</v>
      </c>
      <c r="S2473">
        <v>2</v>
      </c>
      <c r="T2473">
        <v>1</v>
      </c>
      <c r="U2473">
        <v>4</v>
      </c>
      <c r="V2473" s="1">
        <v>45000</v>
      </c>
      <c r="W2473" t="s">
        <v>41</v>
      </c>
      <c r="X2473" t="s">
        <v>42</v>
      </c>
      <c r="Y2473" t="s">
        <v>52</v>
      </c>
      <c r="Z2473">
        <v>3</v>
      </c>
      <c r="AA2473">
        <v>967.08</v>
      </c>
      <c r="AB2473">
        <v>43</v>
      </c>
    </row>
    <row r="2474" spans="1:28" x14ac:dyDescent="0.2">
      <c r="A2474">
        <v>3009</v>
      </c>
      <c r="B2474" s="1">
        <v>43618</v>
      </c>
      <c r="C2474" t="s">
        <v>28</v>
      </c>
      <c r="D2474" t="s">
        <v>44</v>
      </c>
      <c r="E2474" t="s">
        <v>30</v>
      </c>
      <c r="F2474" t="s">
        <v>46</v>
      </c>
      <c r="G2474" t="s">
        <v>32</v>
      </c>
      <c r="H2474" t="s">
        <v>46</v>
      </c>
      <c r="I2474" t="s">
        <v>34</v>
      </c>
      <c r="J2474" t="s">
        <v>109</v>
      </c>
      <c r="K2474" s="2">
        <v>35551</v>
      </c>
      <c r="L2474" t="s">
        <v>36</v>
      </c>
      <c r="M2474" t="s">
        <v>48</v>
      </c>
      <c r="N2474" t="s">
        <v>38</v>
      </c>
      <c r="O2474" t="s">
        <v>67</v>
      </c>
      <c r="P2474" t="s">
        <v>40</v>
      </c>
      <c r="Q2474">
        <v>2</v>
      </c>
      <c r="R2474" s="2">
        <v>44861</v>
      </c>
      <c r="S2474">
        <v>1</v>
      </c>
      <c r="T2474">
        <v>2</v>
      </c>
      <c r="U2474">
        <v>4</v>
      </c>
      <c r="V2474" s="1">
        <v>44885</v>
      </c>
      <c r="W2474" t="s">
        <v>41</v>
      </c>
      <c r="X2474" t="s">
        <v>42</v>
      </c>
      <c r="Y2474" t="s">
        <v>52</v>
      </c>
      <c r="Z2474">
        <v>4</v>
      </c>
      <c r="AA2474">
        <v>637.86</v>
      </c>
      <c r="AB2474">
        <v>22</v>
      </c>
    </row>
    <row r="2475" spans="1:28" x14ac:dyDescent="0.2">
      <c r="A2475">
        <v>3013</v>
      </c>
      <c r="B2475" s="1">
        <v>43603</v>
      </c>
      <c r="C2475" t="s">
        <v>28</v>
      </c>
      <c r="D2475" t="s">
        <v>29</v>
      </c>
      <c r="E2475" t="s">
        <v>30</v>
      </c>
      <c r="F2475" t="s">
        <v>55</v>
      </c>
      <c r="G2475" t="s">
        <v>32</v>
      </c>
      <c r="H2475" t="s">
        <v>55</v>
      </c>
      <c r="I2475" t="s">
        <v>34</v>
      </c>
      <c r="J2475" t="s">
        <v>89</v>
      </c>
      <c r="K2475" s="2">
        <v>30035</v>
      </c>
      <c r="L2475" t="s">
        <v>36</v>
      </c>
      <c r="M2475" t="s">
        <v>37</v>
      </c>
      <c r="N2475" t="s">
        <v>84</v>
      </c>
      <c r="O2475" t="s">
        <v>39</v>
      </c>
      <c r="P2475" t="s">
        <v>107</v>
      </c>
      <c r="Q2475">
        <v>1</v>
      </c>
      <c r="R2475" s="2">
        <v>45120</v>
      </c>
      <c r="S2475">
        <v>5</v>
      </c>
      <c r="T2475">
        <v>2</v>
      </c>
      <c r="U2475">
        <v>4</v>
      </c>
      <c r="V2475" s="1">
        <v>45069</v>
      </c>
      <c r="W2475" t="s">
        <v>41</v>
      </c>
      <c r="X2475" t="s">
        <v>42</v>
      </c>
      <c r="Y2475" t="s">
        <v>52</v>
      </c>
      <c r="Z2475">
        <v>4</v>
      </c>
      <c r="AA2475">
        <v>776.3</v>
      </c>
      <c r="AB2475">
        <v>37</v>
      </c>
    </row>
    <row r="2476" spans="1:28" x14ac:dyDescent="0.2">
      <c r="A2476">
        <v>3014</v>
      </c>
      <c r="B2476" s="1">
        <v>44888</v>
      </c>
      <c r="C2476" t="s">
        <v>28</v>
      </c>
      <c r="D2476" t="s">
        <v>44</v>
      </c>
      <c r="E2476" t="s">
        <v>30</v>
      </c>
      <c r="F2476" t="s">
        <v>31</v>
      </c>
      <c r="G2476" t="s">
        <v>56</v>
      </c>
      <c r="H2476" t="s">
        <v>33</v>
      </c>
      <c r="I2476" t="s">
        <v>34</v>
      </c>
      <c r="J2476" t="s">
        <v>70</v>
      </c>
      <c r="K2476" s="2">
        <v>24670</v>
      </c>
      <c r="L2476" t="s">
        <v>36</v>
      </c>
      <c r="M2476" t="s">
        <v>48</v>
      </c>
      <c r="N2476" t="s">
        <v>49</v>
      </c>
      <c r="O2476" t="s">
        <v>61</v>
      </c>
      <c r="P2476" t="s">
        <v>107</v>
      </c>
      <c r="Q2476">
        <v>2</v>
      </c>
      <c r="R2476" s="2">
        <v>45004</v>
      </c>
      <c r="S2476">
        <v>3</v>
      </c>
      <c r="T2476">
        <v>4</v>
      </c>
      <c r="U2476">
        <v>2</v>
      </c>
      <c r="V2476" s="1">
        <v>44958</v>
      </c>
      <c r="W2476" t="s">
        <v>41</v>
      </c>
      <c r="X2476" t="s">
        <v>42</v>
      </c>
      <c r="Y2476" t="s">
        <v>63</v>
      </c>
      <c r="Z2476">
        <v>3</v>
      </c>
      <c r="AA2476">
        <v>326.37</v>
      </c>
      <c r="AB2476">
        <v>55</v>
      </c>
    </row>
    <row r="2477" spans="1:28" x14ac:dyDescent="0.2">
      <c r="A2477">
        <v>3015</v>
      </c>
      <c r="B2477" s="1">
        <v>44167</v>
      </c>
      <c r="C2477" t="s">
        <v>28</v>
      </c>
      <c r="D2477" t="s">
        <v>87</v>
      </c>
      <c r="E2477" t="s">
        <v>30</v>
      </c>
      <c r="F2477" t="s">
        <v>46</v>
      </c>
      <c r="G2477" t="s">
        <v>32</v>
      </c>
      <c r="H2477" t="s">
        <v>46</v>
      </c>
      <c r="I2477" t="s">
        <v>34</v>
      </c>
      <c r="J2477" t="s">
        <v>58</v>
      </c>
      <c r="K2477" s="2">
        <v>27925</v>
      </c>
      <c r="L2477" t="s">
        <v>36</v>
      </c>
      <c r="M2477" t="s">
        <v>48</v>
      </c>
      <c r="N2477" t="s">
        <v>49</v>
      </c>
      <c r="O2477" t="s">
        <v>61</v>
      </c>
      <c r="P2477" t="s">
        <v>107</v>
      </c>
      <c r="Q2477">
        <v>2</v>
      </c>
      <c r="R2477" s="2">
        <v>44899</v>
      </c>
      <c r="S2477">
        <v>5</v>
      </c>
      <c r="T2477">
        <v>5</v>
      </c>
      <c r="U2477">
        <v>5</v>
      </c>
      <c r="V2477" s="1">
        <v>44883</v>
      </c>
      <c r="W2477" t="s">
        <v>50</v>
      </c>
      <c r="X2477" t="s">
        <v>51</v>
      </c>
      <c r="Y2477" t="s">
        <v>63</v>
      </c>
      <c r="Z2477">
        <v>1</v>
      </c>
      <c r="AA2477">
        <v>108.95</v>
      </c>
      <c r="AB2477">
        <v>44</v>
      </c>
    </row>
    <row r="2478" spans="1:28" x14ac:dyDescent="0.2">
      <c r="A2478">
        <v>3016</v>
      </c>
      <c r="B2478" s="1">
        <v>44566</v>
      </c>
      <c r="C2478" t="s">
        <v>28</v>
      </c>
      <c r="D2478" t="s">
        <v>81</v>
      </c>
      <c r="E2478" t="s">
        <v>30</v>
      </c>
      <c r="F2478" t="s">
        <v>46</v>
      </c>
      <c r="G2478" t="s">
        <v>45</v>
      </c>
      <c r="H2478" t="s">
        <v>46</v>
      </c>
      <c r="I2478" t="s">
        <v>34</v>
      </c>
      <c r="J2478" t="s">
        <v>35</v>
      </c>
      <c r="K2478" s="2">
        <v>36709</v>
      </c>
      <c r="L2478" t="s">
        <v>36</v>
      </c>
      <c r="M2478" t="s">
        <v>48</v>
      </c>
      <c r="N2478" t="s">
        <v>72</v>
      </c>
      <c r="O2478" t="s">
        <v>39</v>
      </c>
      <c r="P2478" t="s">
        <v>107</v>
      </c>
      <c r="Q2478">
        <v>4</v>
      </c>
      <c r="R2478" s="2">
        <v>44894</v>
      </c>
      <c r="S2478">
        <v>3</v>
      </c>
      <c r="T2478">
        <v>1</v>
      </c>
      <c r="U2478">
        <v>2</v>
      </c>
      <c r="V2478" s="1">
        <v>44952</v>
      </c>
      <c r="W2478" t="s">
        <v>92</v>
      </c>
      <c r="X2478" t="s">
        <v>42</v>
      </c>
      <c r="Y2478" t="s">
        <v>63</v>
      </c>
      <c r="Z2478">
        <v>4</v>
      </c>
      <c r="AA2478">
        <v>550.9</v>
      </c>
      <c r="AB2478">
        <v>22</v>
      </c>
    </row>
    <row r="2479" spans="1:28" x14ac:dyDescent="0.2">
      <c r="A2479">
        <v>3017</v>
      </c>
      <c r="B2479" s="1">
        <v>45032</v>
      </c>
      <c r="C2479" t="s">
        <v>28</v>
      </c>
      <c r="D2479" t="s">
        <v>54</v>
      </c>
      <c r="E2479" t="s">
        <v>30</v>
      </c>
      <c r="F2479" t="s">
        <v>55</v>
      </c>
      <c r="G2479" t="s">
        <v>56</v>
      </c>
      <c r="H2479" t="s">
        <v>55</v>
      </c>
      <c r="I2479" t="s">
        <v>34</v>
      </c>
      <c r="J2479" t="s">
        <v>70</v>
      </c>
      <c r="K2479" s="2">
        <v>34680</v>
      </c>
      <c r="L2479" t="s">
        <v>36</v>
      </c>
      <c r="M2479" t="s">
        <v>37</v>
      </c>
      <c r="N2479" t="s">
        <v>60</v>
      </c>
      <c r="O2479" t="s">
        <v>77</v>
      </c>
      <c r="P2479" t="s">
        <v>107</v>
      </c>
      <c r="Q2479">
        <v>5</v>
      </c>
      <c r="R2479" s="2">
        <v>44832</v>
      </c>
      <c r="S2479">
        <v>3</v>
      </c>
      <c r="T2479">
        <v>5</v>
      </c>
      <c r="U2479">
        <v>3</v>
      </c>
      <c r="V2479" s="1">
        <v>44792</v>
      </c>
      <c r="W2479" t="s">
        <v>68</v>
      </c>
      <c r="X2479" t="s">
        <v>42</v>
      </c>
      <c r="Y2479" t="s">
        <v>52</v>
      </c>
      <c r="Z2479">
        <v>4</v>
      </c>
      <c r="AA2479">
        <v>795.89</v>
      </c>
      <c r="AB2479">
        <v>29</v>
      </c>
    </row>
    <row r="2480" spans="1:28" x14ac:dyDescent="0.2">
      <c r="A2480">
        <v>3018</v>
      </c>
      <c r="B2480" s="1">
        <v>44114</v>
      </c>
      <c r="C2480" t="s">
        <v>28</v>
      </c>
      <c r="D2480" t="s">
        <v>94</v>
      </c>
      <c r="E2480" t="s">
        <v>30</v>
      </c>
      <c r="F2480" t="s">
        <v>31</v>
      </c>
      <c r="G2480" t="s">
        <v>32</v>
      </c>
      <c r="H2480" t="s">
        <v>46</v>
      </c>
      <c r="I2480" t="s">
        <v>34</v>
      </c>
      <c r="J2480" t="s">
        <v>96</v>
      </c>
      <c r="K2480" s="2">
        <v>27193</v>
      </c>
      <c r="L2480" t="s">
        <v>36</v>
      </c>
      <c r="M2480" t="s">
        <v>37</v>
      </c>
      <c r="N2480" t="s">
        <v>72</v>
      </c>
      <c r="O2480" t="s">
        <v>39</v>
      </c>
      <c r="P2480" t="s">
        <v>107</v>
      </c>
      <c r="Q2480">
        <v>2</v>
      </c>
      <c r="R2480" s="2">
        <v>44817</v>
      </c>
      <c r="S2480">
        <v>1</v>
      </c>
      <c r="T2480">
        <v>1</v>
      </c>
      <c r="U2480">
        <v>4</v>
      </c>
      <c r="V2480" s="1">
        <v>45018</v>
      </c>
      <c r="W2480" t="s">
        <v>92</v>
      </c>
      <c r="X2480" t="s">
        <v>51</v>
      </c>
      <c r="Y2480" t="s">
        <v>73</v>
      </c>
      <c r="Z2480">
        <v>1</v>
      </c>
      <c r="AA2480">
        <v>980.49</v>
      </c>
      <c r="AB2480">
        <v>46</v>
      </c>
    </row>
    <row r="2481" spans="1:28" x14ac:dyDescent="0.2">
      <c r="A2481">
        <v>3019</v>
      </c>
      <c r="B2481" s="1">
        <v>44666</v>
      </c>
      <c r="C2481" t="s">
        <v>28</v>
      </c>
      <c r="D2481" t="s">
        <v>85</v>
      </c>
      <c r="E2481" t="s">
        <v>30</v>
      </c>
      <c r="F2481" t="s">
        <v>31</v>
      </c>
      <c r="G2481" t="s">
        <v>56</v>
      </c>
      <c r="H2481" t="s">
        <v>55</v>
      </c>
      <c r="I2481" t="s">
        <v>34</v>
      </c>
      <c r="J2481" t="s">
        <v>35</v>
      </c>
      <c r="K2481" s="2">
        <v>29119</v>
      </c>
      <c r="L2481" t="s">
        <v>36</v>
      </c>
      <c r="M2481" t="s">
        <v>37</v>
      </c>
      <c r="N2481" t="s">
        <v>84</v>
      </c>
      <c r="O2481" t="s">
        <v>67</v>
      </c>
      <c r="P2481" t="s">
        <v>107</v>
      </c>
      <c r="Q2481">
        <v>2</v>
      </c>
      <c r="R2481" s="2">
        <v>44815</v>
      </c>
      <c r="S2481">
        <v>3</v>
      </c>
      <c r="T2481">
        <v>4</v>
      </c>
      <c r="U2481">
        <v>2</v>
      </c>
      <c r="V2481" s="1">
        <v>44883</v>
      </c>
      <c r="W2481" t="s">
        <v>68</v>
      </c>
      <c r="X2481" t="s">
        <v>51</v>
      </c>
      <c r="Y2481" t="s">
        <v>43</v>
      </c>
      <c r="Z2481">
        <v>1</v>
      </c>
      <c r="AA2481">
        <v>155.46</v>
      </c>
      <c r="AB2481">
        <v>43</v>
      </c>
    </row>
    <row r="2482" spans="1:28" x14ac:dyDescent="0.2">
      <c r="A2482">
        <v>3020</v>
      </c>
      <c r="B2482" s="1">
        <v>45132</v>
      </c>
      <c r="C2482" t="s">
        <v>28</v>
      </c>
      <c r="D2482" t="s">
        <v>64</v>
      </c>
      <c r="E2482" t="s">
        <v>30</v>
      </c>
      <c r="F2482" t="s">
        <v>46</v>
      </c>
      <c r="G2482" t="s">
        <v>32</v>
      </c>
      <c r="H2482" t="s">
        <v>46</v>
      </c>
      <c r="I2482" t="s">
        <v>34</v>
      </c>
      <c r="J2482" t="s">
        <v>65</v>
      </c>
      <c r="K2482" s="2">
        <v>16078</v>
      </c>
      <c r="L2482" t="s">
        <v>36</v>
      </c>
      <c r="M2482" t="s">
        <v>48</v>
      </c>
      <c r="N2482" t="s">
        <v>72</v>
      </c>
      <c r="O2482" t="s">
        <v>39</v>
      </c>
      <c r="P2482" t="s">
        <v>107</v>
      </c>
      <c r="Q2482">
        <v>2</v>
      </c>
      <c r="R2482" s="2">
        <v>45135</v>
      </c>
      <c r="S2482">
        <v>2</v>
      </c>
      <c r="T2482">
        <v>5</v>
      </c>
      <c r="U2482">
        <v>1</v>
      </c>
      <c r="V2482" s="1">
        <v>45096</v>
      </c>
      <c r="W2482" t="s">
        <v>62</v>
      </c>
      <c r="X2482" t="s">
        <v>51</v>
      </c>
      <c r="Y2482" t="s">
        <v>63</v>
      </c>
      <c r="Z2482">
        <v>2</v>
      </c>
      <c r="AA2482">
        <v>367.74</v>
      </c>
      <c r="AB2482">
        <v>79</v>
      </c>
    </row>
    <row r="2483" spans="1:28" x14ac:dyDescent="0.2">
      <c r="A2483">
        <v>3021</v>
      </c>
      <c r="B2483" s="1">
        <v>44074</v>
      </c>
      <c r="C2483" t="s">
        <v>28</v>
      </c>
      <c r="D2483" t="s">
        <v>74</v>
      </c>
      <c r="E2483" t="s">
        <v>30</v>
      </c>
      <c r="F2483" t="s">
        <v>31</v>
      </c>
      <c r="G2483" t="s">
        <v>45</v>
      </c>
      <c r="H2483" t="s">
        <v>33</v>
      </c>
      <c r="I2483" t="s">
        <v>34</v>
      </c>
      <c r="J2483" t="s">
        <v>101</v>
      </c>
      <c r="K2483" s="2">
        <v>31911</v>
      </c>
      <c r="L2483" t="s">
        <v>36</v>
      </c>
      <c r="M2483" t="s">
        <v>48</v>
      </c>
      <c r="N2483" t="s">
        <v>60</v>
      </c>
      <c r="O2483" t="s">
        <v>61</v>
      </c>
      <c r="P2483" t="s">
        <v>107</v>
      </c>
      <c r="Q2483">
        <v>2</v>
      </c>
      <c r="R2483" s="2">
        <v>44853</v>
      </c>
      <c r="S2483">
        <v>5</v>
      </c>
      <c r="T2483">
        <v>3</v>
      </c>
      <c r="U2483">
        <v>4</v>
      </c>
      <c r="V2483" s="1">
        <v>45142</v>
      </c>
      <c r="W2483" t="s">
        <v>50</v>
      </c>
      <c r="X2483" t="s">
        <v>51</v>
      </c>
      <c r="Y2483" t="s">
        <v>73</v>
      </c>
      <c r="Z2483">
        <v>3</v>
      </c>
      <c r="AA2483">
        <v>115.55</v>
      </c>
      <c r="AB2483">
        <v>33</v>
      </c>
    </row>
    <row r="2484" spans="1:28" x14ac:dyDescent="0.2">
      <c r="A2484">
        <v>3022</v>
      </c>
      <c r="B2484" s="1">
        <v>43383</v>
      </c>
      <c r="C2484" t="s">
        <v>28</v>
      </c>
      <c r="D2484" t="s">
        <v>69</v>
      </c>
      <c r="E2484" t="s">
        <v>30</v>
      </c>
      <c r="F2484" t="s">
        <v>55</v>
      </c>
      <c r="G2484" t="s">
        <v>32</v>
      </c>
      <c r="H2484" t="s">
        <v>55</v>
      </c>
      <c r="I2484" t="s">
        <v>34</v>
      </c>
      <c r="J2484" t="s">
        <v>89</v>
      </c>
      <c r="K2484" s="2">
        <v>27957</v>
      </c>
      <c r="L2484" t="s">
        <v>36</v>
      </c>
      <c r="M2484" t="s">
        <v>48</v>
      </c>
      <c r="N2484" t="s">
        <v>60</v>
      </c>
      <c r="O2484" t="s">
        <v>67</v>
      </c>
      <c r="P2484" t="s">
        <v>107</v>
      </c>
      <c r="Q2484">
        <v>1</v>
      </c>
      <c r="R2484" s="2">
        <v>44962</v>
      </c>
      <c r="S2484">
        <v>2</v>
      </c>
      <c r="T2484">
        <v>2</v>
      </c>
      <c r="U2484">
        <v>3</v>
      </c>
      <c r="V2484" s="1">
        <v>44910</v>
      </c>
      <c r="W2484" t="s">
        <v>92</v>
      </c>
      <c r="X2484" t="s">
        <v>51</v>
      </c>
      <c r="Y2484" t="s">
        <v>63</v>
      </c>
      <c r="Z2484">
        <v>3</v>
      </c>
      <c r="AA2484">
        <v>848.52</v>
      </c>
      <c r="AB2484">
        <v>42</v>
      </c>
    </row>
    <row r="2485" spans="1:28" x14ac:dyDescent="0.2">
      <c r="A2485">
        <v>3023</v>
      </c>
      <c r="B2485" s="1">
        <v>43480</v>
      </c>
      <c r="C2485" t="s">
        <v>106</v>
      </c>
      <c r="D2485" t="s">
        <v>64</v>
      </c>
      <c r="E2485" t="s">
        <v>108</v>
      </c>
      <c r="F2485" t="s">
        <v>31</v>
      </c>
      <c r="G2485" t="s">
        <v>56</v>
      </c>
      <c r="H2485" t="s">
        <v>46</v>
      </c>
      <c r="I2485" t="s">
        <v>34</v>
      </c>
      <c r="J2485" t="s">
        <v>65</v>
      </c>
      <c r="K2485" s="2">
        <v>21215</v>
      </c>
      <c r="L2485" t="s">
        <v>36</v>
      </c>
      <c r="M2485" t="s">
        <v>37</v>
      </c>
      <c r="N2485" t="s">
        <v>72</v>
      </c>
      <c r="O2485" t="s">
        <v>39</v>
      </c>
      <c r="P2485" t="s">
        <v>107</v>
      </c>
      <c r="Q2485">
        <v>2</v>
      </c>
      <c r="R2485" s="2">
        <v>44823</v>
      </c>
      <c r="S2485">
        <v>3</v>
      </c>
      <c r="T2485">
        <v>5</v>
      </c>
      <c r="U2485">
        <v>3</v>
      </c>
      <c r="V2485" s="1">
        <v>45050</v>
      </c>
      <c r="W2485" t="s">
        <v>62</v>
      </c>
      <c r="X2485" t="s">
        <v>42</v>
      </c>
      <c r="Y2485" t="s">
        <v>73</v>
      </c>
      <c r="Z2485">
        <v>5</v>
      </c>
      <c r="AA2485">
        <v>321.61</v>
      </c>
      <c r="AB2485">
        <v>61</v>
      </c>
    </row>
    <row r="2486" spans="1:28" x14ac:dyDescent="0.2">
      <c r="A2486">
        <v>3024</v>
      </c>
      <c r="B2486" s="1">
        <v>44556</v>
      </c>
      <c r="C2486" t="s">
        <v>106</v>
      </c>
      <c r="D2486" t="s">
        <v>69</v>
      </c>
      <c r="E2486" t="s">
        <v>30</v>
      </c>
      <c r="F2486" t="s">
        <v>31</v>
      </c>
      <c r="G2486" t="s">
        <v>45</v>
      </c>
      <c r="H2486" t="s">
        <v>55</v>
      </c>
      <c r="I2486" t="s">
        <v>34</v>
      </c>
      <c r="J2486" t="s">
        <v>96</v>
      </c>
      <c r="K2486" s="2">
        <v>22733</v>
      </c>
      <c r="L2486" t="s">
        <v>36</v>
      </c>
      <c r="M2486" t="s">
        <v>37</v>
      </c>
      <c r="N2486" t="s">
        <v>49</v>
      </c>
      <c r="O2486" t="s">
        <v>39</v>
      </c>
      <c r="P2486" t="s">
        <v>40</v>
      </c>
      <c r="Q2486">
        <v>2</v>
      </c>
      <c r="R2486" s="2">
        <v>44990</v>
      </c>
      <c r="S2486">
        <v>4</v>
      </c>
      <c r="T2486">
        <v>5</v>
      </c>
      <c r="U2486">
        <v>5</v>
      </c>
      <c r="V2486" s="1">
        <v>44916</v>
      </c>
      <c r="W2486" t="s">
        <v>68</v>
      </c>
      <c r="X2486" t="s">
        <v>51</v>
      </c>
      <c r="Y2486" t="s">
        <v>73</v>
      </c>
      <c r="Z2486">
        <v>4</v>
      </c>
      <c r="AA2486">
        <v>957.12</v>
      </c>
      <c r="AB2486">
        <v>59</v>
      </c>
    </row>
    <row r="2487" spans="1:28" x14ac:dyDescent="0.2">
      <c r="A2487">
        <v>3025</v>
      </c>
      <c r="B2487" s="1">
        <v>44704</v>
      </c>
      <c r="C2487" t="s">
        <v>106</v>
      </c>
      <c r="D2487" t="s">
        <v>29</v>
      </c>
      <c r="E2487" t="s">
        <v>30</v>
      </c>
      <c r="F2487" t="s">
        <v>31</v>
      </c>
      <c r="G2487" t="s">
        <v>32</v>
      </c>
      <c r="H2487" t="s">
        <v>33</v>
      </c>
      <c r="I2487" t="s">
        <v>34</v>
      </c>
      <c r="J2487" t="s">
        <v>96</v>
      </c>
      <c r="K2487" s="2">
        <v>36248</v>
      </c>
      <c r="L2487" t="s">
        <v>36</v>
      </c>
      <c r="M2487" t="s">
        <v>37</v>
      </c>
      <c r="N2487" t="s">
        <v>72</v>
      </c>
      <c r="O2487" t="s">
        <v>67</v>
      </c>
      <c r="P2487" t="s">
        <v>40</v>
      </c>
      <c r="Q2487">
        <v>1</v>
      </c>
      <c r="R2487" s="2">
        <v>44951</v>
      </c>
      <c r="S2487">
        <v>3</v>
      </c>
      <c r="T2487">
        <v>4</v>
      </c>
      <c r="U2487">
        <v>5</v>
      </c>
      <c r="V2487" s="1">
        <v>44800</v>
      </c>
      <c r="W2487" t="s">
        <v>92</v>
      </c>
      <c r="X2487" t="s">
        <v>51</v>
      </c>
      <c r="Y2487" t="s">
        <v>52</v>
      </c>
      <c r="Z2487">
        <v>3</v>
      </c>
      <c r="AA2487">
        <v>177.63</v>
      </c>
      <c r="AB2487">
        <v>23</v>
      </c>
    </row>
    <row r="2488" spans="1:28" x14ac:dyDescent="0.2">
      <c r="A2488">
        <v>3026</v>
      </c>
      <c r="B2488" s="1">
        <v>44796</v>
      </c>
      <c r="C2488" t="s">
        <v>106</v>
      </c>
      <c r="D2488" t="s">
        <v>44</v>
      </c>
      <c r="E2488" t="s">
        <v>30</v>
      </c>
      <c r="F2488" t="s">
        <v>31</v>
      </c>
      <c r="G2488" t="s">
        <v>32</v>
      </c>
      <c r="H2488" t="s">
        <v>46</v>
      </c>
      <c r="I2488" t="s">
        <v>34</v>
      </c>
      <c r="J2488" t="s">
        <v>96</v>
      </c>
      <c r="K2488" s="2">
        <v>15923</v>
      </c>
      <c r="L2488" t="s">
        <v>36</v>
      </c>
      <c r="M2488" t="s">
        <v>37</v>
      </c>
      <c r="N2488" t="s">
        <v>84</v>
      </c>
      <c r="O2488" t="s">
        <v>77</v>
      </c>
      <c r="P2488" t="s">
        <v>40</v>
      </c>
      <c r="Q2488">
        <v>2</v>
      </c>
      <c r="R2488" s="2">
        <v>44851</v>
      </c>
      <c r="S2488">
        <v>3</v>
      </c>
      <c r="T2488">
        <v>2</v>
      </c>
      <c r="U2488">
        <v>4</v>
      </c>
      <c r="V2488" s="1">
        <v>44867</v>
      </c>
      <c r="W2488" t="s">
        <v>50</v>
      </c>
      <c r="X2488" t="s">
        <v>51</v>
      </c>
      <c r="Y2488" t="s">
        <v>73</v>
      </c>
      <c r="Z2488">
        <v>3</v>
      </c>
      <c r="AA2488">
        <v>864.03</v>
      </c>
      <c r="AB2488">
        <v>79</v>
      </c>
    </row>
    <row r="2489" spans="1:28" x14ac:dyDescent="0.2">
      <c r="A2489">
        <v>3027</v>
      </c>
      <c r="B2489" s="1">
        <v>45073</v>
      </c>
      <c r="C2489" t="s">
        <v>106</v>
      </c>
      <c r="D2489" t="s">
        <v>87</v>
      </c>
      <c r="E2489" t="s">
        <v>30</v>
      </c>
      <c r="F2489" t="s">
        <v>46</v>
      </c>
      <c r="G2489" t="s">
        <v>45</v>
      </c>
      <c r="H2489" t="s">
        <v>55</v>
      </c>
      <c r="I2489" t="s">
        <v>34</v>
      </c>
      <c r="J2489" t="s">
        <v>75</v>
      </c>
      <c r="K2489" s="2">
        <v>15834</v>
      </c>
      <c r="L2489" t="s">
        <v>36</v>
      </c>
      <c r="M2489" t="s">
        <v>37</v>
      </c>
      <c r="N2489" t="s">
        <v>38</v>
      </c>
      <c r="O2489" t="s">
        <v>61</v>
      </c>
      <c r="P2489" t="s">
        <v>40</v>
      </c>
      <c r="Q2489">
        <v>5</v>
      </c>
      <c r="R2489" s="2">
        <v>44974</v>
      </c>
      <c r="S2489">
        <v>3</v>
      </c>
      <c r="T2489">
        <v>2</v>
      </c>
      <c r="U2489">
        <v>4</v>
      </c>
      <c r="V2489" s="1">
        <v>45112</v>
      </c>
      <c r="W2489" t="s">
        <v>92</v>
      </c>
      <c r="X2489" t="s">
        <v>51</v>
      </c>
      <c r="Y2489" t="s">
        <v>52</v>
      </c>
      <c r="Z2489">
        <v>4</v>
      </c>
      <c r="AA2489">
        <v>707.06</v>
      </c>
      <c r="AB2489">
        <v>80</v>
      </c>
    </row>
    <row r="2490" spans="1:28" x14ac:dyDescent="0.2">
      <c r="A2490">
        <v>3028</v>
      </c>
      <c r="B2490" s="1">
        <v>43322</v>
      </c>
      <c r="C2490" t="s">
        <v>106</v>
      </c>
      <c r="D2490" t="s">
        <v>81</v>
      </c>
      <c r="E2490" t="s">
        <v>108</v>
      </c>
      <c r="F2490" t="s">
        <v>31</v>
      </c>
      <c r="G2490" t="s">
        <v>56</v>
      </c>
      <c r="H2490" t="s">
        <v>33</v>
      </c>
      <c r="I2490" t="s">
        <v>34</v>
      </c>
      <c r="J2490" t="s">
        <v>79</v>
      </c>
      <c r="K2490" s="2">
        <v>36648</v>
      </c>
      <c r="L2490" t="s">
        <v>36</v>
      </c>
      <c r="M2490" t="s">
        <v>37</v>
      </c>
      <c r="N2490" t="s">
        <v>84</v>
      </c>
      <c r="O2490" t="s">
        <v>67</v>
      </c>
      <c r="P2490" t="s">
        <v>40</v>
      </c>
      <c r="Q2490">
        <v>2</v>
      </c>
      <c r="R2490" s="2">
        <v>45017</v>
      </c>
      <c r="S2490">
        <v>5</v>
      </c>
      <c r="T2490">
        <v>4</v>
      </c>
      <c r="U2490">
        <v>1</v>
      </c>
      <c r="V2490" s="1">
        <v>44854</v>
      </c>
      <c r="W2490" t="s">
        <v>92</v>
      </c>
      <c r="X2490" t="s">
        <v>42</v>
      </c>
      <c r="Y2490" t="s">
        <v>63</v>
      </c>
      <c r="Z2490">
        <v>4</v>
      </c>
      <c r="AA2490">
        <v>690.29</v>
      </c>
      <c r="AB2490">
        <v>18</v>
      </c>
    </row>
    <row r="2491" spans="1:28" x14ac:dyDescent="0.2">
      <c r="A2491">
        <v>3029</v>
      </c>
      <c r="B2491" s="1">
        <v>44493</v>
      </c>
      <c r="C2491" t="s">
        <v>106</v>
      </c>
      <c r="D2491" t="s">
        <v>54</v>
      </c>
      <c r="E2491" t="s">
        <v>30</v>
      </c>
      <c r="F2491" t="s">
        <v>31</v>
      </c>
      <c r="G2491" t="s">
        <v>32</v>
      </c>
      <c r="H2491" t="s">
        <v>55</v>
      </c>
      <c r="I2491" t="s">
        <v>34</v>
      </c>
      <c r="J2491" t="s">
        <v>35</v>
      </c>
      <c r="K2491" s="2">
        <v>21715</v>
      </c>
      <c r="L2491" t="s">
        <v>36</v>
      </c>
      <c r="M2491" t="s">
        <v>37</v>
      </c>
      <c r="N2491" t="s">
        <v>84</v>
      </c>
      <c r="O2491" t="s">
        <v>39</v>
      </c>
      <c r="P2491" t="s">
        <v>40</v>
      </c>
      <c r="Q2491">
        <v>4</v>
      </c>
      <c r="R2491" s="2">
        <v>44965</v>
      </c>
      <c r="S2491">
        <v>1</v>
      </c>
      <c r="T2491">
        <v>1</v>
      </c>
      <c r="U2491">
        <v>3</v>
      </c>
      <c r="V2491" s="1">
        <v>45110</v>
      </c>
      <c r="W2491" t="s">
        <v>62</v>
      </c>
      <c r="X2491" t="s">
        <v>51</v>
      </c>
      <c r="Y2491" t="s">
        <v>52</v>
      </c>
      <c r="Z2491">
        <v>1</v>
      </c>
      <c r="AA2491">
        <v>721.83</v>
      </c>
      <c r="AB2491">
        <v>62</v>
      </c>
    </row>
    <row r="2492" spans="1:28" x14ac:dyDescent="0.2">
      <c r="A2492">
        <v>3030</v>
      </c>
      <c r="B2492" s="1">
        <v>44747</v>
      </c>
      <c r="C2492" t="s">
        <v>106</v>
      </c>
      <c r="D2492" t="s">
        <v>94</v>
      </c>
      <c r="E2492" t="s">
        <v>30</v>
      </c>
      <c r="F2492" t="s">
        <v>55</v>
      </c>
      <c r="G2492" t="s">
        <v>32</v>
      </c>
      <c r="H2492" t="s">
        <v>46</v>
      </c>
      <c r="I2492" t="s">
        <v>34</v>
      </c>
      <c r="J2492" t="s">
        <v>101</v>
      </c>
      <c r="K2492" s="2">
        <v>19581</v>
      </c>
      <c r="L2492" t="s">
        <v>36</v>
      </c>
      <c r="M2492" t="s">
        <v>37</v>
      </c>
      <c r="N2492" t="s">
        <v>38</v>
      </c>
      <c r="O2492" t="s">
        <v>61</v>
      </c>
      <c r="P2492" t="s">
        <v>40</v>
      </c>
      <c r="Q2492">
        <v>1</v>
      </c>
      <c r="R2492" s="2">
        <v>44900</v>
      </c>
      <c r="S2492">
        <v>2</v>
      </c>
      <c r="T2492">
        <v>2</v>
      </c>
      <c r="U2492">
        <v>5</v>
      </c>
      <c r="V2492" s="1">
        <v>44919</v>
      </c>
      <c r="W2492" t="s">
        <v>68</v>
      </c>
      <c r="X2492" t="s">
        <v>42</v>
      </c>
      <c r="Y2492" t="s">
        <v>73</v>
      </c>
      <c r="Z2492">
        <v>2</v>
      </c>
      <c r="AA2492">
        <v>287.33999999999997</v>
      </c>
      <c r="AB2492">
        <v>69</v>
      </c>
    </row>
    <row r="2493" spans="1:28" x14ac:dyDescent="0.2">
      <c r="A2493">
        <v>3031</v>
      </c>
      <c r="B2493" s="1">
        <v>44583</v>
      </c>
      <c r="C2493" t="s">
        <v>28</v>
      </c>
      <c r="D2493" t="s">
        <v>85</v>
      </c>
      <c r="E2493" t="s">
        <v>30</v>
      </c>
      <c r="F2493" t="s">
        <v>31</v>
      </c>
      <c r="G2493" t="s">
        <v>56</v>
      </c>
      <c r="H2493" t="s">
        <v>33</v>
      </c>
      <c r="I2493" t="s">
        <v>34</v>
      </c>
      <c r="J2493" t="s">
        <v>96</v>
      </c>
      <c r="K2493" s="2">
        <v>22110</v>
      </c>
      <c r="L2493" t="s">
        <v>36</v>
      </c>
      <c r="M2493" t="s">
        <v>48</v>
      </c>
      <c r="N2493" t="s">
        <v>84</v>
      </c>
      <c r="O2493" t="s">
        <v>67</v>
      </c>
      <c r="P2493" t="s">
        <v>40</v>
      </c>
      <c r="Q2493">
        <v>1</v>
      </c>
      <c r="R2493" s="2">
        <v>44915</v>
      </c>
      <c r="S2493">
        <v>2</v>
      </c>
      <c r="T2493">
        <v>3</v>
      </c>
      <c r="U2493">
        <v>2</v>
      </c>
      <c r="V2493" s="1">
        <v>44926</v>
      </c>
      <c r="W2493" t="s">
        <v>68</v>
      </c>
      <c r="X2493" t="s">
        <v>51</v>
      </c>
      <c r="Y2493" t="s">
        <v>52</v>
      </c>
      <c r="Z2493">
        <v>2</v>
      </c>
      <c r="AA2493">
        <v>783.36</v>
      </c>
      <c r="AB2493">
        <v>62</v>
      </c>
    </row>
    <row r="2494" spans="1:28" x14ac:dyDescent="0.2">
      <c r="A2494">
        <v>3034</v>
      </c>
      <c r="B2494" s="1">
        <v>44485</v>
      </c>
      <c r="C2494" t="s">
        <v>28</v>
      </c>
      <c r="D2494" t="s">
        <v>64</v>
      </c>
      <c r="E2494" t="s">
        <v>30</v>
      </c>
      <c r="F2494" t="s">
        <v>55</v>
      </c>
      <c r="G2494" t="s">
        <v>56</v>
      </c>
      <c r="H2494" t="s">
        <v>33</v>
      </c>
      <c r="I2494" t="s">
        <v>34</v>
      </c>
      <c r="J2494" t="s">
        <v>70</v>
      </c>
      <c r="K2494" s="2">
        <v>24596</v>
      </c>
      <c r="L2494" t="s">
        <v>36</v>
      </c>
      <c r="M2494" t="s">
        <v>37</v>
      </c>
      <c r="N2494" t="s">
        <v>38</v>
      </c>
      <c r="O2494" t="s">
        <v>61</v>
      </c>
      <c r="P2494" t="s">
        <v>40</v>
      </c>
      <c r="Q2494">
        <v>2</v>
      </c>
      <c r="R2494" s="2">
        <v>44845</v>
      </c>
      <c r="S2494">
        <v>1</v>
      </c>
      <c r="T2494">
        <v>4</v>
      </c>
      <c r="U2494">
        <v>2</v>
      </c>
      <c r="V2494" s="1">
        <v>44890</v>
      </c>
      <c r="W2494" t="s">
        <v>41</v>
      </c>
      <c r="X2494" t="s">
        <v>42</v>
      </c>
      <c r="Y2494" t="s">
        <v>73</v>
      </c>
      <c r="Z2494">
        <v>2</v>
      </c>
      <c r="AA2494">
        <v>947.76</v>
      </c>
      <c r="AB2494">
        <v>54</v>
      </c>
    </row>
    <row r="2495" spans="1:28" x14ac:dyDescent="0.2">
      <c r="A2495">
        <v>3035</v>
      </c>
      <c r="B2495" s="1">
        <v>43630</v>
      </c>
      <c r="C2495" t="s">
        <v>28</v>
      </c>
      <c r="D2495" t="s">
        <v>94</v>
      </c>
      <c r="E2495" t="s">
        <v>30</v>
      </c>
      <c r="F2495" t="s">
        <v>31</v>
      </c>
      <c r="G2495" t="s">
        <v>32</v>
      </c>
      <c r="H2495" t="s">
        <v>33</v>
      </c>
      <c r="I2495" t="s">
        <v>34</v>
      </c>
      <c r="J2495" t="s">
        <v>79</v>
      </c>
      <c r="K2495" s="2">
        <v>18520</v>
      </c>
      <c r="L2495" t="s">
        <v>36</v>
      </c>
      <c r="M2495" t="s">
        <v>37</v>
      </c>
      <c r="N2495" t="s">
        <v>60</v>
      </c>
      <c r="O2495" t="s">
        <v>77</v>
      </c>
      <c r="P2495" t="s">
        <v>40</v>
      </c>
      <c r="Q2495">
        <v>1</v>
      </c>
      <c r="R2495" s="2">
        <v>45022</v>
      </c>
      <c r="S2495">
        <v>2</v>
      </c>
      <c r="T2495">
        <v>4</v>
      </c>
      <c r="U2495">
        <v>5</v>
      </c>
      <c r="V2495" s="1">
        <v>45055</v>
      </c>
      <c r="W2495" t="s">
        <v>50</v>
      </c>
      <c r="X2495" t="s">
        <v>42</v>
      </c>
      <c r="Y2495" t="s">
        <v>63</v>
      </c>
      <c r="Z2495">
        <v>1</v>
      </c>
      <c r="AA2495">
        <v>498.19</v>
      </c>
      <c r="AB2495">
        <v>69</v>
      </c>
    </row>
    <row r="2496" spans="1:28" x14ac:dyDescent="0.2">
      <c r="A2496">
        <v>3036</v>
      </c>
      <c r="B2496" s="1">
        <v>44017</v>
      </c>
      <c r="C2496" t="s">
        <v>28</v>
      </c>
      <c r="D2496" t="s">
        <v>74</v>
      </c>
      <c r="E2496" t="s">
        <v>30</v>
      </c>
      <c r="F2496" t="s">
        <v>55</v>
      </c>
      <c r="G2496" t="s">
        <v>56</v>
      </c>
      <c r="H2496" t="s">
        <v>33</v>
      </c>
      <c r="I2496" t="s">
        <v>34</v>
      </c>
      <c r="J2496" t="s">
        <v>110</v>
      </c>
      <c r="K2496" s="2">
        <v>20999</v>
      </c>
      <c r="L2496" t="s">
        <v>36</v>
      </c>
      <c r="M2496" t="s">
        <v>37</v>
      </c>
      <c r="N2496" t="s">
        <v>38</v>
      </c>
      <c r="O2496" t="s">
        <v>39</v>
      </c>
      <c r="P2496" t="s">
        <v>40</v>
      </c>
      <c r="Q2496">
        <v>2</v>
      </c>
      <c r="R2496" s="2">
        <v>44982</v>
      </c>
      <c r="S2496">
        <v>1</v>
      </c>
      <c r="T2496">
        <v>4</v>
      </c>
      <c r="U2496">
        <v>2</v>
      </c>
      <c r="V2496" s="1">
        <v>45096</v>
      </c>
      <c r="W2496" t="s">
        <v>68</v>
      </c>
      <c r="X2496" t="s">
        <v>42</v>
      </c>
      <c r="Y2496" t="s">
        <v>43</v>
      </c>
      <c r="Z2496">
        <v>3</v>
      </c>
      <c r="AA2496">
        <v>516.4</v>
      </c>
      <c r="AB2496">
        <v>63</v>
      </c>
    </row>
    <row r="2497" spans="1:28" x14ac:dyDescent="0.2">
      <c r="A2497">
        <v>3037</v>
      </c>
      <c r="B2497" s="1">
        <v>43892</v>
      </c>
      <c r="C2497" t="s">
        <v>28</v>
      </c>
      <c r="D2497" t="s">
        <v>81</v>
      </c>
      <c r="E2497" t="s">
        <v>30</v>
      </c>
      <c r="F2497" t="s">
        <v>55</v>
      </c>
      <c r="G2497" t="s">
        <v>32</v>
      </c>
      <c r="H2497" t="s">
        <v>55</v>
      </c>
      <c r="I2497" t="s">
        <v>34</v>
      </c>
      <c r="J2497" t="s">
        <v>70</v>
      </c>
      <c r="K2497" s="2">
        <v>32787</v>
      </c>
      <c r="L2497" t="s">
        <v>36</v>
      </c>
      <c r="M2497" t="s">
        <v>48</v>
      </c>
      <c r="N2497" t="s">
        <v>84</v>
      </c>
      <c r="O2497" t="s">
        <v>67</v>
      </c>
      <c r="P2497" t="s">
        <v>40</v>
      </c>
      <c r="Q2497">
        <v>4</v>
      </c>
      <c r="R2497" s="2">
        <v>44940</v>
      </c>
      <c r="S2497">
        <v>3</v>
      </c>
      <c r="T2497">
        <v>4</v>
      </c>
      <c r="U2497">
        <v>2</v>
      </c>
      <c r="V2497" s="1">
        <v>45047</v>
      </c>
      <c r="W2497" t="s">
        <v>41</v>
      </c>
      <c r="X2497" t="s">
        <v>42</v>
      </c>
      <c r="Y2497" t="s">
        <v>43</v>
      </c>
      <c r="Z2497">
        <v>5</v>
      </c>
      <c r="AA2497">
        <v>374.69</v>
      </c>
      <c r="AB2497">
        <v>31</v>
      </c>
    </row>
    <row r="2498" spans="1:28" x14ac:dyDescent="0.2">
      <c r="A2498">
        <v>3038</v>
      </c>
      <c r="B2498" s="1">
        <v>44146</v>
      </c>
      <c r="C2498" t="s">
        <v>28</v>
      </c>
      <c r="D2498" t="s">
        <v>54</v>
      </c>
      <c r="E2498" t="s">
        <v>30</v>
      </c>
      <c r="F2498" t="s">
        <v>46</v>
      </c>
      <c r="G2498" t="s">
        <v>56</v>
      </c>
      <c r="H2498" t="s">
        <v>33</v>
      </c>
      <c r="I2498" t="s">
        <v>34</v>
      </c>
      <c r="J2498" t="s">
        <v>70</v>
      </c>
      <c r="K2498" s="2">
        <v>20321</v>
      </c>
      <c r="L2498" t="s">
        <v>36</v>
      </c>
      <c r="M2498" t="s">
        <v>48</v>
      </c>
      <c r="N2498" t="s">
        <v>38</v>
      </c>
      <c r="O2498" t="s">
        <v>77</v>
      </c>
      <c r="P2498" t="s">
        <v>40</v>
      </c>
      <c r="Q2498">
        <v>2</v>
      </c>
      <c r="R2498" s="2">
        <v>44840</v>
      </c>
      <c r="S2498">
        <v>5</v>
      </c>
      <c r="T2498">
        <v>5</v>
      </c>
      <c r="U2498">
        <v>5</v>
      </c>
      <c r="V2498" s="1">
        <v>44790</v>
      </c>
      <c r="W2498" t="s">
        <v>50</v>
      </c>
      <c r="X2498" t="s">
        <v>42</v>
      </c>
      <c r="Y2498" t="s">
        <v>52</v>
      </c>
      <c r="Z2498">
        <v>5</v>
      </c>
      <c r="AA2498">
        <v>244.22</v>
      </c>
      <c r="AB2498">
        <v>65</v>
      </c>
    </row>
    <row r="2499" spans="1:28" x14ac:dyDescent="0.2">
      <c r="A2499">
        <v>3039</v>
      </c>
      <c r="B2499" s="1">
        <v>43821</v>
      </c>
      <c r="C2499" t="s">
        <v>28</v>
      </c>
      <c r="D2499" t="s">
        <v>69</v>
      </c>
      <c r="E2499" t="s">
        <v>30</v>
      </c>
      <c r="F2499" t="s">
        <v>31</v>
      </c>
      <c r="G2499" t="s">
        <v>56</v>
      </c>
      <c r="H2499" t="s">
        <v>33</v>
      </c>
      <c r="I2499" t="s">
        <v>34</v>
      </c>
      <c r="J2499" t="s">
        <v>96</v>
      </c>
      <c r="K2499" s="2">
        <v>24190</v>
      </c>
      <c r="L2499" t="s">
        <v>36</v>
      </c>
      <c r="M2499" t="s">
        <v>37</v>
      </c>
      <c r="N2499" t="s">
        <v>60</v>
      </c>
      <c r="O2499" t="s">
        <v>61</v>
      </c>
      <c r="P2499" t="s">
        <v>40</v>
      </c>
      <c r="Q2499">
        <v>5</v>
      </c>
      <c r="R2499" s="2">
        <v>45141</v>
      </c>
      <c r="S2499">
        <v>4</v>
      </c>
      <c r="T2499">
        <v>2</v>
      </c>
      <c r="U2499">
        <v>1</v>
      </c>
      <c r="V2499" s="1">
        <v>44931</v>
      </c>
      <c r="W2499" t="s">
        <v>41</v>
      </c>
      <c r="X2499" t="s">
        <v>42</v>
      </c>
      <c r="Y2499" t="s">
        <v>63</v>
      </c>
      <c r="Z2499">
        <v>2</v>
      </c>
      <c r="AA2499">
        <v>130.81</v>
      </c>
      <c r="AB2499">
        <v>53</v>
      </c>
    </row>
    <row r="2500" spans="1:28" x14ac:dyDescent="0.2">
      <c r="A2500">
        <v>3040</v>
      </c>
      <c r="B2500" s="1">
        <v>44179</v>
      </c>
      <c r="C2500" t="s">
        <v>28</v>
      </c>
      <c r="D2500" t="s">
        <v>29</v>
      </c>
      <c r="E2500" t="s">
        <v>30</v>
      </c>
      <c r="F2500" t="s">
        <v>55</v>
      </c>
      <c r="G2500" t="s">
        <v>45</v>
      </c>
      <c r="H2500" t="s">
        <v>55</v>
      </c>
      <c r="I2500" t="s">
        <v>34</v>
      </c>
      <c r="J2500" t="s">
        <v>70</v>
      </c>
      <c r="K2500" s="2">
        <v>30713</v>
      </c>
      <c r="L2500" t="s">
        <v>36</v>
      </c>
      <c r="M2500" t="s">
        <v>37</v>
      </c>
      <c r="N2500" t="s">
        <v>38</v>
      </c>
      <c r="O2500" t="s">
        <v>77</v>
      </c>
      <c r="P2500" t="s">
        <v>40</v>
      </c>
      <c r="Q2500">
        <v>5</v>
      </c>
      <c r="R2500" s="2">
        <v>44857</v>
      </c>
      <c r="S2500">
        <v>5</v>
      </c>
      <c r="T2500">
        <v>1</v>
      </c>
      <c r="U2500">
        <v>4</v>
      </c>
      <c r="V2500" s="1">
        <v>44925</v>
      </c>
      <c r="W2500" t="s">
        <v>68</v>
      </c>
      <c r="X2500" t="s">
        <v>42</v>
      </c>
      <c r="Y2500" t="s">
        <v>73</v>
      </c>
      <c r="Z2500">
        <v>5</v>
      </c>
      <c r="AA2500">
        <v>321.02999999999997</v>
      </c>
      <c r="AB2500">
        <v>36</v>
      </c>
    </row>
    <row r="2501" spans="1:28" x14ac:dyDescent="0.2">
      <c r="A2501">
        <v>3041</v>
      </c>
      <c r="B2501" s="1">
        <v>44002</v>
      </c>
      <c r="C2501" t="s">
        <v>28</v>
      </c>
      <c r="D2501" t="s">
        <v>85</v>
      </c>
      <c r="E2501" t="s">
        <v>30</v>
      </c>
      <c r="F2501" t="s">
        <v>31</v>
      </c>
      <c r="G2501" t="s">
        <v>32</v>
      </c>
      <c r="H2501" t="s">
        <v>55</v>
      </c>
      <c r="I2501" t="s">
        <v>34</v>
      </c>
      <c r="J2501" t="s">
        <v>65</v>
      </c>
      <c r="K2501" s="2">
        <v>36638</v>
      </c>
      <c r="L2501" t="s">
        <v>36</v>
      </c>
      <c r="M2501" t="s">
        <v>37</v>
      </c>
      <c r="N2501" t="s">
        <v>38</v>
      </c>
      <c r="O2501" t="s">
        <v>61</v>
      </c>
      <c r="P2501" t="s">
        <v>40</v>
      </c>
      <c r="Q2501">
        <v>2</v>
      </c>
      <c r="R2501" s="2">
        <v>45064</v>
      </c>
      <c r="S2501">
        <v>5</v>
      </c>
      <c r="T2501">
        <v>5</v>
      </c>
      <c r="U2501">
        <v>4</v>
      </c>
      <c r="V2501" s="1">
        <v>45135</v>
      </c>
      <c r="W2501" t="s">
        <v>62</v>
      </c>
      <c r="X2501" t="s">
        <v>42</v>
      </c>
      <c r="Y2501" t="s">
        <v>63</v>
      </c>
      <c r="Z2501">
        <v>4</v>
      </c>
      <c r="AA2501">
        <v>354.82</v>
      </c>
      <c r="AB2501">
        <v>20</v>
      </c>
    </row>
    <row r="2502" spans="1:28" x14ac:dyDescent="0.2">
      <c r="A2502">
        <v>3042</v>
      </c>
      <c r="B2502" s="1">
        <v>45086</v>
      </c>
      <c r="C2502" t="s">
        <v>28</v>
      </c>
      <c r="D2502" t="s">
        <v>44</v>
      </c>
      <c r="E2502" t="s">
        <v>30</v>
      </c>
      <c r="F2502" t="s">
        <v>31</v>
      </c>
      <c r="G2502" t="s">
        <v>56</v>
      </c>
      <c r="H2502" t="s">
        <v>33</v>
      </c>
      <c r="I2502" t="s">
        <v>34</v>
      </c>
      <c r="J2502" t="s">
        <v>97</v>
      </c>
      <c r="K2502" s="2">
        <v>22456</v>
      </c>
      <c r="L2502" t="s">
        <v>36</v>
      </c>
      <c r="M2502" t="s">
        <v>37</v>
      </c>
      <c r="N2502" t="s">
        <v>38</v>
      </c>
      <c r="O2502" t="s">
        <v>39</v>
      </c>
      <c r="P2502" t="s">
        <v>78</v>
      </c>
      <c r="Q2502">
        <v>4</v>
      </c>
      <c r="R2502" s="2">
        <v>44939</v>
      </c>
      <c r="S2502">
        <v>4</v>
      </c>
      <c r="T2502">
        <v>1</v>
      </c>
      <c r="U2502">
        <v>2</v>
      </c>
      <c r="V2502" s="1">
        <v>44960</v>
      </c>
      <c r="W2502" t="s">
        <v>68</v>
      </c>
      <c r="X2502" t="s">
        <v>42</v>
      </c>
      <c r="Y2502" t="s">
        <v>52</v>
      </c>
      <c r="Z2502">
        <v>2</v>
      </c>
      <c r="AA2502">
        <v>513.54</v>
      </c>
      <c r="AB2502">
        <v>62</v>
      </c>
    </row>
    <row r="2503" spans="1:28" x14ac:dyDescent="0.2">
      <c r="A2503">
        <v>3043</v>
      </c>
      <c r="B2503" s="1">
        <v>44829</v>
      </c>
      <c r="C2503" t="s">
        <v>28</v>
      </c>
      <c r="D2503" t="s">
        <v>87</v>
      </c>
      <c r="E2503" t="s">
        <v>30</v>
      </c>
      <c r="F2503" t="s">
        <v>31</v>
      </c>
      <c r="G2503" t="s">
        <v>32</v>
      </c>
      <c r="H2503" t="s">
        <v>55</v>
      </c>
      <c r="I2503" t="s">
        <v>34</v>
      </c>
      <c r="J2503" t="s">
        <v>102</v>
      </c>
      <c r="K2503" s="2">
        <v>23076</v>
      </c>
      <c r="L2503" t="s">
        <v>36</v>
      </c>
      <c r="M2503" t="s">
        <v>48</v>
      </c>
      <c r="N2503" t="s">
        <v>72</v>
      </c>
      <c r="O2503" t="s">
        <v>39</v>
      </c>
      <c r="P2503" t="s">
        <v>78</v>
      </c>
      <c r="Q2503">
        <v>2</v>
      </c>
      <c r="R2503" s="2">
        <v>45047</v>
      </c>
      <c r="S2503">
        <v>5</v>
      </c>
      <c r="T2503">
        <v>3</v>
      </c>
      <c r="U2503">
        <v>3</v>
      </c>
      <c r="V2503" s="1">
        <v>44978</v>
      </c>
      <c r="W2503" t="s">
        <v>50</v>
      </c>
      <c r="X2503" t="s">
        <v>51</v>
      </c>
      <c r="Y2503" t="s">
        <v>63</v>
      </c>
      <c r="Z2503">
        <v>5</v>
      </c>
      <c r="AA2503">
        <v>658.12</v>
      </c>
      <c r="AB2503">
        <v>59</v>
      </c>
    </row>
    <row r="2504" spans="1:28" x14ac:dyDescent="0.2">
      <c r="A2504">
        <v>3044</v>
      </c>
      <c r="B2504" s="1">
        <v>44069</v>
      </c>
      <c r="C2504" t="s">
        <v>28</v>
      </c>
      <c r="D2504" t="s">
        <v>64</v>
      </c>
      <c r="E2504" t="s">
        <v>30</v>
      </c>
      <c r="F2504" t="s">
        <v>31</v>
      </c>
      <c r="G2504" t="s">
        <v>56</v>
      </c>
      <c r="H2504" t="s">
        <v>46</v>
      </c>
      <c r="I2504" t="s">
        <v>34</v>
      </c>
      <c r="J2504" t="s">
        <v>65</v>
      </c>
      <c r="K2504" s="2">
        <v>24165</v>
      </c>
      <c r="L2504" t="s">
        <v>36</v>
      </c>
      <c r="M2504" t="s">
        <v>48</v>
      </c>
      <c r="N2504" t="s">
        <v>38</v>
      </c>
      <c r="O2504" t="s">
        <v>61</v>
      </c>
      <c r="P2504" t="s">
        <v>78</v>
      </c>
      <c r="Q2504">
        <v>2</v>
      </c>
      <c r="R2504" s="2">
        <v>45084</v>
      </c>
      <c r="S2504">
        <v>1</v>
      </c>
      <c r="T2504">
        <v>1</v>
      </c>
      <c r="U2504">
        <v>3</v>
      </c>
      <c r="V2504" s="1">
        <v>44915</v>
      </c>
      <c r="W2504" t="s">
        <v>41</v>
      </c>
      <c r="X2504" t="s">
        <v>42</v>
      </c>
      <c r="Y2504" t="s">
        <v>73</v>
      </c>
      <c r="Z2504">
        <v>2</v>
      </c>
      <c r="AA2504">
        <v>643.75</v>
      </c>
      <c r="AB2504">
        <v>54</v>
      </c>
    </row>
    <row r="2505" spans="1:28" x14ac:dyDescent="0.2">
      <c r="A2505">
        <v>3045</v>
      </c>
      <c r="B2505" s="1">
        <v>43705</v>
      </c>
      <c r="C2505" t="s">
        <v>28</v>
      </c>
      <c r="D2505" t="s">
        <v>94</v>
      </c>
      <c r="E2505" t="s">
        <v>30</v>
      </c>
      <c r="F2505" t="s">
        <v>55</v>
      </c>
      <c r="G2505" t="s">
        <v>32</v>
      </c>
      <c r="H2505" t="s">
        <v>33</v>
      </c>
      <c r="I2505" t="s">
        <v>34</v>
      </c>
      <c r="J2505" t="s">
        <v>75</v>
      </c>
      <c r="K2505" s="2">
        <v>24878</v>
      </c>
      <c r="L2505" t="s">
        <v>36</v>
      </c>
      <c r="M2505" t="s">
        <v>48</v>
      </c>
      <c r="N2505" t="s">
        <v>60</v>
      </c>
      <c r="O2505" t="s">
        <v>61</v>
      </c>
      <c r="P2505" t="s">
        <v>78</v>
      </c>
      <c r="Q2505">
        <v>2</v>
      </c>
      <c r="R2505" s="2">
        <v>44938</v>
      </c>
      <c r="S2505">
        <v>5</v>
      </c>
      <c r="T2505">
        <v>4</v>
      </c>
      <c r="U2505">
        <v>1</v>
      </c>
      <c r="V2505" s="1">
        <v>44988</v>
      </c>
      <c r="W2505" t="s">
        <v>92</v>
      </c>
      <c r="X2505" t="s">
        <v>51</v>
      </c>
      <c r="Y2505" t="s">
        <v>52</v>
      </c>
      <c r="Z2505">
        <v>2</v>
      </c>
      <c r="AA2505">
        <v>290.75</v>
      </c>
      <c r="AB2505">
        <v>51</v>
      </c>
    </row>
    <row r="2506" spans="1:28" x14ac:dyDescent="0.2">
      <c r="A2506">
        <v>3046</v>
      </c>
      <c r="B2506" s="1">
        <v>45079</v>
      </c>
      <c r="C2506" t="s">
        <v>106</v>
      </c>
      <c r="D2506" t="s">
        <v>64</v>
      </c>
      <c r="E2506" t="s">
        <v>108</v>
      </c>
      <c r="F2506" t="s">
        <v>46</v>
      </c>
      <c r="G2506" t="s">
        <v>45</v>
      </c>
      <c r="H2506" t="s">
        <v>55</v>
      </c>
      <c r="I2506" t="s">
        <v>34</v>
      </c>
      <c r="J2506" t="s">
        <v>101</v>
      </c>
      <c r="K2506" s="2">
        <v>30472</v>
      </c>
      <c r="L2506" t="s">
        <v>36</v>
      </c>
      <c r="M2506" t="s">
        <v>37</v>
      </c>
      <c r="N2506" t="s">
        <v>60</v>
      </c>
      <c r="O2506" t="s">
        <v>61</v>
      </c>
      <c r="P2506" t="s">
        <v>78</v>
      </c>
      <c r="Q2506">
        <v>4</v>
      </c>
      <c r="R2506" s="2">
        <v>44991</v>
      </c>
      <c r="S2506">
        <v>2</v>
      </c>
      <c r="T2506">
        <v>5</v>
      </c>
      <c r="U2506">
        <v>3</v>
      </c>
      <c r="V2506" s="1">
        <v>44940</v>
      </c>
      <c r="W2506" t="s">
        <v>92</v>
      </c>
      <c r="X2506" t="s">
        <v>42</v>
      </c>
      <c r="Y2506" t="s">
        <v>73</v>
      </c>
      <c r="Z2506">
        <v>2</v>
      </c>
      <c r="AA2506">
        <v>767.56</v>
      </c>
      <c r="AB2506">
        <v>40</v>
      </c>
    </row>
    <row r="2507" spans="1:28" x14ac:dyDescent="0.2">
      <c r="A2507">
        <v>3047</v>
      </c>
      <c r="B2507" s="1">
        <v>43355</v>
      </c>
      <c r="C2507" t="s">
        <v>106</v>
      </c>
      <c r="D2507" t="s">
        <v>94</v>
      </c>
      <c r="E2507" t="s">
        <v>30</v>
      </c>
      <c r="F2507" t="s">
        <v>55</v>
      </c>
      <c r="G2507" t="s">
        <v>32</v>
      </c>
      <c r="H2507" t="s">
        <v>55</v>
      </c>
      <c r="I2507" t="s">
        <v>34</v>
      </c>
      <c r="J2507" t="s">
        <v>79</v>
      </c>
      <c r="K2507" s="2">
        <v>24018</v>
      </c>
      <c r="L2507" t="s">
        <v>36</v>
      </c>
      <c r="M2507" t="s">
        <v>37</v>
      </c>
      <c r="N2507" t="s">
        <v>38</v>
      </c>
      <c r="O2507" t="s">
        <v>67</v>
      </c>
      <c r="P2507" t="s">
        <v>78</v>
      </c>
      <c r="Q2507">
        <v>5</v>
      </c>
      <c r="R2507" s="2">
        <v>44878</v>
      </c>
      <c r="S2507">
        <v>4</v>
      </c>
      <c r="T2507">
        <v>2</v>
      </c>
      <c r="U2507">
        <v>1</v>
      </c>
      <c r="V2507" s="1">
        <v>45090</v>
      </c>
      <c r="W2507" t="s">
        <v>50</v>
      </c>
      <c r="X2507" t="s">
        <v>51</v>
      </c>
      <c r="Y2507" t="s">
        <v>73</v>
      </c>
      <c r="Z2507">
        <v>1</v>
      </c>
      <c r="AA2507">
        <v>507.74</v>
      </c>
      <c r="AB2507">
        <v>53</v>
      </c>
    </row>
    <row r="2508" spans="1:28" x14ac:dyDescent="0.2">
      <c r="A2508">
        <v>3048</v>
      </c>
      <c r="B2508" s="1">
        <v>45122</v>
      </c>
      <c r="C2508" t="s">
        <v>106</v>
      </c>
      <c r="D2508" t="s">
        <v>74</v>
      </c>
      <c r="E2508" t="s">
        <v>30</v>
      </c>
      <c r="F2508" t="s">
        <v>31</v>
      </c>
      <c r="G2508" t="s">
        <v>56</v>
      </c>
      <c r="H2508" t="s">
        <v>46</v>
      </c>
      <c r="I2508" t="s">
        <v>34</v>
      </c>
      <c r="J2508" t="s">
        <v>134</v>
      </c>
      <c r="K2508" s="2">
        <v>28562</v>
      </c>
      <c r="L2508" t="s">
        <v>36</v>
      </c>
      <c r="M2508" t="s">
        <v>37</v>
      </c>
      <c r="N2508" t="s">
        <v>38</v>
      </c>
      <c r="O2508" t="s">
        <v>67</v>
      </c>
      <c r="P2508" t="s">
        <v>40</v>
      </c>
      <c r="Q2508">
        <v>2</v>
      </c>
      <c r="R2508" s="2">
        <v>44961</v>
      </c>
      <c r="S2508">
        <v>2</v>
      </c>
      <c r="T2508">
        <v>2</v>
      </c>
      <c r="U2508">
        <v>3</v>
      </c>
      <c r="V2508" s="1">
        <v>44934</v>
      </c>
      <c r="W2508" t="s">
        <v>50</v>
      </c>
      <c r="X2508" t="s">
        <v>42</v>
      </c>
      <c r="Y2508" t="s">
        <v>63</v>
      </c>
      <c r="Z2508">
        <v>2</v>
      </c>
      <c r="AA2508">
        <v>919.75</v>
      </c>
      <c r="AB2508">
        <v>45</v>
      </c>
    </row>
    <row r="2509" spans="1:28" x14ac:dyDescent="0.2">
      <c r="A2509">
        <v>3049</v>
      </c>
      <c r="B2509" s="1">
        <v>45109</v>
      </c>
      <c r="C2509" t="s">
        <v>106</v>
      </c>
      <c r="D2509" t="s">
        <v>81</v>
      </c>
      <c r="E2509" t="s">
        <v>30</v>
      </c>
      <c r="F2509" t="s">
        <v>46</v>
      </c>
      <c r="G2509" t="s">
        <v>45</v>
      </c>
      <c r="H2509" t="s">
        <v>33</v>
      </c>
      <c r="I2509" t="s">
        <v>34</v>
      </c>
      <c r="J2509" t="s">
        <v>65</v>
      </c>
      <c r="K2509" s="2">
        <v>17665</v>
      </c>
      <c r="L2509" t="s">
        <v>36</v>
      </c>
      <c r="M2509" t="s">
        <v>37</v>
      </c>
      <c r="N2509" t="s">
        <v>84</v>
      </c>
      <c r="O2509" t="s">
        <v>67</v>
      </c>
      <c r="P2509" t="s">
        <v>40</v>
      </c>
      <c r="Q2509">
        <v>4</v>
      </c>
      <c r="R2509" s="2">
        <v>44844</v>
      </c>
      <c r="S2509">
        <v>5</v>
      </c>
      <c r="T2509">
        <v>3</v>
      </c>
      <c r="U2509">
        <v>2</v>
      </c>
      <c r="V2509" s="1">
        <v>44946</v>
      </c>
      <c r="W2509" t="s">
        <v>62</v>
      </c>
      <c r="X2509" t="s">
        <v>51</v>
      </c>
      <c r="Y2509" t="s">
        <v>52</v>
      </c>
      <c r="Z2509">
        <v>4</v>
      </c>
      <c r="AA2509">
        <v>510.95</v>
      </c>
      <c r="AB2509">
        <v>75</v>
      </c>
    </row>
    <row r="2510" spans="1:28" x14ac:dyDescent="0.2">
      <c r="A2510">
        <v>3050</v>
      </c>
      <c r="B2510" s="1">
        <v>43871</v>
      </c>
      <c r="C2510" t="s">
        <v>106</v>
      </c>
      <c r="D2510" t="s">
        <v>54</v>
      </c>
      <c r="E2510" t="s">
        <v>30</v>
      </c>
      <c r="F2510" t="s">
        <v>31</v>
      </c>
      <c r="G2510" t="s">
        <v>32</v>
      </c>
      <c r="H2510" t="s">
        <v>55</v>
      </c>
      <c r="I2510" t="s">
        <v>34</v>
      </c>
      <c r="J2510" t="s">
        <v>89</v>
      </c>
      <c r="K2510" s="2">
        <v>25833</v>
      </c>
      <c r="L2510" t="s">
        <v>36</v>
      </c>
      <c r="M2510" t="s">
        <v>37</v>
      </c>
      <c r="N2510" t="s">
        <v>38</v>
      </c>
      <c r="O2510" t="s">
        <v>61</v>
      </c>
      <c r="P2510" t="s">
        <v>40</v>
      </c>
      <c r="Q2510">
        <v>4</v>
      </c>
      <c r="R2510" s="2">
        <v>44830</v>
      </c>
      <c r="S2510">
        <v>1</v>
      </c>
      <c r="T2510">
        <v>3</v>
      </c>
      <c r="U2510">
        <v>4</v>
      </c>
      <c r="V2510" s="1">
        <v>44871</v>
      </c>
      <c r="W2510" t="s">
        <v>62</v>
      </c>
      <c r="X2510" t="s">
        <v>51</v>
      </c>
      <c r="Y2510" t="s">
        <v>63</v>
      </c>
      <c r="Z2510">
        <v>2</v>
      </c>
      <c r="AA2510">
        <v>826.19</v>
      </c>
      <c r="AB2510">
        <v>50</v>
      </c>
    </row>
    <row r="2511" spans="1:28" x14ac:dyDescent="0.2">
      <c r="A2511">
        <v>3051</v>
      </c>
      <c r="B2511" s="1">
        <v>44435</v>
      </c>
      <c r="C2511" t="s">
        <v>106</v>
      </c>
      <c r="D2511" t="s">
        <v>69</v>
      </c>
      <c r="E2511" t="s">
        <v>108</v>
      </c>
      <c r="F2511" t="s">
        <v>31</v>
      </c>
      <c r="G2511" t="s">
        <v>56</v>
      </c>
      <c r="H2511" t="s">
        <v>33</v>
      </c>
      <c r="I2511" t="s">
        <v>34</v>
      </c>
      <c r="J2511" t="s">
        <v>111</v>
      </c>
      <c r="K2511" s="2">
        <v>26342</v>
      </c>
      <c r="L2511" t="s">
        <v>36</v>
      </c>
      <c r="M2511" t="s">
        <v>37</v>
      </c>
      <c r="N2511" t="s">
        <v>84</v>
      </c>
      <c r="O2511" t="s">
        <v>39</v>
      </c>
      <c r="P2511" t="s">
        <v>40</v>
      </c>
      <c r="Q2511">
        <v>5</v>
      </c>
      <c r="R2511" s="2">
        <v>44966</v>
      </c>
      <c r="S2511">
        <v>3</v>
      </c>
      <c r="T2511">
        <v>5</v>
      </c>
      <c r="U2511">
        <v>5</v>
      </c>
      <c r="V2511" s="1">
        <v>45048</v>
      </c>
      <c r="W2511" t="s">
        <v>41</v>
      </c>
      <c r="X2511" t="s">
        <v>51</v>
      </c>
      <c r="Y2511" t="s">
        <v>52</v>
      </c>
      <c r="Z2511">
        <v>1</v>
      </c>
      <c r="AA2511">
        <v>992.48</v>
      </c>
      <c r="AB2511">
        <v>49</v>
      </c>
    </row>
    <row r="2512" spans="1:28" x14ac:dyDescent="0.2">
      <c r="A2512">
        <v>3052</v>
      </c>
      <c r="B2512" s="1">
        <v>43855</v>
      </c>
      <c r="C2512" t="s">
        <v>106</v>
      </c>
      <c r="D2512" t="s">
        <v>29</v>
      </c>
      <c r="E2512" t="s">
        <v>30</v>
      </c>
      <c r="F2512" t="s">
        <v>55</v>
      </c>
      <c r="G2512" t="s">
        <v>45</v>
      </c>
      <c r="H2512" t="s">
        <v>55</v>
      </c>
      <c r="I2512" t="s">
        <v>34</v>
      </c>
      <c r="J2512" t="s">
        <v>58</v>
      </c>
      <c r="K2512" s="2">
        <v>17693</v>
      </c>
      <c r="L2512" t="s">
        <v>36</v>
      </c>
      <c r="M2512" t="s">
        <v>37</v>
      </c>
      <c r="N2512" t="s">
        <v>38</v>
      </c>
      <c r="O2512" t="s">
        <v>61</v>
      </c>
      <c r="P2512" t="s">
        <v>40</v>
      </c>
      <c r="Q2512">
        <v>5</v>
      </c>
      <c r="R2512" s="2">
        <v>45129</v>
      </c>
      <c r="S2512">
        <v>5</v>
      </c>
      <c r="T2512">
        <v>1</v>
      </c>
      <c r="U2512">
        <v>3</v>
      </c>
      <c r="V2512" s="1">
        <v>44835</v>
      </c>
      <c r="W2512" t="s">
        <v>68</v>
      </c>
      <c r="X2512" t="s">
        <v>51</v>
      </c>
      <c r="Y2512" t="s">
        <v>52</v>
      </c>
      <c r="Z2512">
        <v>3</v>
      </c>
      <c r="AA2512">
        <v>824.73</v>
      </c>
      <c r="AB2512">
        <v>72</v>
      </c>
    </row>
    <row r="2513" spans="1:28" x14ac:dyDescent="0.2">
      <c r="A2513">
        <v>3053</v>
      </c>
      <c r="B2513" s="1">
        <v>43916</v>
      </c>
      <c r="C2513" t="s">
        <v>106</v>
      </c>
      <c r="D2513" t="s">
        <v>85</v>
      </c>
      <c r="E2513" t="s">
        <v>30</v>
      </c>
      <c r="F2513" t="s">
        <v>46</v>
      </c>
      <c r="G2513" t="s">
        <v>45</v>
      </c>
      <c r="H2513" t="s">
        <v>55</v>
      </c>
      <c r="I2513" t="s">
        <v>34</v>
      </c>
      <c r="J2513" t="s">
        <v>65</v>
      </c>
      <c r="K2513" s="2">
        <v>21189</v>
      </c>
      <c r="L2513" t="s">
        <v>36</v>
      </c>
      <c r="M2513" t="s">
        <v>37</v>
      </c>
      <c r="N2513" t="s">
        <v>84</v>
      </c>
      <c r="O2513" t="s">
        <v>39</v>
      </c>
      <c r="P2513" t="s">
        <v>40</v>
      </c>
      <c r="Q2513">
        <v>2</v>
      </c>
      <c r="R2513" s="2">
        <v>44960</v>
      </c>
      <c r="S2513">
        <v>2</v>
      </c>
      <c r="T2513">
        <v>1</v>
      </c>
      <c r="U2513">
        <v>3</v>
      </c>
      <c r="V2513" s="1">
        <v>45111</v>
      </c>
      <c r="W2513" t="s">
        <v>92</v>
      </c>
      <c r="X2513" t="s">
        <v>51</v>
      </c>
      <c r="Y2513" t="s">
        <v>43</v>
      </c>
      <c r="Z2513">
        <v>2</v>
      </c>
      <c r="AA2513">
        <v>588.35</v>
      </c>
      <c r="AB2513">
        <v>62</v>
      </c>
    </row>
    <row r="2514" spans="1:28" x14ac:dyDescent="0.2">
      <c r="A2514">
        <v>3054</v>
      </c>
      <c r="B2514" s="1">
        <v>44127</v>
      </c>
      <c r="C2514" t="s">
        <v>28</v>
      </c>
      <c r="D2514" t="s">
        <v>85</v>
      </c>
      <c r="E2514" t="s">
        <v>30</v>
      </c>
      <c r="F2514" t="s">
        <v>31</v>
      </c>
      <c r="G2514" t="s">
        <v>32</v>
      </c>
      <c r="H2514" t="s">
        <v>55</v>
      </c>
      <c r="I2514" t="s">
        <v>34</v>
      </c>
      <c r="J2514" t="s">
        <v>70</v>
      </c>
      <c r="K2514" s="2">
        <v>18197</v>
      </c>
      <c r="L2514" t="s">
        <v>36</v>
      </c>
      <c r="M2514" t="s">
        <v>48</v>
      </c>
      <c r="N2514" t="s">
        <v>38</v>
      </c>
      <c r="O2514" t="s">
        <v>67</v>
      </c>
      <c r="P2514" t="s">
        <v>40</v>
      </c>
      <c r="Q2514">
        <v>1</v>
      </c>
      <c r="R2514" s="2">
        <v>44879</v>
      </c>
      <c r="S2514">
        <v>5</v>
      </c>
      <c r="T2514">
        <v>5</v>
      </c>
      <c r="U2514">
        <v>2</v>
      </c>
      <c r="V2514" s="1">
        <v>45084</v>
      </c>
      <c r="W2514" t="s">
        <v>41</v>
      </c>
      <c r="X2514" t="s">
        <v>51</v>
      </c>
      <c r="Y2514" t="s">
        <v>52</v>
      </c>
      <c r="Z2514">
        <v>5</v>
      </c>
      <c r="AA2514">
        <v>144.66</v>
      </c>
      <c r="AB2514">
        <v>71</v>
      </c>
    </row>
    <row r="2515" spans="1:28" x14ac:dyDescent="0.2">
      <c r="A2515">
        <v>3056</v>
      </c>
      <c r="B2515" s="1">
        <v>44733</v>
      </c>
      <c r="C2515" t="s">
        <v>28</v>
      </c>
      <c r="D2515" t="s">
        <v>87</v>
      </c>
      <c r="E2515" t="s">
        <v>30</v>
      </c>
      <c r="F2515" t="s">
        <v>46</v>
      </c>
      <c r="G2515" t="s">
        <v>45</v>
      </c>
      <c r="H2515" t="s">
        <v>33</v>
      </c>
      <c r="I2515" t="s">
        <v>34</v>
      </c>
      <c r="J2515" t="s">
        <v>103</v>
      </c>
      <c r="K2515" s="2">
        <v>16008</v>
      </c>
      <c r="L2515" t="s">
        <v>36</v>
      </c>
      <c r="M2515" t="s">
        <v>37</v>
      </c>
      <c r="N2515" t="s">
        <v>60</v>
      </c>
      <c r="O2515" t="s">
        <v>77</v>
      </c>
      <c r="P2515" t="s">
        <v>40</v>
      </c>
      <c r="Q2515">
        <v>5</v>
      </c>
      <c r="R2515" s="2">
        <v>45024</v>
      </c>
      <c r="S2515">
        <v>5</v>
      </c>
      <c r="T2515">
        <v>5</v>
      </c>
      <c r="U2515">
        <v>2</v>
      </c>
      <c r="V2515" s="1">
        <v>45097</v>
      </c>
      <c r="W2515" t="s">
        <v>92</v>
      </c>
      <c r="X2515" t="s">
        <v>51</v>
      </c>
      <c r="Y2515" t="s">
        <v>73</v>
      </c>
      <c r="Z2515">
        <v>1</v>
      </c>
      <c r="AA2515">
        <v>535.51</v>
      </c>
      <c r="AB2515">
        <v>79</v>
      </c>
    </row>
    <row r="2516" spans="1:28" x14ac:dyDescent="0.2">
      <c r="A2516">
        <v>3059</v>
      </c>
      <c r="B2516" s="1">
        <v>44283</v>
      </c>
      <c r="C2516" t="s">
        <v>28</v>
      </c>
      <c r="D2516" t="s">
        <v>74</v>
      </c>
      <c r="E2516" t="s">
        <v>30</v>
      </c>
      <c r="F2516" t="s">
        <v>46</v>
      </c>
      <c r="G2516" t="s">
        <v>45</v>
      </c>
      <c r="H2516" t="s">
        <v>33</v>
      </c>
      <c r="I2516" t="s">
        <v>34</v>
      </c>
      <c r="J2516" t="s">
        <v>96</v>
      </c>
      <c r="K2516" s="2">
        <v>26516</v>
      </c>
      <c r="L2516" t="s">
        <v>36</v>
      </c>
      <c r="M2516" t="s">
        <v>37</v>
      </c>
      <c r="N2516" t="s">
        <v>38</v>
      </c>
      <c r="O2516" t="s">
        <v>39</v>
      </c>
      <c r="P2516" t="s">
        <v>40</v>
      </c>
      <c r="Q2516">
        <v>1</v>
      </c>
      <c r="R2516" s="2">
        <v>45013</v>
      </c>
      <c r="S2516">
        <v>2</v>
      </c>
      <c r="T2516">
        <v>1</v>
      </c>
      <c r="U2516">
        <v>3</v>
      </c>
      <c r="V2516" s="1">
        <v>45117</v>
      </c>
      <c r="W2516" t="s">
        <v>92</v>
      </c>
      <c r="X2516" t="s">
        <v>51</v>
      </c>
      <c r="Y2516" t="s">
        <v>63</v>
      </c>
      <c r="Z2516">
        <v>1</v>
      </c>
      <c r="AA2516">
        <v>164.35</v>
      </c>
      <c r="AB2516">
        <v>49</v>
      </c>
    </row>
    <row r="2517" spans="1:28" x14ac:dyDescent="0.2">
      <c r="A2517">
        <v>3060</v>
      </c>
      <c r="B2517" s="1">
        <v>44072</v>
      </c>
      <c r="C2517" t="s">
        <v>28</v>
      </c>
      <c r="D2517" t="s">
        <v>81</v>
      </c>
      <c r="E2517" t="s">
        <v>30</v>
      </c>
      <c r="F2517" t="s">
        <v>46</v>
      </c>
      <c r="G2517" t="s">
        <v>45</v>
      </c>
      <c r="H2517" t="s">
        <v>46</v>
      </c>
      <c r="I2517" t="s">
        <v>34</v>
      </c>
      <c r="J2517" t="s">
        <v>105</v>
      </c>
      <c r="K2517" s="2">
        <v>18631</v>
      </c>
      <c r="L2517" t="s">
        <v>36</v>
      </c>
      <c r="M2517" t="s">
        <v>48</v>
      </c>
      <c r="N2517" t="s">
        <v>84</v>
      </c>
      <c r="O2517" t="s">
        <v>39</v>
      </c>
      <c r="P2517" t="s">
        <v>40</v>
      </c>
      <c r="Q2517">
        <v>2</v>
      </c>
      <c r="R2517" s="2">
        <v>44818</v>
      </c>
      <c r="S2517">
        <v>5</v>
      </c>
      <c r="T2517">
        <v>2</v>
      </c>
      <c r="U2517">
        <v>4</v>
      </c>
      <c r="V2517" s="1">
        <v>44803</v>
      </c>
      <c r="W2517" t="s">
        <v>50</v>
      </c>
      <c r="X2517" t="s">
        <v>42</v>
      </c>
      <c r="Y2517" t="s">
        <v>43</v>
      </c>
      <c r="Z2517">
        <v>3</v>
      </c>
      <c r="AA2517">
        <v>165.67</v>
      </c>
      <c r="AB2517">
        <v>69</v>
      </c>
    </row>
    <row r="2518" spans="1:28" x14ac:dyDescent="0.2">
      <c r="A2518">
        <v>3061</v>
      </c>
      <c r="B2518" s="1">
        <v>44929</v>
      </c>
      <c r="C2518" t="s">
        <v>28</v>
      </c>
      <c r="D2518" t="s">
        <v>54</v>
      </c>
      <c r="E2518" t="s">
        <v>30</v>
      </c>
      <c r="F2518" t="s">
        <v>46</v>
      </c>
      <c r="G2518" t="s">
        <v>32</v>
      </c>
      <c r="H2518" t="s">
        <v>55</v>
      </c>
      <c r="I2518" t="s">
        <v>34</v>
      </c>
      <c r="J2518" t="s">
        <v>101</v>
      </c>
      <c r="K2518" s="2">
        <v>20724</v>
      </c>
      <c r="L2518" t="s">
        <v>36</v>
      </c>
      <c r="M2518" t="s">
        <v>48</v>
      </c>
      <c r="N2518" t="s">
        <v>60</v>
      </c>
      <c r="O2518" t="s">
        <v>67</v>
      </c>
      <c r="P2518" t="s">
        <v>40</v>
      </c>
      <c r="Q2518">
        <v>4</v>
      </c>
      <c r="R2518" s="2">
        <v>45126</v>
      </c>
      <c r="S2518">
        <v>5</v>
      </c>
      <c r="T2518">
        <v>1</v>
      </c>
      <c r="U2518">
        <v>3</v>
      </c>
      <c r="V2518" s="1">
        <v>44814</v>
      </c>
      <c r="W2518" t="s">
        <v>68</v>
      </c>
      <c r="X2518" t="s">
        <v>51</v>
      </c>
      <c r="Y2518" t="s">
        <v>52</v>
      </c>
      <c r="Z2518">
        <v>5</v>
      </c>
      <c r="AA2518">
        <v>602.55999999999995</v>
      </c>
      <c r="AB2518">
        <v>67</v>
      </c>
    </row>
    <row r="2519" spans="1:28" x14ac:dyDescent="0.2">
      <c r="A2519">
        <v>3062</v>
      </c>
      <c r="B2519" s="1">
        <v>44893</v>
      </c>
      <c r="C2519" t="s">
        <v>28</v>
      </c>
      <c r="D2519" t="s">
        <v>69</v>
      </c>
      <c r="E2519" t="s">
        <v>30</v>
      </c>
      <c r="F2519" t="s">
        <v>46</v>
      </c>
      <c r="G2519" t="s">
        <v>45</v>
      </c>
      <c r="H2519" t="s">
        <v>33</v>
      </c>
      <c r="I2519" t="s">
        <v>34</v>
      </c>
      <c r="J2519" t="s">
        <v>65</v>
      </c>
      <c r="K2519" s="2">
        <v>32097</v>
      </c>
      <c r="L2519" t="s">
        <v>36</v>
      </c>
      <c r="M2519" t="s">
        <v>37</v>
      </c>
      <c r="N2519" t="s">
        <v>84</v>
      </c>
      <c r="O2519" t="s">
        <v>77</v>
      </c>
      <c r="P2519" t="s">
        <v>40</v>
      </c>
      <c r="Q2519">
        <v>1</v>
      </c>
      <c r="R2519" s="2">
        <v>45066</v>
      </c>
      <c r="S2519">
        <v>3</v>
      </c>
      <c r="T2519">
        <v>4</v>
      </c>
      <c r="U2519">
        <v>1</v>
      </c>
      <c r="V2519" s="1">
        <v>45133</v>
      </c>
      <c r="W2519" t="s">
        <v>41</v>
      </c>
      <c r="X2519" t="s">
        <v>42</v>
      </c>
      <c r="Y2519" t="s">
        <v>73</v>
      </c>
      <c r="Z2519">
        <v>1</v>
      </c>
      <c r="AA2519">
        <v>312.91000000000003</v>
      </c>
      <c r="AB2519">
        <v>35</v>
      </c>
    </row>
    <row r="2520" spans="1:28" x14ac:dyDescent="0.2">
      <c r="A2520">
        <v>3063</v>
      </c>
      <c r="B2520" s="1">
        <v>44552</v>
      </c>
      <c r="C2520" t="s">
        <v>28</v>
      </c>
      <c r="D2520" t="s">
        <v>29</v>
      </c>
      <c r="E2520" t="s">
        <v>30</v>
      </c>
      <c r="F2520" t="s">
        <v>31</v>
      </c>
      <c r="G2520" t="s">
        <v>56</v>
      </c>
      <c r="H2520" t="s">
        <v>46</v>
      </c>
      <c r="I2520" t="s">
        <v>34</v>
      </c>
      <c r="J2520" t="s">
        <v>70</v>
      </c>
      <c r="K2520" s="2">
        <v>30610</v>
      </c>
      <c r="L2520" t="s">
        <v>36</v>
      </c>
      <c r="M2520" t="s">
        <v>37</v>
      </c>
      <c r="N2520" t="s">
        <v>60</v>
      </c>
      <c r="O2520" t="s">
        <v>39</v>
      </c>
      <c r="P2520" t="s">
        <v>40</v>
      </c>
      <c r="Q2520">
        <v>5</v>
      </c>
      <c r="R2520" s="2">
        <v>44840</v>
      </c>
      <c r="S2520">
        <v>1</v>
      </c>
      <c r="T2520">
        <v>5</v>
      </c>
      <c r="U2520">
        <v>1</v>
      </c>
      <c r="V2520" s="1">
        <v>44832</v>
      </c>
      <c r="W2520" t="s">
        <v>62</v>
      </c>
      <c r="X2520" t="s">
        <v>51</v>
      </c>
      <c r="Y2520" t="s">
        <v>43</v>
      </c>
      <c r="Z2520">
        <v>3</v>
      </c>
      <c r="AA2520">
        <v>767.52</v>
      </c>
      <c r="AB2520">
        <v>38</v>
      </c>
    </row>
    <row r="2521" spans="1:28" x14ac:dyDescent="0.2">
      <c r="A2521">
        <v>3064</v>
      </c>
      <c r="B2521" s="1">
        <v>45115</v>
      </c>
      <c r="C2521" t="s">
        <v>28</v>
      </c>
      <c r="D2521" t="s">
        <v>85</v>
      </c>
      <c r="E2521" t="s">
        <v>30</v>
      </c>
      <c r="F2521" t="s">
        <v>31</v>
      </c>
      <c r="G2521" t="s">
        <v>45</v>
      </c>
      <c r="H2521" t="s">
        <v>55</v>
      </c>
      <c r="I2521" t="s">
        <v>34</v>
      </c>
      <c r="J2521" t="s">
        <v>70</v>
      </c>
      <c r="K2521" s="2">
        <v>22881</v>
      </c>
      <c r="L2521" t="s">
        <v>36</v>
      </c>
      <c r="M2521" t="s">
        <v>37</v>
      </c>
      <c r="N2521" t="s">
        <v>60</v>
      </c>
      <c r="O2521" t="s">
        <v>77</v>
      </c>
      <c r="P2521" t="s">
        <v>40</v>
      </c>
      <c r="Q2521">
        <v>4</v>
      </c>
      <c r="R2521" s="2">
        <v>44897</v>
      </c>
      <c r="S2521">
        <v>2</v>
      </c>
      <c r="T2521">
        <v>2</v>
      </c>
      <c r="U2521">
        <v>5</v>
      </c>
      <c r="V2521" s="1">
        <v>45138</v>
      </c>
      <c r="W2521" t="s">
        <v>62</v>
      </c>
      <c r="X2521" t="s">
        <v>42</v>
      </c>
      <c r="Y2521" t="s">
        <v>52</v>
      </c>
      <c r="Z2521">
        <v>5</v>
      </c>
      <c r="AA2521">
        <v>166.35</v>
      </c>
      <c r="AB2521">
        <v>61</v>
      </c>
    </row>
    <row r="2522" spans="1:28" x14ac:dyDescent="0.2">
      <c r="A2522">
        <v>3065</v>
      </c>
      <c r="B2522" s="1">
        <v>44307</v>
      </c>
      <c r="C2522" t="s">
        <v>28</v>
      </c>
      <c r="D2522" t="s">
        <v>44</v>
      </c>
      <c r="E2522" t="s">
        <v>30</v>
      </c>
      <c r="F2522" t="s">
        <v>46</v>
      </c>
      <c r="G2522" t="s">
        <v>45</v>
      </c>
      <c r="H2522" t="s">
        <v>33</v>
      </c>
      <c r="I2522" t="s">
        <v>34</v>
      </c>
      <c r="J2522" t="s">
        <v>70</v>
      </c>
      <c r="K2522" s="2">
        <v>28040</v>
      </c>
      <c r="L2522" t="s">
        <v>36</v>
      </c>
      <c r="M2522" t="s">
        <v>37</v>
      </c>
      <c r="N2522" t="s">
        <v>72</v>
      </c>
      <c r="O2522" t="s">
        <v>77</v>
      </c>
      <c r="P2522" t="s">
        <v>40</v>
      </c>
      <c r="Q2522">
        <v>4</v>
      </c>
      <c r="R2522" s="2">
        <v>44896</v>
      </c>
      <c r="S2522">
        <v>3</v>
      </c>
      <c r="T2522">
        <v>1</v>
      </c>
      <c r="U2522">
        <v>2</v>
      </c>
      <c r="V2522" s="1">
        <v>45088</v>
      </c>
      <c r="W2522" t="s">
        <v>62</v>
      </c>
      <c r="X2522" t="s">
        <v>42</v>
      </c>
      <c r="Y2522" t="s">
        <v>52</v>
      </c>
      <c r="Z2522">
        <v>1</v>
      </c>
      <c r="AA2522">
        <v>997.24</v>
      </c>
      <c r="AB2522">
        <v>45</v>
      </c>
    </row>
    <row r="2523" spans="1:28" x14ac:dyDescent="0.2">
      <c r="A2523">
        <v>3066</v>
      </c>
      <c r="B2523" s="1">
        <v>44770</v>
      </c>
      <c r="C2523" t="s">
        <v>28</v>
      </c>
      <c r="D2523" t="s">
        <v>87</v>
      </c>
      <c r="E2523" t="s">
        <v>30</v>
      </c>
      <c r="F2523" t="s">
        <v>55</v>
      </c>
      <c r="G2523" t="s">
        <v>56</v>
      </c>
      <c r="H2523" t="s">
        <v>55</v>
      </c>
      <c r="I2523" t="s">
        <v>34</v>
      </c>
      <c r="J2523" t="s">
        <v>70</v>
      </c>
      <c r="K2523" s="2">
        <v>24574</v>
      </c>
      <c r="L2523" t="s">
        <v>36</v>
      </c>
      <c r="M2523" t="s">
        <v>48</v>
      </c>
      <c r="N2523" t="s">
        <v>49</v>
      </c>
      <c r="O2523" t="s">
        <v>77</v>
      </c>
      <c r="P2523" t="s">
        <v>40</v>
      </c>
      <c r="Q2523">
        <v>1</v>
      </c>
      <c r="R2523" s="2">
        <v>44899</v>
      </c>
      <c r="S2523">
        <v>5</v>
      </c>
      <c r="T2523">
        <v>4</v>
      </c>
      <c r="U2523">
        <v>1</v>
      </c>
      <c r="V2523" s="1">
        <v>44852</v>
      </c>
      <c r="W2523" t="s">
        <v>92</v>
      </c>
      <c r="X2523" t="s">
        <v>51</v>
      </c>
      <c r="Y2523" t="s">
        <v>43</v>
      </c>
      <c r="Z2523">
        <v>3</v>
      </c>
      <c r="AA2523">
        <v>258.73</v>
      </c>
      <c r="AB2523">
        <v>55</v>
      </c>
    </row>
    <row r="2524" spans="1:28" x14ac:dyDescent="0.2">
      <c r="A2524">
        <v>3067</v>
      </c>
      <c r="B2524" s="1">
        <v>43774</v>
      </c>
      <c r="C2524" t="s">
        <v>28</v>
      </c>
      <c r="D2524" t="s">
        <v>64</v>
      </c>
      <c r="E2524" t="s">
        <v>30</v>
      </c>
      <c r="F2524" t="s">
        <v>46</v>
      </c>
      <c r="G2524" t="s">
        <v>56</v>
      </c>
      <c r="H2524" t="s">
        <v>46</v>
      </c>
      <c r="I2524" t="s">
        <v>34</v>
      </c>
      <c r="J2524" t="s">
        <v>70</v>
      </c>
      <c r="K2524" s="2">
        <v>30031</v>
      </c>
      <c r="L2524" t="s">
        <v>36</v>
      </c>
      <c r="M2524" t="s">
        <v>48</v>
      </c>
      <c r="N2524" t="s">
        <v>49</v>
      </c>
      <c r="O2524" t="s">
        <v>61</v>
      </c>
      <c r="P2524" t="s">
        <v>40</v>
      </c>
      <c r="Q2524">
        <v>4</v>
      </c>
      <c r="R2524" s="2">
        <v>44921</v>
      </c>
      <c r="S2524">
        <v>3</v>
      </c>
      <c r="T2524">
        <v>1</v>
      </c>
      <c r="U2524">
        <v>2</v>
      </c>
      <c r="V2524" s="1">
        <v>44805</v>
      </c>
      <c r="W2524" t="s">
        <v>92</v>
      </c>
      <c r="X2524" t="s">
        <v>51</v>
      </c>
      <c r="Y2524" t="s">
        <v>63</v>
      </c>
      <c r="Z2524">
        <v>1</v>
      </c>
      <c r="AA2524">
        <v>483.26</v>
      </c>
      <c r="AB2524">
        <v>37</v>
      </c>
    </row>
    <row r="2525" spans="1:28" x14ac:dyDescent="0.2">
      <c r="A2525">
        <v>3068</v>
      </c>
      <c r="B2525" s="1">
        <v>44703</v>
      </c>
      <c r="C2525" t="s">
        <v>28</v>
      </c>
      <c r="D2525" t="s">
        <v>94</v>
      </c>
      <c r="E2525" t="s">
        <v>108</v>
      </c>
      <c r="F2525" t="s">
        <v>55</v>
      </c>
      <c r="G2525" t="s">
        <v>45</v>
      </c>
      <c r="H2525" t="s">
        <v>33</v>
      </c>
      <c r="I2525" t="s">
        <v>34</v>
      </c>
      <c r="J2525" t="s">
        <v>35</v>
      </c>
      <c r="K2525" s="2">
        <v>17289</v>
      </c>
      <c r="L2525" t="s">
        <v>36</v>
      </c>
      <c r="M2525" t="s">
        <v>48</v>
      </c>
      <c r="N2525" t="s">
        <v>84</v>
      </c>
      <c r="O2525" t="s">
        <v>61</v>
      </c>
      <c r="P2525" t="s">
        <v>40</v>
      </c>
      <c r="Q2525">
        <v>5</v>
      </c>
      <c r="R2525" s="2">
        <v>45058</v>
      </c>
      <c r="S2525">
        <v>3</v>
      </c>
      <c r="T2525">
        <v>2</v>
      </c>
      <c r="U2525">
        <v>1</v>
      </c>
      <c r="V2525" s="1">
        <v>44883</v>
      </c>
      <c r="W2525" t="s">
        <v>50</v>
      </c>
      <c r="X2525" t="s">
        <v>51</v>
      </c>
      <c r="Y2525" t="s">
        <v>63</v>
      </c>
      <c r="Z2525">
        <v>3</v>
      </c>
      <c r="AA2525">
        <v>261.81</v>
      </c>
      <c r="AB2525">
        <v>75</v>
      </c>
    </row>
    <row r="2526" spans="1:28" x14ac:dyDescent="0.2">
      <c r="A2526">
        <v>3069</v>
      </c>
      <c r="B2526" s="1">
        <v>43757</v>
      </c>
      <c r="C2526" t="s">
        <v>106</v>
      </c>
      <c r="D2526" t="s">
        <v>74</v>
      </c>
      <c r="E2526" t="s">
        <v>30</v>
      </c>
      <c r="F2526" t="s">
        <v>55</v>
      </c>
      <c r="G2526" t="s">
        <v>45</v>
      </c>
      <c r="H2526" t="s">
        <v>33</v>
      </c>
      <c r="I2526" t="s">
        <v>34</v>
      </c>
      <c r="J2526" t="s">
        <v>65</v>
      </c>
      <c r="K2526" s="2">
        <v>36205</v>
      </c>
      <c r="L2526" t="s">
        <v>36</v>
      </c>
      <c r="M2526" t="s">
        <v>37</v>
      </c>
      <c r="N2526" t="s">
        <v>38</v>
      </c>
      <c r="O2526" t="s">
        <v>67</v>
      </c>
      <c r="P2526" t="s">
        <v>40</v>
      </c>
      <c r="Q2526">
        <v>4</v>
      </c>
      <c r="R2526" s="2">
        <v>45060</v>
      </c>
      <c r="S2526">
        <v>1</v>
      </c>
      <c r="T2526">
        <v>2</v>
      </c>
      <c r="U2526">
        <v>3</v>
      </c>
      <c r="V2526" s="1">
        <v>45056</v>
      </c>
      <c r="W2526" t="s">
        <v>68</v>
      </c>
      <c r="X2526" t="s">
        <v>51</v>
      </c>
      <c r="Y2526" t="s">
        <v>52</v>
      </c>
      <c r="Z2526">
        <v>1</v>
      </c>
      <c r="AA2526">
        <v>767.33</v>
      </c>
      <c r="AB2526">
        <v>20</v>
      </c>
    </row>
    <row r="2527" spans="1:28" x14ac:dyDescent="0.2">
      <c r="A2527">
        <v>3070</v>
      </c>
      <c r="B2527" s="1">
        <v>43824</v>
      </c>
      <c r="C2527" t="s">
        <v>106</v>
      </c>
      <c r="D2527" t="s">
        <v>69</v>
      </c>
      <c r="E2527" t="s">
        <v>30</v>
      </c>
      <c r="F2527" t="s">
        <v>55</v>
      </c>
      <c r="G2527" t="s">
        <v>32</v>
      </c>
      <c r="H2527" t="s">
        <v>33</v>
      </c>
      <c r="I2527" t="s">
        <v>34</v>
      </c>
      <c r="J2527" t="s">
        <v>101</v>
      </c>
      <c r="K2527" s="2">
        <v>26424</v>
      </c>
      <c r="L2527" t="s">
        <v>36</v>
      </c>
      <c r="M2527" t="s">
        <v>37</v>
      </c>
      <c r="N2527" t="s">
        <v>38</v>
      </c>
      <c r="O2527" t="s">
        <v>77</v>
      </c>
      <c r="P2527" t="s">
        <v>40</v>
      </c>
      <c r="Q2527">
        <v>1</v>
      </c>
      <c r="R2527" s="2">
        <v>45031</v>
      </c>
      <c r="S2527">
        <v>1</v>
      </c>
      <c r="T2527">
        <v>5</v>
      </c>
      <c r="U2527">
        <v>4</v>
      </c>
      <c r="V2527" s="1">
        <v>44900</v>
      </c>
      <c r="W2527" t="s">
        <v>92</v>
      </c>
      <c r="X2527" t="s">
        <v>51</v>
      </c>
      <c r="Y2527" t="s">
        <v>43</v>
      </c>
      <c r="Z2527">
        <v>5</v>
      </c>
      <c r="AA2527">
        <v>848.76</v>
      </c>
      <c r="AB2527">
        <v>47</v>
      </c>
    </row>
    <row r="2528" spans="1:28" x14ac:dyDescent="0.2">
      <c r="A2528">
        <v>3071</v>
      </c>
      <c r="B2528" s="1">
        <v>44869</v>
      </c>
      <c r="C2528" t="s">
        <v>106</v>
      </c>
      <c r="D2528" t="s">
        <v>29</v>
      </c>
      <c r="E2528" t="s">
        <v>30</v>
      </c>
      <c r="F2528" t="s">
        <v>55</v>
      </c>
      <c r="G2528" t="s">
        <v>56</v>
      </c>
      <c r="H2528" t="s">
        <v>46</v>
      </c>
      <c r="I2528" t="s">
        <v>34</v>
      </c>
      <c r="J2528" t="s">
        <v>65</v>
      </c>
      <c r="K2528" s="2">
        <v>20480</v>
      </c>
      <c r="L2528" t="s">
        <v>36</v>
      </c>
      <c r="M2528" t="s">
        <v>37</v>
      </c>
      <c r="N2528" t="s">
        <v>72</v>
      </c>
      <c r="O2528" t="s">
        <v>67</v>
      </c>
      <c r="P2528" t="s">
        <v>40</v>
      </c>
      <c r="Q2528">
        <v>2</v>
      </c>
      <c r="R2528" s="2">
        <v>44823</v>
      </c>
      <c r="S2528">
        <v>1</v>
      </c>
      <c r="T2528">
        <v>4</v>
      </c>
      <c r="U2528">
        <v>2</v>
      </c>
      <c r="V2528" s="1">
        <v>45076</v>
      </c>
      <c r="W2528" t="s">
        <v>62</v>
      </c>
      <c r="X2528" t="s">
        <v>51</v>
      </c>
      <c r="Y2528" t="s">
        <v>52</v>
      </c>
      <c r="Z2528">
        <v>4</v>
      </c>
      <c r="AA2528">
        <v>647.01</v>
      </c>
      <c r="AB2528">
        <v>66</v>
      </c>
    </row>
    <row r="2529" spans="1:28" x14ac:dyDescent="0.2">
      <c r="A2529">
        <v>3072</v>
      </c>
      <c r="B2529" s="1">
        <v>45042</v>
      </c>
      <c r="C2529" t="s">
        <v>106</v>
      </c>
      <c r="D2529" t="s">
        <v>44</v>
      </c>
      <c r="E2529" t="s">
        <v>30</v>
      </c>
      <c r="F2529" t="s">
        <v>55</v>
      </c>
      <c r="G2529" t="s">
        <v>56</v>
      </c>
      <c r="H2529" t="s">
        <v>46</v>
      </c>
      <c r="I2529" t="s">
        <v>34</v>
      </c>
      <c r="J2529" t="s">
        <v>103</v>
      </c>
      <c r="K2529" s="2">
        <v>31458</v>
      </c>
      <c r="L2529" t="s">
        <v>36</v>
      </c>
      <c r="M2529" t="s">
        <v>37</v>
      </c>
      <c r="N2529" t="s">
        <v>84</v>
      </c>
      <c r="O2529" t="s">
        <v>77</v>
      </c>
      <c r="P2529" t="s">
        <v>40</v>
      </c>
      <c r="Q2529">
        <v>1</v>
      </c>
      <c r="R2529" s="2">
        <v>44866</v>
      </c>
      <c r="S2529">
        <v>2</v>
      </c>
      <c r="T2529">
        <v>4</v>
      </c>
      <c r="U2529">
        <v>1</v>
      </c>
      <c r="V2529" s="1">
        <v>44945</v>
      </c>
      <c r="W2529" t="s">
        <v>62</v>
      </c>
      <c r="X2529" t="s">
        <v>42</v>
      </c>
      <c r="Y2529" t="s">
        <v>43</v>
      </c>
      <c r="Z2529">
        <v>1</v>
      </c>
      <c r="AA2529">
        <v>230.6</v>
      </c>
      <c r="AB2529">
        <v>37</v>
      </c>
    </row>
    <row r="2530" spans="1:28" x14ac:dyDescent="0.2">
      <c r="A2530">
        <v>3073</v>
      </c>
      <c r="B2530" s="1">
        <v>44860</v>
      </c>
      <c r="C2530" t="s">
        <v>106</v>
      </c>
      <c r="D2530" t="s">
        <v>87</v>
      </c>
      <c r="E2530" t="s">
        <v>108</v>
      </c>
      <c r="F2530" t="s">
        <v>31</v>
      </c>
      <c r="G2530" t="s">
        <v>45</v>
      </c>
      <c r="H2530" t="s">
        <v>46</v>
      </c>
      <c r="I2530" t="s">
        <v>34</v>
      </c>
      <c r="J2530" t="s">
        <v>65</v>
      </c>
      <c r="K2530" s="2">
        <v>31893</v>
      </c>
      <c r="L2530" t="s">
        <v>36</v>
      </c>
      <c r="M2530" t="s">
        <v>37</v>
      </c>
      <c r="N2530" t="s">
        <v>72</v>
      </c>
      <c r="O2530" t="s">
        <v>61</v>
      </c>
      <c r="P2530" t="s">
        <v>40</v>
      </c>
      <c r="Q2530">
        <v>4</v>
      </c>
      <c r="R2530" s="2">
        <v>44929</v>
      </c>
      <c r="S2530">
        <v>2</v>
      </c>
      <c r="T2530">
        <v>3</v>
      </c>
      <c r="U2530">
        <v>5</v>
      </c>
      <c r="V2530" s="1">
        <v>44954</v>
      </c>
      <c r="W2530" t="s">
        <v>50</v>
      </c>
      <c r="X2530" t="s">
        <v>42</v>
      </c>
      <c r="Y2530" t="s">
        <v>63</v>
      </c>
      <c r="Z2530">
        <v>1</v>
      </c>
      <c r="AA2530">
        <v>681.4</v>
      </c>
      <c r="AB2530">
        <v>35</v>
      </c>
    </row>
    <row r="2531" spans="1:28" x14ac:dyDescent="0.2">
      <c r="A2531">
        <v>3074</v>
      </c>
      <c r="B2531" s="1">
        <v>44026</v>
      </c>
      <c r="C2531" t="s">
        <v>106</v>
      </c>
      <c r="D2531" t="s">
        <v>81</v>
      </c>
      <c r="E2531" t="s">
        <v>108</v>
      </c>
      <c r="F2531" t="s">
        <v>31</v>
      </c>
      <c r="G2531" t="s">
        <v>45</v>
      </c>
      <c r="H2531" t="s">
        <v>55</v>
      </c>
      <c r="I2531" t="s">
        <v>34</v>
      </c>
      <c r="J2531" t="s">
        <v>89</v>
      </c>
      <c r="K2531" s="2">
        <v>23288</v>
      </c>
      <c r="L2531" t="s">
        <v>36</v>
      </c>
      <c r="M2531" t="s">
        <v>37</v>
      </c>
      <c r="N2531" t="s">
        <v>49</v>
      </c>
      <c r="O2531" t="s">
        <v>61</v>
      </c>
      <c r="P2531" t="s">
        <v>40</v>
      </c>
      <c r="Q2531">
        <v>1</v>
      </c>
      <c r="R2531" s="2">
        <v>44857</v>
      </c>
      <c r="S2531">
        <v>1</v>
      </c>
      <c r="T2531">
        <v>3</v>
      </c>
      <c r="U2531">
        <v>2</v>
      </c>
      <c r="V2531" s="1">
        <v>45110</v>
      </c>
      <c r="W2531" t="s">
        <v>41</v>
      </c>
      <c r="X2531" t="s">
        <v>42</v>
      </c>
      <c r="Y2531" t="s">
        <v>73</v>
      </c>
      <c r="Z2531">
        <v>1</v>
      </c>
      <c r="AA2531">
        <v>356.98</v>
      </c>
      <c r="AB2531">
        <v>57</v>
      </c>
    </row>
    <row r="2532" spans="1:28" x14ac:dyDescent="0.2">
      <c r="A2532">
        <v>3075</v>
      </c>
      <c r="B2532" s="1">
        <v>44997</v>
      </c>
      <c r="C2532" t="s">
        <v>106</v>
      </c>
      <c r="D2532" t="s">
        <v>54</v>
      </c>
      <c r="E2532" t="s">
        <v>30</v>
      </c>
      <c r="F2532" t="s">
        <v>55</v>
      </c>
      <c r="G2532" t="s">
        <v>56</v>
      </c>
      <c r="H2532" t="s">
        <v>46</v>
      </c>
      <c r="I2532" t="s">
        <v>34</v>
      </c>
      <c r="J2532" t="s">
        <v>97</v>
      </c>
      <c r="K2532" s="2">
        <v>25212</v>
      </c>
      <c r="L2532" t="s">
        <v>36</v>
      </c>
      <c r="M2532" t="s">
        <v>37</v>
      </c>
      <c r="N2532" t="s">
        <v>60</v>
      </c>
      <c r="O2532" t="s">
        <v>61</v>
      </c>
      <c r="P2532" t="s">
        <v>40</v>
      </c>
      <c r="Q2532">
        <v>5</v>
      </c>
      <c r="R2532" s="2">
        <v>45127</v>
      </c>
      <c r="S2532">
        <v>5</v>
      </c>
      <c r="T2532">
        <v>3</v>
      </c>
      <c r="U2532">
        <v>1</v>
      </c>
      <c r="V2532" s="1">
        <v>44977</v>
      </c>
      <c r="W2532" t="s">
        <v>41</v>
      </c>
      <c r="X2532" t="s">
        <v>51</v>
      </c>
      <c r="Y2532" t="s">
        <v>63</v>
      </c>
      <c r="Z2532">
        <v>4</v>
      </c>
      <c r="AA2532">
        <v>602.12</v>
      </c>
      <c r="AB2532">
        <v>54</v>
      </c>
    </row>
    <row r="2533" spans="1:28" x14ac:dyDescent="0.2">
      <c r="A2533">
        <v>3076</v>
      </c>
      <c r="B2533" s="1">
        <v>45042</v>
      </c>
      <c r="C2533" t="s">
        <v>106</v>
      </c>
      <c r="D2533" t="s">
        <v>94</v>
      </c>
      <c r="E2533" t="s">
        <v>30</v>
      </c>
      <c r="F2533" t="s">
        <v>46</v>
      </c>
      <c r="G2533" t="s">
        <v>32</v>
      </c>
      <c r="H2533" t="s">
        <v>55</v>
      </c>
      <c r="I2533" t="s">
        <v>34</v>
      </c>
      <c r="J2533" t="s">
        <v>65</v>
      </c>
      <c r="K2533" s="2">
        <v>35941</v>
      </c>
      <c r="L2533" t="s">
        <v>36</v>
      </c>
      <c r="M2533" t="s">
        <v>48</v>
      </c>
      <c r="N2533" t="s">
        <v>38</v>
      </c>
      <c r="O2533" t="s">
        <v>67</v>
      </c>
      <c r="P2533" t="s">
        <v>40</v>
      </c>
      <c r="Q2533">
        <v>5</v>
      </c>
      <c r="R2533" s="2">
        <v>44842</v>
      </c>
      <c r="S2533">
        <v>2</v>
      </c>
      <c r="T2533">
        <v>1</v>
      </c>
      <c r="U2533">
        <v>5</v>
      </c>
      <c r="V2533" s="1">
        <v>44879</v>
      </c>
      <c r="W2533" t="s">
        <v>92</v>
      </c>
      <c r="X2533" t="s">
        <v>51</v>
      </c>
      <c r="Y2533" t="s">
        <v>73</v>
      </c>
      <c r="Z2533">
        <v>5</v>
      </c>
      <c r="AA2533">
        <v>547.83000000000004</v>
      </c>
      <c r="AB2533">
        <v>25</v>
      </c>
    </row>
    <row r="2534" spans="1:28" x14ac:dyDescent="0.2">
      <c r="A2534">
        <v>3077</v>
      </c>
      <c r="B2534" s="1">
        <v>44821</v>
      </c>
      <c r="C2534" t="s">
        <v>28</v>
      </c>
      <c r="D2534" t="s">
        <v>29</v>
      </c>
      <c r="E2534" t="s">
        <v>30</v>
      </c>
      <c r="F2534" t="s">
        <v>31</v>
      </c>
      <c r="G2534" t="s">
        <v>45</v>
      </c>
      <c r="H2534" t="s">
        <v>33</v>
      </c>
      <c r="I2534" t="s">
        <v>34</v>
      </c>
      <c r="J2534" t="s">
        <v>65</v>
      </c>
      <c r="K2534" s="2">
        <v>21413</v>
      </c>
      <c r="L2534" t="s">
        <v>36</v>
      </c>
      <c r="M2534" t="s">
        <v>48</v>
      </c>
      <c r="N2534" t="s">
        <v>49</v>
      </c>
      <c r="O2534" t="s">
        <v>67</v>
      </c>
      <c r="P2534" t="s">
        <v>40</v>
      </c>
      <c r="Q2534">
        <v>1</v>
      </c>
      <c r="R2534" s="2">
        <v>45112</v>
      </c>
      <c r="S2534">
        <v>2</v>
      </c>
      <c r="T2534">
        <v>1</v>
      </c>
      <c r="U2534">
        <v>2</v>
      </c>
      <c r="V2534" s="1">
        <v>44865</v>
      </c>
      <c r="W2534" t="s">
        <v>62</v>
      </c>
      <c r="X2534" t="s">
        <v>51</v>
      </c>
      <c r="Y2534" t="s">
        <v>43</v>
      </c>
      <c r="Z2534">
        <v>3</v>
      </c>
      <c r="AA2534">
        <v>726.88</v>
      </c>
      <c r="AB2534">
        <v>64</v>
      </c>
    </row>
    <row r="2535" spans="1:28" x14ac:dyDescent="0.2">
      <c r="A2535">
        <v>3078</v>
      </c>
      <c r="B2535" s="1">
        <v>44204</v>
      </c>
      <c r="C2535" t="s">
        <v>28</v>
      </c>
      <c r="D2535" t="s">
        <v>85</v>
      </c>
      <c r="E2535" t="s">
        <v>30</v>
      </c>
      <c r="F2535" t="s">
        <v>31</v>
      </c>
      <c r="G2535" t="s">
        <v>56</v>
      </c>
      <c r="H2535" t="s">
        <v>46</v>
      </c>
      <c r="I2535" t="s">
        <v>34</v>
      </c>
      <c r="J2535" t="s">
        <v>65</v>
      </c>
      <c r="K2535" s="2">
        <v>22020</v>
      </c>
      <c r="L2535" t="s">
        <v>36</v>
      </c>
      <c r="M2535" t="s">
        <v>48</v>
      </c>
      <c r="N2535" t="s">
        <v>72</v>
      </c>
      <c r="O2535" t="s">
        <v>39</v>
      </c>
      <c r="P2535" t="s">
        <v>40</v>
      </c>
      <c r="Q2535">
        <v>1</v>
      </c>
      <c r="R2535" s="2">
        <v>44954</v>
      </c>
      <c r="S2535">
        <v>1</v>
      </c>
      <c r="T2535">
        <v>1</v>
      </c>
      <c r="U2535">
        <v>5</v>
      </c>
      <c r="V2535" s="1">
        <v>44990</v>
      </c>
      <c r="W2535" t="s">
        <v>41</v>
      </c>
      <c r="X2535" t="s">
        <v>42</v>
      </c>
      <c r="Y2535" t="s">
        <v>63</v>
      </c>
      <c r="Z2535">
        <v>1</v>
      </c>
      <c r="AA2535">
        <v>548.95000000000005</v>
      </c>
      <c r="AB2535">
        <v>61</v>
      </c>
    </row>
    <row r="2536" spans="1:28" x14ac:dyDescent="0.2">
      <c r="A2536">
        <v>3081</v>
      </c>
      <c r="B2536" s="1">
        <v>44124</v>
      </c>
      <c r="C2536" t="s">
        <v>28</v>
      </c>
      <c r="D2536" t="s">
        <v>64</v>
      </c>
      <c r="E2536" t="s">
        <v>30</v>
      </c>
      <c r="F2536" t="s">
        <v>46</v>
      </c>
      <c r="G2536" t="s">
        <v>32</v>
      </c>
      <c r="H2536" t="s">
        <v>46</v>
      </c>
      <c r="I2536" t="s">
        <v>34</v>
      </c>
      <c r="J2536" t="s">
        <v>35</v>
      </c>
      <c r="K2536" s="2">
        <v>29297</v>
      </c>
      <c r="L2536" t="s">
        <v>36</v>
      </c>
      <c r="M2536" t="s">
        <v>48</v>
      </c>
      <c r="N2536" t="s">
        <v>38</v>
      </c>
      <c r="O2536" t="s">
        <v>39</v>
      </c>
      <c r="P2536" t="s">
        <v>40</v>
      </c>
      <c r="Q2536">
        <v>2</v>
      </c>
      <c r="R2536" s="2">
        <v>45036</v>
      </c>
      <c r="S2536">
        <v>3</v>
      </c>
      <c r="T2536">
        <v>3</v>
      </c>
      <c r="U2536">
        <v>1</v>
      </c>
      <c r="V2536" s="1">
        <v>44801</v>
      </c>
      <c r="W2536" t="s">
        <v>50</v>
      </c>
      <c r="X2536" t="s">
        <v>42</v>
      </c>
      <c r="Y2536" t="s">
        <v>63</v>
      </c>
      <c r="Z2536">
        <v>2</v>
      </c>
      <c r="AA2536">
        <v>316.38</v>
      </c>
      <c r="AB2536">
        <v>40</v>
      </c>
    </row>
    <row r="2537" spans="1:28" x14ac:dyDescent="0.2">
      <c r="A2537">
        <v>3082</v>
      </c>
      <c r="B2537" s="1">
        <v>44883</v>
      </c>
      <c r="C2537" t="s">
        <v>28</v>
      </c>
      <c r="D2537" t="s">
        <v>94</v>
      </c>
      <c r="E2537" t="s">
        <v>30</v>
      </c>
      <c r="F2537" t="s">
        <v>46</v>
      </c>
      <c r="G2537" t="s">
        <v>45</v>
      </c>
      <c r="H2537" t="s">
        <v>46</v>
      </c>
      <c r="I2537" t="s">
        <v>34</v>
      </c>
      <c r="J2537" t="s">
        <v>70</v>
      </c>
      <c r="K2537" s="2">
        <v>32420</v>
      </c>
      <c r="L2537" t="s">
        <v>36</v>
      </c>
      <c r="M2537" t="s">
        <v>37</v>
      </c>
      <c r="N2537" t="s">
        <v>60</v>
      </c>
      <c r="O2537" t="s">
        <v>61</v>
      </c>
      <c r="P2537" t="s">
        <v>40</v>
      </c>
      <c r="Q2537">
        <v>1</v>
      </c>
      <c r="R2537" s="2">
        <v>45137</v>
      </c>
      <c r="S2537">
        <v>4</v>
      </c>
      <c r="T2537">
        <v>3</v>
      </c>
      <c r="U2537">
        <v>4</v>
      </c>
      <c r="V2537" s="1">
        <v>45061</v>
      </c>
      <c r="W2537" t="s">
        <v>62</v>
      </c>
      <c r="X2537" t="s">
        <v>51</v>
      </c>
      <c r="Y2537" t="s">
        <v>52</v>
      </c>
      <c r="Z2537">
        <v>4</v>
      </c>
      <c r="AA2537">
        <v>696.51</v>
      </c>
      <c r="AB2537">
        <v>34</v>
      </c>
    </row>
    <row r="2538" spans="1:28" x14ac:dyDescent="0.2">
      <c r="A2538">
        <v>3083</v>
      </c>
      <c r="B2538" s="1">
        <v>44940</v>
      </c>
      <c r="C2538" t="s">
        <v>28</v>
      </c>
      <c r="D2538" t="s">
        <v>74</v>
      </c>
      <c r="E2538" t="s">
        <v>30</v>
      </c>
      <c r="F2538" t="s">
        <v>31</v>
      </c>
      <c r="G2538" t="s">
        <v>32</v>
      </c>
      <c r="H2538" t="s">
        <v>55</v>
      </c>
      <c r="I2538" t="s">
        <v>34</v>
      </c>
      <c r="J2538" t="s">
        <v>47</v>
      </c>
      <c r="K2538" s="2">
        <v>24616</v>
      </c>
      <c r="L2538" t="s">
        <v>36</v>
      </c>
      <c r="M2538" t="s">
        <v>48</v>
      </c>
      <c r="N2538" t="s">
        <v>84</v>
      </c>
      <c r="O2538" t="s">
        <v>39</v>
      </c>
      <c r="P2538" t="s">
        <v>40</v>
      </c>
      <c r="Q2538">
        <v>2</v>
      </c>
      <c r="R2538" s="2">
        <v>44981</v>
      </c>
      <c r="S2538">
        <v>4</v>
      </c>
      <c r="T2538">
        <v>4</v>
      </c>
      <c r="U2538">
        <v>3</v>
      </c>
      <c r="V2538" s="1">
        <v>45054</v>
      </c>
      <c r="W2538" t="s">
        <v>68</v>
      </c>
      <c r="X2538" t="s">
        <v>51</v>
      </c>
      <c r="Y2538" t="s">
        <v>63</v>
      </c>
      <c r="Z2538">
        <v>2</v>
      </c>
      <c r="AA2538">
        <v>413.66</v>
      </c>
      <c r="AB2538">
        <v>56</v>
      </c>
    </row>
    <row r="2539" spans="1:28" x14ac:dyDescent="0.2">
      <c r="A2539">
        <v>3084</v>
      </c>
      <c r="B2539" s="1">
        <v>44131</v>
      </c>
      <c r="C2539" t="s">
        <v>28</v>
      </c>
      <c r="D2539" t="s">
        <v>81</v>
      </c>
      <c r="E2539" t="s">
        <v>30</v>
      </c>
      <c r="F2539" t="s">
        <v>46</v>
      </c>
      <c r="G2539" t="s">
        <v>45</v>
      </c>
      <c r="H2539" t="s">
        <v>33</v>
      </c>
      <c r="I2539" t="s">
        <v>34</v>
      </c>
      <c r="J2539" t="s">
        <v>65</v>
      </c>
      <c r="K2539" s="2">
        <v>35245</v>
      </c>
      <c r="L2539" t="s">
        <v>36</v>
      </c>
      <c r="M2539" t="s">
        <v>48</v>
      </c>
      <c r="N2539" t="s">
        <v>72</v>
      </c>
      <c r="O2539" t="s">
        <v>39</v>
      </c>
      <c r="P2539" t="s">
        <v>40</v>
      </c>
      <c r="Q2539">
        <v>4</v>
      </c>
      <c r="R2539" s="2">
        <v>44901</v>
      </c>
      <c r="S2539">
        <v>5</v>
      </c>
      <c r="T2539">
        <v>3</v>
      </c>
      <c r="U2539">
        <v>3</v>
      </c>
      <c r="V2539" s="1">
        <v>44999</v>
      </c>
      <c r="W2539" t="s">
        <v>50</v>
      </c>
      <c r="X2539" t="s">
        <v>51</v>
      </c>
      <c r="Y2539" t="s">
        <v>63</v>
      </c>
      <c r="Z2539">
        <v>5</v>
      </c>
      <c r="AA2539">
        <v>109.14</v>
      </c>
      <c r="AB2539">
        <v>24</v>
      </c>
    </row>
    <row r="2540" spans="1:28" x14ac:dyDescent="0.2">
      <c r="A2540">
        <v>3085</v>
      </c>
      <c r="B2540" s="1">
        <v>44072</v>
      </c>
      <c r="C2540" t="s">
        <v>28</v>
      </c>
      <c r="D2540" t="s">
        <v>54</v>
      </c>
      <c r="E2540" t="s">
        <v>30</v>
      </c>
      <c r="F2540" t="s">
        <v>55</v>
      </c>
      <c r="G2540" t="s">
        <v>32</v>
      </c>
      <c r="H2540" t="s">
        <v>55</v>
      </c>
      <c r="I2540" t="s">
        <v>34</v>
      </c>
      <c r="J2540" t="s">
        <v>70</v>
      </c>
      <c r="K2540" s="2">
        <v>23074</v>
      </c>
      <c r="L2540" t="s">
        <v>36</v>
      </c>
      <c r="M2540" t="s">
        <v>37</v>
      </c>
      <c r="N2540" t="s">
        <v>84</v>
      </c>
      <c r="O2540" t="s">
        <v>61</v>
      </c>
      <c r="P2540" t="s">
        <v>40</v>
      </c>
      <c r="Q2540">
        <v>2</v>
      </c>
      <c r="R2540" s="2">
        <v>44905</v>
      </c>
      <c r="S2540">
        <v>4</v>
      </c>
      <c r="T2540">
        <v>3</v>
      </c>
      <c r="U2540">
        <v>5</v>
      </c>
      <c r="V2540" s="1">
        <v>44980</v>
      </c>
      <c r="W2540" t="s">
        <v>68</v>
      </c>
      <c r="X2540" t="s">
        <v>51</v>
      </c>
      <c r="Y2540" t="s">
        <v>43</v>
      </c>
      <c r="Z2540">
        <v>2</v>
      </c>
      <c r="AA2540">
        <v>855.84</v>
      </c>
      <c r="AB2540">
        <v>57</v>
      </c>
    </row>
    <row r="2541" spans="1:28" x14ac:dyDescent="0.2">
      <c r="A2541">
        <v>3086</v>
      </c>
      <c r="B2541" s="1">
        <v>43822</v>
      </c>
      <c r="C2541" t="s">
        <v>28</v>
      </c>
      <c r="D2541" t="s">
        <v>69</v>
      </c>
      <c r="E2541" t="s">
        <v>30</v>
      </c>
      <c r="F2541" t="s">
        <v>46</v>
      </c>
      <c r="G2541" t="s">
        <v>56</v>
      </c>
      <c r="H2541" t="s">
        <v>33</v>
      </c>
      <c r="I2541" t="s">
        <v>34</v>
      </c>
      <c r="J2541" t="s">
        <v>47</v>
      </c>
      <c r="K2541" s="2">
        <v>31865</v>
      </c>
      <c r="L2541" t="s">
        <v>36</v>
      </c>
      <c r="M2541" t="s">
        <v>37</v>
      </c>
      <c r="N2541" t="s">
        <v>84</v>
      </c>
      <c r="O2541" t="s">
        <v>77</v>
      </c>
      <c r="P2541" t="s">
        <v>40</v>
      </c>
      <c r="Q2541">
        <v>1</v>
      </c>
      <c r="R2541" s="2">
        <v>45120</v>
      </c>
      <c r="S2541">
        <v>4</v>
      </c>
      <c r="T2541">
        <v>2</v>
      </c>
      <c r="U2541">
        <v>2</v>
      </c>
      <c r="V2541" s="1">
        <v>45104</v>
      </c>
      <c r="W2541" t="s">
        <v>92</v>
      </c>
      <c r="X2541" t="s">
        <v>42</v>
      </c>
      <c r="Y2541" t="s">
        <v>52</v>
      </c>
      <c r="Z2541">
        <v>2</v>
      </c>
      <c r="AA2541">
        <v>288.08999999999997</v>
      </c>
      <c r="AB2541">
        <v>32</v>
      </c>
    </row>
    <row r="2542" spans="1:28" x14ac:dyDescent="0.2">
      <c r="A2542">
        <v>3087</v>
      </c>
      <c r="B2542" s="1">
        <v>45110</v>
      </c>
      <c r="C2542" t="s">
        <v>28</v>
      </c>
      <c r="D2542" t="s">
        <v>29</v>
      </c>
      <c r="E2542" t="s">
        <v>30</v>
      </c>
      <c r="F2542" t="s">
        <v>31</v>
      </c>
      <c r="G2542" t="s">
        <v>56</v>
      </c>
      <c r="H2542" t="s">
        <v>46</v>
      </c>
      <c r="I2542" t="s">
        <v>34</v>
      </c>
      <c r="J2542" t="s">
        <v>96</v>
      </c>
      <c r="K2542" s="2">
        <v>17571</v>
      </c>
      <c r="L2542" t="s">
        <v>36</v>
      </c>
      <c r="M2542" t="s">
        <v>37</v>
      </c>
      <c r="N2542" t="s">
        <v>72</v>
      </c>
      <c r="O2542" t="s">
        <v>67</v>
      </c>
      <c r="P2542" t="s">
        <v>40</v>
      </c>
      <c r="Q2542">
        <v>4</v>
      </c>
      <c r="R2542" s="2">
        <v>44796</v>
      </c>
      <c r="S2542">
        <v>4</v>
      </c>
      <c r="T2542">
        <v>3</v>
      </c>
      <c r="U2542">
        <v>4</v>
      </c>
      <c r="V2542" s="1">
        <v>45115</v>
      </c>
      <c r="W2542" t="s">
        <v>92</v>
      </c>
      <c r="X2542" t="s">
        <v>42</v>
      </c>
      <c r="Y2542" t="s">
        <v>73</v>
      </c>
      <c r="Z2542">
        <v>2</v>
      </c>
      <c r="AA2542">
        <v>776.34</v>
      </c>
      <c r="AB2542">
        <v>75</v>
      </c>
    </row>
    <row r="2543" spans="1:28" x14ac:dyDescent="0.2">
      <c r="A2543">
        <v>3088</v>
      </c>
      <c r="B2543" s="1">
        <v>44830</v>
      </c>
      <c r="C2543" t="s">
        <v>28</v>
      </c>
      <c r="D2543" t="s">
        <v>85</v>
      </c>
      <c r="E2543" t="s">
        <v>30</v>
      </c>
      <c r="F2543" t="s">
        <v>46</v>
      </c>
      <c r="G2543" t="s">
        <v>56</v>
      </c>
      <c r="H2543" t="s">
        <v>46</v>
      </c>
      <c r="I2543" t="s">
        <v>34</v>
      </c>
      <c r="J2543" t="s">
        <v>70</v>
      </c>
      <c r="K2543" s="2">
        <v>16151</v>
      </c>
      <c r="L2543" t="s">
        <v>36</v>
      </c>
      <c r="M2543" t="s">
        <v>37</v>
      </c>
      <c r="N2543" t="s">
        <v>60</v>
      </c>
      <c r="O2543" t="s">
        <v>67</v>
      </c>
      <c r="P2543" t="s">
        <v>40</v>
      </c>
      <c r="Q2543">
        <v>5</v>
      </c>
      <c r="R2543" s="2">
        <v>44870</v>
      </c>
      <c r="S2543">
        <v>5</v>
      </c>
      <c r="T2543">
        <v>3</v>
      </c>
      <c r="U2543">
        <v>5</v>
      </c>
      <c r="V2543" s="1">
        <v>45071</v>
      </c>
      <c r="W2543" t="s">
        <v>50</v>
      </c>
      <c r="X2543" t="s">
        <v>51</v>
      </c>
      <c r="Y2543" t="s">
        <v>52</v>
      </c>
      <c r="Z2543">
        <v>3</v>
      </c>
      <c r="AA2543">
        <v>732.88</v>
      </c>
      <c r="AB2543">
        <v>78</v>
      </c>
    </row>
    <row r="2544" spans="1:28" x14ac:dyDescent="0.2">
      <c r="A2544">
        <v>3089</v>
      </c>
      <c r="B2544" s="1">
        <v>43960</v>
      </c>
      <c r="C2544" t="s">
        <v>28</v>
      </c>
      <c r="D2544" t="s">
        <v>44</v>
      </c>
      <c r="E2544" t="s">
        <v>30</v>
      </c>
      <c r="F2544" t="s">
        <v>31</v>
      </c>
      <c r="G2544" t="s">
        <v>45</v>
      </c>
      <c r="H2544" t="s">
        <v>33</v>
      </c>
      <c r="I2544" t="s">
        <v>34</v>
      </c>
      <c r="J2544" t="s">
        <v>70</v>
      </c>
      <c r="K2544" s="2">
        <v>23147</v>
      </c>
      <c r="L2544" t="s">
        <v>36</v>
      </c>
      <c r="M2544" t="s">
        <v>37</v>
      </c>
      <c r="N2544" t="s">
        <v>72</v>
      </c>
      <c r="O2544" t="s">
        <v>61</v>
      </c>
      <c r="P2544" t="s">
        <v>40</v>
      </c>
      <c r="Q2544">
        <v>4</v>
      </c>
      <c r="R2544" s="2">
        <v>45085</v>
      </c>
      <c r="S2544">
        <v>5</v>
      </c>
      <c r="T2544">
        <v>3</v>
      </c>
      <c r="U2544">
        <v>5</v>
      </c>
      <c r="V2544" s="1">
        <v>44928</v>
      </c>
      <c r="W2544" t="s">
        <v>41</v>
      </c>
      <c r="X2544" t="s">
        <v>42</v>
      </c>
      <c r="Y2544" t="s">
        <v>43</v>
      </c>
      <c r="Z2544">
        <v>4</v>
      </c>
      <c r="AA2544">
        <v>788.1</v>
      </c>
      <c r="AB2544">
        <v>57</v>
      </c>
    </row>
    <row r="2545" spans="1:28" x14ac:dyDescent="0.2">
      <c r="A2545">
        <v>3090</v>
      </c>
      <c r="B2545" s="1">
        <v>44993</v>
      </c>
      <c r="C2545" t="s">
        <v>28</v>
      </c>
      <c r="D2545" t="s">
        <v>87</v>
      </c>
      <c r="E2545" t="s">
        <v>30</v>
      </c>
      <c r="F2545" t="s">
        <v>46</v>
      </c>
      <c r="G2545" t="s">
        <v>56</v>
      </c>
      <c r="H2545" t="s">
        <v>46</v>
      </c>
      <c r="I2545" t="s">
        <v>34</v>
      </c>
      <c r="J2545" t="s">
        <v>70</v>
      </c>
      <c r="K2545" s="2">
        <v>20865</v>
      </c>
      <c r="L2545" t="s">
        <v>36</v>
      </c>
      <c r="M2545" t="s">
        <v>48</v>
      </c>
      <c r="N2545" t="s">
        <v>72</v>
      </c>
      <c r="O2545" t="s">
        <v>67</v>
      </c>
      <c r="P2545" t="s">
        <v>40</v>
      </c>
      <c r="Q2545">
        <v>5</v>
      </c>
      <c r="R2545" s="2">
        <v>44941</v>
      </c>
      <c r="S2545">
        <v>3</v>
      </c>
      <c r="T2545">
        <v>2</v>
      </c>
      <c r="U2545">
        <v>4</v>
      </c>
      <c r="V2545" s="1">
        <v>44889</v>
      </c>
      <c r="W2545" t="s">
        <v>68</v>
      </c>
      <c r="X2545" t="s">
        <v>42</v>
      </c>
      <c r="Y2545" t="s">
        <v>52</v>
      </c>
      <c r="Z2545">
        <v>4</v>
      </c>
      <c r="AA2545">
        <v>284.29000000000002</v>
      </c>
      <c r="AB2545">
        <v>66</v>
      </c>
    </row>
    <row r="2546" spans="1:28" x14ac:dyDescent="0.2">
      <c r="A2546">
        <v>3091</v>
      </c>
      <c r="B2546" s="1">
        <v>43523</v>
      </c>
      <c r="C2546" t="s">
        <v>28</v>
      </c>
      <c r="D2546" t="s">
        <v>64</v>
      </c>
      <c r="E2546" t="s">
        <v>108</v>
      </c>
      <c r="F2546" t="s">
        <v>31</v>
      </c>
      <c r="G2546" t="s">
        <v>56</v>
      </c>
      <c r="H2546" t="s">
        <v>46</v>
      </c>
      <c r="I2546" t="s">
        <v>34</v>
      </c>
      <c r="J2546" t="s">
        <v>109</v>
      </c>
      <c r="K2546" s="2">
        <v>21250</v>
      </c>
      <c r="L2546" t="s">
        <v>36</v>
      </c>
      <c r="M2546" t="s">
        <v>48</v>
      </c>
      <c r="N2546" t="s">
        <v>38</v>
      </c>
      <c r="O2546" t="s">
        <v>61</v>
      </c>
      <c r="P2546" t="s">
        <v>40</v>
      </c>
      <c r="Q2546">
        <v>5</v>
      </c>
      <c r="R2546" s="2">
        <v>44967</v>
      </c>
      <c r="S2546">
        <v>2</v>
      </c>
      <c r="T2546">
        <v>2</v>
      </c>
      <c r="U2546">
        <v>4</v>
      </c>
      <c r="V2546" s="1">
        <v>44875</v>
      </c>
      <c r="W2546" t="s">
        <v>62</v>
      </c>
      <c r="X2546" t="s">
        <v>51</v>
      </c>
      <c r="Y2546" t="s">
        <v>63</v>
      </c>
      <c r="Z2546">
        <v>5</v>
      </c>
      <c r="AA2546">
        <v>872.29</v>
      </c>
      <c r="AB2546">
        <v>61</v>
      </c>
    </row>
    <row r="2547" spans="1:28" x14ac:dyDescent="0.2">
      <c r="A2547">
        <v>3092</v>
      </c>
      <c r="B2547" s="1">
        <v>43842</v>
      </c>
      <c r="C2547" t="s">
        <v>106</v>
      </c>
      <c r="D2547" t="s">
        <v>64</v>
      </c>
      <c r="E2547" t="s">
        <v>30</v>
      </c>
      <c r="F2547" t="s">
        <v>31</v>
      </c>
      <c r="G2547" t="s">
        <v>45</v>
      </c>
      <c r="H2547" t="s">
        <v>55</v>
      </c>
      <c r="I2547" t="s">
        <v>34</v>
      </c>
      <c r="J2547" t="s">
        <v>70</v>
      </c>
      <c r="K2547" s="2">
        <v>29199</v>
      </c>
      <c r="L2547" t="s">
        <v>36</v>
      </c>
      <c r="M2547" t="s">
        <v>37</v>
      </c>
      <c r="N2547" t="s">
        <v>60</v>
      </c>
      <c r="O2547" t="s">
        <v>67</v>
      </c>
      <c r="P2547" t="s">
        <v>40</v>
      </c>
      <c r="Q2547">
        <v>2</v>
      </c>
      <c r="R2547" s="2">
        <v>45031</v>
      </c>
      <c r="S2547">
        <v>4</v>
      </c>
      <c r="T2547">
        <v>4</v>
      </c>
      <c r="U2547">
        <v>1</v>
      </c>
      <c r="V2547" s="1">
        <v>44841</v>
      </c>
      <c r="W2547" t="s">
        <v>41</v>
      </c>
      <c r="X2547" t="s">
        <v>42</v>
      </c>
      <c r="Y2547" t="s">
        <v>73</v>
      </c>
      <c r="Z2547">
        <v>1</v>
      </c>
      <c r="AA2547">
        <v>372.99</v>
      </c>
      <c r="AB2547">
        <v>41</v>
      </c>
    </row>
    <row r="2548" spans="1:28" x14ac:dyDescent="0.2">
      <c r="A2548">
        <v>3093</v>
      </c>
      <c r="B2548" s="1">
        <v>43645</v>
      </c>
      <c r="C2548" t="s">
        <v>106</v>
      </c>
      <c r="D2548" t="s">
        <v>94</v>
      </c>
      <c r="E2548" t="s">
        <v>30</v>
      </c>
      <c r="F2548" t="s">
        <v>55</v>
      </c>
      <c r="G2548" t="s">
        <v>56</v>
      </c>
      <c r="H2548" t="s">
        <v>55</v>
      </c>
      <c r="I2548" t="s">
        <v>34</v>
      </c>
      <c r="J2548" t="s">
        <v>89</v>
      </c>
      <c r="K2548" s="2">
        <v>28024</v>
      </c>
      <c r="L2548" t="s">
        <v>36</v>
      </c>
      <c r="M2548" t="s">
        <v>37</v>
      </c>
      <c r="N2548" t="s">
        <v>84</v>
      </c>
      <c r="O2548" t="s">
        <v>77</v>
      </c>
      <c r="P2548" t="s">
        <v>40</v>
      </c>
      <c r="Q2548">
        <v>2</v>
      </c>
      <c r="R2548" s="2">
        <v>44926</v>
      </c>
      <c r="S2548">
        <v>3</v>
      </c>
      <c r="T2548">
        <v>4</v>
      </c>
      <c r="U2548">
        <v>5</v>
      </c>
      <c r="V2548" s="1">
        <v>45041</v>
      </c>
      <c r="W2548" t="s">
        <v>92</v>
      </c>
      <c r="X2548" t="s">
        <v>42</v>
      </c>
      <c r="Y2548" t="s">
        <v>73</v>
      </c>
      <c r="Z2548">
        <v>5</v>
      </c>
      <c r="AA2548">
        <v>229.87</v>
      </c>
      <c r="AB2548">
        <v>43</v>
      </c>
    </row>
    <row r="2549" spans="1:28" x14ac:dyDescent="0.2">
      <c r="A2549">
        <v>3094</v>
      </c>
      <c r="B2549" s="1">
        <v>44392</v>
      </c>
      <c r="C2549" t="s">
        <v>106</v>
      </c>
      <c r="D2549" t="s">
        <v>74</v>
      </c>
      <c r="E2549" t="s">
        <v>30</v>
      </c>
      <c r="F2549" t="s">
        <v>31</v>
      </c>
      <c r="G2549" t="s">
        <v>32</v>
      </c>
      <c r="H2549" t="s">
        <v>55</v>
      </c>
      <c r="I2549" t="s">
        <v>34</v>
      </c>
      <c r="J2549" t="s">
        <v>79</v>
      </c>
      <c r="K2549" s="2">
        <v>23302</v>
      </c>
      <c r="L2549" t="s">
        <v>36</v>
      </c>
      <c r="M2549" t="s">
        <v>37</v>
      </c>
      <c r="N2549" t="s">
        <v>60</v>
      </c>
      <c r="O2549" t="s">
        <v>39</v>
      </c>
      <c r="P2549" t="s">
        <v>40</v>
      </c>
      <c r="Q2549">
        <v>1</v>
      </c>
      <c r="R2549" s="2">
        <v>45042</v>
      </c>
      <c r="S2549">
        <v>2</v>
      </c>
      <c r="T2549">
        <v>3</v>
      </c>
      <c r="U2549">
        <v>1</v>
      </c>
      <c r="V2549" s="1">
        <v>44986</v>
      </c>
      <c r="W2549" t="s">
        <v>62</v>
      </c>
      <c r="X2549" t="s">
        <v>42</v>
      </c>
      <c r="Y2549" t="s">
        <v>43</v>
      </c>
      <c r="Z2549">
        <v>2</v>
      </c>
      <c r="AA2549">
        <v>544.30999999999995</v>
      </c>
      <c r="AB2549">
        <v>58</v>
      </c>
    </row>
    <row r="2550" spans="1:28" x14ac:dyDescent="0.2">
      <c r="A2550">
        <v>3095</v>
      </c>
      <c r="B2550" s="1">
        <v>44792</v>
      </c>
      <c r="C2550" t="s">
        <v>106</v>
      </c>
      <c r="D2550" t="s">
        <v>81</v>
      </c>
      <c r="E2550" t="s">
        <v>30</v>
      </c>
      <c r="F2550" t="s">
        <v>31</v>
      </c>
      <c r="G2550" t="s">
        <v>45</v>
      </c>
      <c r="H2550" t="s">
        <v>46</v>
      </c>
      <c r="I2550" t="s">
        <v>34</v>
      </c>
      <c r="J2550" t="s">
        <v>70</v>
      </c>
      <c r="K2550" s="2">
        <v>15776</v>
      </c>
      <c r="L2550" t="s">
        <v>36</v>
      </c>
      <c r="M2550" t="s">
        <v>37</v>
      </c>
      <c r="N2550" t="s">
        <v>60</v>
      </c>
      <c r="O2550" t="s">
        <v>77</v>
      </c>
      <c r="P2550" t="s">
        <v>40</v>
      </c>
      <c r="Q2550">
        <v>4</v>
      </c>
      <c r="R2550" s="2">
        <v>45128</v>
      </c>
      <c r="S2550">
        <v>5</v>
      </c>
      <c r="T2550">
        <v>2</v>
      </c>
      <c r="U2550">
        <v>3</v>
      </c>
      <c r="V2550" s="1">
        <v>44799</v>
      </c>
      <c r="W2550" t="s">
        <v>92</v>
      </c>
      <c r="X2550" t="s">
        <v>42</v>
      </c>
      <c r="Y2550" t="s">
        <v>43</v>
      </c>
      <c r="Z2550">
        <v>4</v>
      </c>
      <c r="AA2550">
        <v>461.79</v>
      </c>
      <c r="AB2550">
        <v>79</v>
      </c>
    </row>
    <row r="2551" spans="1:28" x14ac:dyDescent="0.2">
      <c r="A2551">
        <v>3096</v>
      </c>
      <c r="B2551" s="1">
        <v>43731</v>
      </c>
      <c r="C2551" t="s">
        <v>106</v>
      </c>
      <c r="D2551" t="s">
        <v>54</v>
      </c>
      <c r="E2551" t="s">
        <v>108</v>
      </c>
      <c r="F2551" t="s">
        <v>31</v>
      </c>
      <c r="G2551" t="s">
        <v>56</v>
      </c>
      <c r="H2551" t="s">
        <v>46</v>
      </c>
      <c r="I2551" t="s">
        <v>34</v>
      </c>
      <c r="J2551" t="s">
        <v>79</v>
      </c>
      <c r="K2551" s="2">
        <v>27279</v>
      </c>
      <c r="L2551" t="s">
        <v>36</v>
      </c>
      <c r="M2551" t="s">
        <v>37</v>
      </c>
      <c r="N2551" t="s">
        <v>49</v>
      </c>
      <c r="O2551" t="s">
        <v>61</v>
      </c>
      <c r="P2551" t="s">
        <v>40</v>
      </c>
      <c r="Q2551">
        <v>5</v>
      </c>
      <c r="R2551" s="2">
        <v>45051</v>
      </c>
      <c r="S2551">
        <v>1</v>
      </c>
      <c r="T2551">
        <v>3</v>
      </c>
      <c r="U2551">
        <v>2</v>
      </c>
      <c r="V2551" s="1">
        <v>45045</v>
      </c>
      <c r="W2551" t="s">
        <v>68</v>
      </c>
      <c r="X2551" t="s">
        <v>42</v>
      </c>
      <c r="Y2551" t="s">
        <v>43</v>
      </c>
      <c r="Z2551">
        <v>1</v>
      </c>
      <c r="AA2551">
        <v>108.99</v>
      </c>
      <c r="AB2551">
        <v>45</v>
      </c>
    </row>
    <row r="2552" spans="1:28" x14ac:dyDescent="0.2">
      <c r="A2552">
        <v>3097</v>
      </c>
      <c r="B2552" s="1">
        <v>44115</v>
      </c>
      <c r="C2552" t="s">
        <v>106</v>
      </c>
      <c r="D2552" t="s">
        <v>69</v>
      </c>
      <c r="E2552" t="s">
        <v>108</v>
      </c>
      <c r="F2552" t="s">
        <v>46</v>
      </c>
      <c r="G2552" t="s">
        <v>32</v>
      </c>
      <c r="H2552" t="s">
        <v>33</v>
      </c>
      <c r="I2552" t="s">
        <v>34</v>
      </c>
      <c r="J2552" t="s">
        <v>96</v>
      </c>
      <c r="K2552" s="2">
        <v>22443</v>
      </c>
      <c r="L2552" t="s">
        <v>36</v>
      </c>
      <c r="M2552" t="s">
        <v>37</v>
      </c>
      <c r="N2552" t="s">
        <v>38</v>
      </c>
      <c r="O2552" t="s">
        <v>67</v>
      </c>
      <c r="P2552" t="s">
        <v>40</v>
      </c>
      <c r="Q2552">
        <v>4</v>
      </c>
      <c r="R2552" s="2">
        <v>44812</v>
      </c>
      <c r="S2552">
        <v>5</v>
      </c>
      <c r="T2552">
        <v>3</v>
      </c>
      <c r="U2552">
        <v>4</v>
      </c>
      <c r="V2552" s="1">
        <v>44925</v>
      </c>
      <c r="W2552" t="s">
        <v>62</v>
      </c>
      <c r="X2552" t="s">
        <v>42</v>
      </c>
      <c r="Y2552" t="s">
        <v>52</v>
      </c>
      <c r="Z2552">
        <v>5</v>
      </c>
      <c r="AA2552">
        <v>166.08</v>
      </c>
      <c r="AB2552">
        <v>59</v>
      </c>
    </row>
    <row r="2553" spans="1:28" x14ac:dyDescent="0.2">
      <c r="A2553">
        <v>3098</v>
      </c>
      <c r="B2553" s="1">
        <v>44426</v>
      </c>
      <c r="C2553" t="s">
        <v>106</v>
      </c>
      <c r="D2553" t="s">
        <v>29</v>
      </c>
      <c r="E2553" t="s">
        <v>30</v>
      </c>
      <c r="F2553" t="s">
        <v>55</v>
      </c>
      <c r="G2553" t="s">
        <v>45</v>
      </c>
      <c r="H2553" t="s">
        <v>55</v>
      </c>
      <c r="I2553" t="s">
        <v>34</v>
      </c>
      <c r="J2553" t="s">
        <v>97</v>
      </c>
      <c r="K2553" s="2">
        <v>16232</v>
      </c>
      <c r="L2553" t="s">
        <v>36</v>
      </c>
      <c r="M2553" t="s">
        <v>48</v>
      </c>
      <c r="N2553" t="s">
        <v>72</v>
      </c>
      <c r="O2553" t="s">
        <v>39</v>
      </c>
      <c r="P2553" t="s">
        <v>40</v>
      </c>
      <c r="Q2553">
        <v>4</v>
      </c>
      <c r="R2553" s="2">
        <v>45069</v>
      </c>
      <c r="S2553">
        <v>3</v>
      </c>
      <c r="T2553">
        <v>5</v>
      </c>
      <c r="U2553">
        <v>4</v>
      </c>
      <c r="V2553" s="1">
        <v>44838</v>
      </c>
      <c r="W2553" t="s">
        <v>41</v>
      </c>
      <c r="X2553" t="s">
        <v>51</v>
      </c>
      <c r="Y2553" t="s">
        <v>73</v>
      </c>
      <c r="Z2553">
        <v>1</v>
      </c>
      <c r="AA2553">
        <v>801.69</v>
      </c>
      <c r="AB2553">
        <v>77</v>
      </c>
    </row>
    <row r="2554" spans="1:28" x14ac:dyDescent="0.2">
      <c r="A2554">
        <v>3099</v>
      </c>
      <c r="B2554" s="1">
        <v>44912</v>
      </c>
      <c r="C2554" t="s">
        <v>28</v>
      </c>
      <c r="D2554" t="s">
        <v>29</v>
      </c>
      <c r="E2554" t="s">
        <v>30</v>
      </c>
      <c r="F2554" t="s">
        <v>55</v>
      </c>
      <c r="G2554" t="s">
        <v>45</v>
      </c>
      <c r="H2554" t="s">
        <v>33</v>
      </c>
      <c r="I2554" t="s">
        <v>34</v>
      </c>
      <c r="J2554" t="s">
        <v>97</v>
      </c>
      <c r="K2554" s="2">
        <v>23987</v>
      </c>
      <c r="L2554" t="s">
        <v>36</v>
      </c>
      <c r="M2554" t="s">
        <v>48</v>
      </c>
      <c r="N2554" t="s">
        <v>72</v>
      </c>
      <c r="O2554" t="s">
        <v>77</v>
      </c>
      <c r="P2554" t="s">
        <v>78</v>
      </c>
      <c r="Q2554">
        <v>4</v>
      </c>
      <c r="R2554" s="2">
        <v>44811</v>
      </c>
      <c r="S2554">
        <v>5</v>
      </c>
      <c r="T2554">
        <v>4</v>
      </c>
      <c r="U2554">
        <v>4</v>
      </c>
      <c r="V2554" s="1">
        <v>45077</v>
      </c>
      <c r="W2554" t="s">
        <v>68</v>
      </c>
      <c r="X2554" t="s">
        <v>42</v>
      </c>
      <c r="Y2554" t="s">
        <v>73</v>
      </c>
      <c r="Z2554">
        <v>4</v>
      </c>
      <c r="AA2554">
        <v>355.34</v>
      </c>
      <c r="AB2554">
        <v>57</v>
      </c>
    </row>
    <row r="2555" spans="1:28" x14ac:dyDescent="0.2">
      <c r="A2555">
        <v>3100</v>
      </c>
      <c r="B2555" s="1">
        <v>44129</v>
      </c>
      <c r="C2555" t="s">
        <v>28</v>
      </c>
      <c r="D2555" t="s">
        <v>85</v>
      </c>
      <c r="E2555" t="s">
        <v>30</v>
      </c>
      <c r="F2555" t="s">
        <v>31</v>
      </c>
      <c r="G2555" t="s">
        <v>56</v>
      </c>
      <c r="H2555" t="s">
        <v>33</v>
      </c>
      <c r="I2555" t="s">
        <v>34</v>
      </c>
      <c r="J2555" t="s">
        <v>65</v>
      </c>
      <c r="K2555" s="2">
        <v>18422</v>
      </c>
      <c r="L2555" t="s">
        <v>36</v>
      </c>
      <c r="M2555" t="s">
        <v>37</v>
      </c>
      <c r="N2555" t="s">
        <v>38</v>
      </c>
      <c r="O2555" t="s">
        <v>61</v>
      </c>
      <c r="P2555" t="s">
        <v>40</v>
      </c>
      <c r="Q2555">
        <v>5</v>
      </c>
      <c r="R2555" s="2">
        <v>45041</v>
      </c>
      <c r="S2555">
        <v>1</v>
      </c>
      <c r="T2555">
        <v>5</v>
      </c>
      <c r="U2555">
        <v>2</v>
      </c>
      <c r="V2555" s="1">
        <v>45123</v>
      </c>
      <c r="W2555" t="s">
        <v>68</v>
      </c>
      <c r="X2555" t="s">
        <v>51</v>
      </c>
      <c r="Y2555" t="s">
        <v>52</v>
      </c>
      <c r="Z2555">
        <v>4</v>
      </c>
      <c r="AA2555">
        <v>136.94</v>
      </c>
      <c r="AB2555">
        <v>70</v>
      </c>
    </row>
    <row r="2556" spans="1:28" x14ac:dyDescent="0.2">
      <c r="A2556">
        <v>3101</v>
      </c>
      <c r="B2556" s="1">
        <v>44949</v>
      </c>
      <c r="C2556" t="s">
        <v>28</v>
      </c>
      <c r="D2556" t="s">
        <v>44</v>
      </c>
      <c r="E2556" t="s">
        <v>30</v>
      </c>
      <c r="F2556" t="s">
        <v>55</v>
      </c>
      <c r="G2556" t="s">
        <v>56</v>
      </c>
      <c r="H2556" t="s">
        <v>55</v>
      </c>
      <c r="I2556" t="s">
        <v>34</v>
      </c>
      <c r="J2556" t="s">
        <v>65</v>
      </c>
      <c r="K2556" s="2">
        <v>22349</v>
      </c>
      <c r="L2556" t="s">
        <v>36</v>
      </c>
      <c r="M2556" t="s">
        <v>37</v>
      </c>
      <c r="N2556" t="s">
        <v>84</v>
      </c>
      <c r="O2556" t="s">
        <v>61</v>
      </c>
      <c r="P2556" t="s">
        <v>40</v>
      </c>
      <c r="Q2556">
        <v>2</v>
      </c>
      <c r="R2556" s="2">
        <v>45085</v>
      </c>
      <c r="S2556">
        <v>5</v>
      </c>
      <c r="T2556">
        <v>4</v>
      </c>
      <c r="U2556">
        <v>1</v>
      </c>
      <c r="V2556" s="1">
        <v>45067</v>
      </c>
      <c r="W2556" t="s">
        <v>68</v>
      </c>
      <c r="X2556" t="s">
        <v>42</v>
      </c>
      <c r="Y2556" t="s">
        <v>63</v>
      </c>
      <c r="Z2556">
        <v>4</v>
      </c>
      <c r="AA2556">
        <v>849.63</v>
      </c>
      <c r="AB2556">
        <v>62</v>
      </c>
    </row>
    <row r="2557" spans="1:28" x14ac:dyDescent="0.2">
      <c r="A2557">
        <v>3104</v>
      </c>
      <c r="B2557" s="1">
        <v>44710</v>
      </c>
      <c r="C2557" t="s">
        <v>28</v>
      </c>
      <c r="D2557" t="s">
        <v>94</v>
      </c>
      <c r="E2557" t="s">
        <v>30</v>
      </c>
      <c r="F2557" t="s">
        <v>31</v>
      </c>
      <c r="G2557" t="s">
        <v>32</v>
      </c>
      <c r="H2557" t="s">
        <v>46</v>
      </c>
      <c r="I2557" t="s">
        <v>34</v>
      </c>
      <c r="J2557" t="s">
        <v>65</v>
      </c>
      <c r="K2557" s="2">
        <v>16085</v>
      </c>
      <c r="L2557" t="s">
        <v>36</v>
      </c>
      <c r="M2557" t="s">
        <v>37</v>
      </c>
      <c r="N2557" t="s">
        <v>72</v>
      </c>
      <c r="O2557" t="s">
        <v>67</v>
      </c>
      <c r="P2557" t="s">
        <v>40</v>
      </c>
      <c r="Q2557">
        <v>2</v>
      </c>
      <c r="R2557" s="2">
        <v>44845</v>
      </c>
      <c r="S2557">
        <v>5</v>
      </c>
      <c r="T2557">
        <v>2</v>
      </c>
      <c r="U2557">
        <v>3</v>
      </c>
      <c r="V2557" s="1">
        <v>45140</v>
      </c>
      <c r="W2557" t="s">
        <v>62</v>
      </c>
      <c r="X2557" t="s">
        <v>42</v>
      </c>
      <c r="Y2557" t="s">
        <v>52</v>
      </c>
      <c r="Z2557">
        <v>3</v>
      </c>
      <c r="AA2557">
        <v>852.79</v>
      </c>
      <c r="AB2557">
        <v>78</v>
      </c>
    </row>
    <row r="2558" spans="1:28" x14ac:dyDescent="0.2">
      <c r="A2558">
        <v>3105</v>
      </c>
      <c r="B2558" s="1">
        <v>43989</v>
      </c>
      <c r="C2558" t="s">
        <v>28</v>
      </c>
      <c r="D2558" t="s">
        <v>74</v>
      </c>
      <c r="E2558" t="s">
        <v>30</v>
      </c>
      <c r="F2558" t="s">
        <v>55</v>
      </c>
      <c r="G2558" t="s">
        <v>56</v>
      </c>
      <c r="H2558" t="s">
        <v>33</v>
      </c>
      <c r="I2558" t="s">
        <v>34</v>
      </c>
      <c r="J2558" t="s">
        <v>97</v>
      </c>
      <c r="K2558" s="2">
        <v>15838</v>
      </c>
      <c r="L2558" t="s">
        <v>36</v>
      </c>
      <c r="M2558" t="s">
        <v>48</v>
      </c>
      <c r="N2558" t="s">
        <v>72</v>
      </c>
      <c r="O2558" t="s">
        <v>67</v>
      </c>
      <c r="P2558" t="s">
        <v>40</v>
      </c>
      <c r="Q2558">
        <v>1</v>
      </c>
      <c r="R2558" s="2">
        <v>44865</v>
      </c>
      <c r="S2558">
        <v>2</v>
      </c>
      <c r="T2558">
        <v>1</v>
      </c>
      <c r="U2558">
        <v>2</v>
      </c>
      <c r="V2558" s="1">
        <v>44803</v>
      </c>
      <c r="W2558" t="s">
        <v>68</v>
      </c>
      <c r="X2558" t="s">
        <v>51</v>
      </c>
      <c r="Y2558" t="s">
        <v>43</v>
      </c>
      <c r="Z2558">
        <v>3</v>
      </c>
      <c r="AA2558">
        <v>805.93</v>
      </c>
      <c r="AB2558">
        <v>77</v>
      </c>
    </row>
    <row r="2559" spans="1:28" x14ac:dyDescent="0.2">
      <c r="A2559">
        <v>3106</v>
      </c>
      <c r="B2559" s="1">
        <v>43911</v>
      </c>
      <c r="C2559" t="s">
        <v>28</v>
      </c>
      <c r="D2559" t="s">
        <v>81</v>
      </c>
      <c r="E2559" t="s">
        <v>30</v>
      </c>
      <c r="F2559" t="s">
        <v>46</v>
      </c>
      <c r="G2559" t="s">
        <v>45</v>
      </c>
      <c r="H2559" t="s">
        <v>33</v>
      </c>
      <c r="I2559" t="s">
        <v>34</v>
      </c>
      <c r="J2559" t="s">
        <v>70</v>
      </c>
      <c r="K2559" s="2">
        <v>36615</v>
      </c>
      <c r="L2559" t="s">
        <v>36</v>
      </c>
      <c r="M2559" t="s">
        <v>48</v>
      </c>
      <c r="N2559" t="s">
        <v>49</v>
      </c>
      <c r="O2559" t="s">
        <v>77</v>
      </c>
      <c r="P2559" t="s">
        <v>40</v>
      </c>
      <c r="Q2559">
        <v>4</v>
      </c>
      <c r="R2559" s="2">
        <v>45045</v>
      </c>
      <c r="S2559">
        <v>5</v>
      </c>
      <c r="T2559">
        <v>1</v>
      </c>
      <c r="U2559">
        <v>2</v>
      </c>
      <c r="V2559" s="1">
        <v>45052</v>
      </c>
      <c r="W2559" t="s">
        <v>92</v>
      </c>
      <c r="X2559" t="s">
        <v>51</v>
      </c>
      <c r="Y2559" t="s">
        <v>52</v>
      </c>
      <c r="Z2559">
        <v>3</v>
      </c>
      <c r="AA2559">
        <v>957.31</v>
      </c>
      <c r="AB2559">
        <v>20</v>
      </c>
    </row>
    <row r="2560" spans="1:28" x14ac:dyDescent="0.2">
      <c r="A2560">
        <v>3107</v>
      </c>
      <c r="B2560" s="1">
        <v>44368</v>
      </c>
      <c r="C2560" t="s">
        <v>28</v>
      </c>
      <c r="D2560" t="s">
        <v>54</v>
      </c>
      <c r="E2560" t="s">
        <v>30</v>
      </c>
      <c r="F2560" t="s">
        <v>55</v>
      </c>
      <c r="G2560" t="s">
        <v>45</v>
      </c>
      <c r="H2560" t="s">
        <v>33</v>
      </c>
      <c r="I2560" t="s">
        <v>34</v>
      </c>
      <c r="J2560" t="s">
        <v>101</v>
      </c>
      <c r="K2560" s="2">
        <v>26293</v>
      </c>
      <c r="L2560" t="s">
        <v>36</v>
      </c>
      <c r="M2560" t="s">
        <v>37</v>
      </c>
      <c r="N2560" t="s">
        <v>72</v>
      </c>
      <c r="O2560" t="s">
        <v>39</v>
      </c>
      <c r="P2560" t="s">
        <v>40</v>
      </c>
      <c r="Q2560">
        <v>4</v>
      </c>
      <c r="R2560" s="2">
        <v>44905</v>
      </c>
      <c r="S2560">
        <v>2</v>
      </c>
      <c r="T2560">
        <v>1</v>
      </c>
      <c r="U2560">
        <v>4</v>
      </c>
      <c r="V2560" s="1">
        <v>45062</v>
      </c>
      <c r="W2560" t="s">
        <v>41</v>
      </c>
      <c r="X2560" t="s">
        <v>42</v>
      </c>
      <c r="Y2560" t="s">
        <v>43</v>
      </c>
      <c r="Z2560">
        <v>1</v>
      </c>
      <c r="AA2560">
        <v>855.26</v>
      </c>
      <c r="AB2560">
        <v>50</v>
      </c>
    </row>
    <row r="2561" spans="1:28" x14ac:dyDescent="0.2">
      <c r="A2561">
        <v>3108</v>
      </c>
      <c r="B2561" s="1">
        <v>44491</v>
      </c>
      <c r="C2561" t="s">
        <v>28</v>
      </c>
      <c r="D2561" t="s">
        <v>69</v>
      </c>
      <c r="E2561" t="s">
        <v>30</v>
      </c>
      <c r="F2561" t="s">
        <v>55</v>
      </c>
      <c r="G2561" t="s">
        <v>56</v>
      </c>
      <c r="H2561" t="s">
        <v>33</v>
      </c>
      <c r="I2561" t="s">
        <v>34</v>
      </c>
      <c r="J2561" t="s">
        <v>65</v>
      </c>
      <c r="K2561" s="2">
        <v>16623</v>
      </c>
      <c r="L2561" t="s">
        <v>36</v>
      </c>
      <c r="M2561" t="s">
        <v>37</v>
      </c>
      <c r="N2561" t="s">
        <v>49</v>
      </c>
      <c r="O2561" t="s">
        <v>67</v>
      </c>
      <c r="P2561" t="s">
        <v>40</v>
      </c>
      <c r="Q2561">
        <v>2</v>
      </c>
      <c r="R2561" s="2">
        <v>45122</v>
      </c>
      <c r="S2561">
        <v>1</v>
      </c>
      <c r="T2561">
        <v>4</v>
      </c>
      <c r="U2561">
        <v>1</v>
      </c>
      <c r="V2561" s="1">
        <v>45114</v>
      </c>
      <c r="W2561" t="s">
        <v>50</v>
      </c>
      <c r="X2561" t="s">
        <v>51</v>
      </c>
      <c r="Y2561" t="s">
        <v>63</v>
      </c>
      <c r="Z2561">
        <v>1</v>
      </c>
      <c r="AA2561">
        <v>755.13</v>
      </c>
      <c r="AB2561">
        <v>76</v>
      </c>
    </row>
    <row r="2562" spans="1:28" x14ac:dyDescent="0.2">
      <c r="A2562">
        <v>3109</v>
      </c>
      <c r="B2562" s="1">
        <v>43393</v>
      </c>
      <c r="C2562" t="s">
        <v>28</v>
      </c>
      <c r="D2562" t="s">
        <v>29</v>
      </c>
      <c r="E2562" t="s">
        <v>30</v>
      </c>
      <c r="F2562" t="s">
        <v>55</v>
      </c>
      <c r="G2562" t="s">
        <v>45</v>
      </c>
      <c r="H2562" t="s">
        <v>33</v>
      </c>
      <c r="I2562" t="s">
        <v>34</v>
      </c>
      <c r="J2562" t="s">
        <v>97</v>
      </c>
      <c r="K2562" s="2">
        <v>36275</v>
      </c>
      <c r="L2562" t="s">
        <v>36</v>
      </c>
      <c r="M2562" t="s">
        <v>37</v>
      </c>
      <c r="N2562" t="s">
        <v>38</v>
      </c>
      <c r="O2562" t="s">
        <v>67</v>
      </c>
      <c r="P2562" t="s">
        <v>107</v>
      </c>
      <c r="Q2562">
        <v>2</v>
      </c>
      <c r="R2562" s="2">
        <v>44840</v>
      </c>
      <c r="S2562">
        <v>1</v>
      </c>
      <c r="T2562">
        <v>2</v>
      </c>
      <c r="U2562">
        <v>1</v>
      </c>
      <c r="V2562" s="1">
        <v>45089</v>
      </c>
      <c r="W2562" t="s">
        <v>50</v>
      </c>
      <c r="X2562" t="s">
        <v>51</v>
      </c>
      <c r="Y2562" t="s">
        <v>43</v>
      </c>
      <c r="Z2562">
        <v>1</v>
      </c>
      <c r="AA2562">
        <v>260.83999999999997</v>
      </c>
      <c r="AB2562">
        <v>19</v>
      </c>
    </row>
    <row r="2563" spans="1:28" x14ac:dyDescent="0.2">
      <c r="A2563">
        <v>3110</v>
      </c>
      <c r="B2563" s="1">
        <v>44636</v>
      </c>
      <c r="C2563" t="s">
        <v>28</v>
      </c>
      <c r="D2563" t="s">
        <v>85</v>
      </c>
      <c r="E2563" t="s">
        <v>30</v>
      </c>
      <c r="F2563" t="s">
        <v>31</v>
      </c>
      <c r="G2563" t="s">
        <v>32</v>
      </c>
      <c r="H2563" t="s">
        <v>55</v>
      </c>
      <c r="I2563" t="s">
        <v>34</v>
      </c>
      <c r="J2563" t="s">
        <v>101</v>
      </c>
      <c r="K2563" s="2">
        <v>20496</v>
      </c>
      <c r="L2563" t="s">
        <v>36</v>
      </c>
      <c r="M2563" t="s">
        <v>37</v>
      </c>
      <c r="N2563" t="s">
        <v>49</v>
      </c>
      <c r="O2563" t="s">
        <v>61</v>
      </c>
      <c r="P2563" t="s">
        <v>40</v>
      </c>
      <c r="Q2563">
        <v>2</v>
      </c>
      <c r="R2563" s="2">
        <v>44925</v>
      </c>
      <c r="S2563">
        <v>1</v>
      </c>
      <c r="T2563">
        <v>2</v>
      </c>
      <c r="U2563">
        <v>1</v>
      </c>
      <c r="V2563" s="1">
        <v>44863</v>
      </c>
      <c r="W2563" t="s">
        <v>68</v>
      </c>
      <c r="X2563" t="s">
        <v>51</v>
      </c>
      <c r="Y2563" t="s">
        <v>63</v>
      </c>
      <c r="Z2563">
        <v>3</v>
      </c>
      <c r="AA2563">
        <v>299.97000000000003</v>
      </c>
      <c r="AB2563">
        <v>66</v>
      </c>
    </row>
    <row r="2564" spans="1:28" x14ac:dyDescent="0.2">
      <c r="A2564">
        <v>3111</v>
      </c>
      <c r="B2564" s="1">
        <v>43447</v>
      </c>
      <c r="C2564" t="s">
        <v>28</v>
      </c>
      <c r="D2564" t="s">
        <v>44</v>
      </c>
      <c r="E2564" t="s">
        <v>30</v>
      </c>
      <c r="F2564" t="s">
        <v>46</v>
      </c>
      <c r="G2564" t="s">
        <v>56</v>
      </c>
      <c r="H2564" t="s">
        <v>33</v>
      </c>
      <c r="I2564" t="s">
        <v>34</v>
      </c>
      <c r="J2564" t="s">
        <v>70</v>
      </c>
      <c r="K2564" s="2">
        <v>21312</v>
      </c>
      <c r="L2564" t="s">
        <v>36</v>
      </c>
      <c r="M2564" t="s">
        <v>37</v>
      </c>
      <c r="N2564" t="s">
        <v>60</v>
      </c>
      <c r="O2564" t="s">
        <v>77</v>
      </c>
      <c r="P2564" t="s">
        <v>40</v>
      </c>
      <c r="Q2564">
        <v>1</v>
      </c>
      <c r="R2564" s="2">
        <v>45134</v>
      </c>
      <c r="S2564">
        <v>2</v>
      </c>
      <c r="T2564">
        <v>5</v>
      </c>
      <c r="U2564">
        <v>2</v>
      </c>
      <c r="V2564" s="1">
        <v>45083</v>
      </c>
      <c r="W2564" t="s">
        <v>41</v>
      </c>
      <c r="X2564" t="s">
        <v>42</v>
      </c>
      <c r="Y2564" t="s">
        <v>52</v>
      </c>
      <c r="Z2564">
        <v>1</v>
      </c>
      <c r="AA2564">
        <v>374.9</v>
      </c>
      <c r="AB2564">
        <v>60</v>
      </c>
    </row>
    <row r="2565" spans="1:28" x14ac:dyDescent="0.2">
      <c r="A2565">
        <v>3112</v>
      </c>
      <c r="B2565" s="1">
        <v>44477</v>
      </c>
      <c r="C2565" t="s">
        <v>28</v>
      </c>
      <c r="D2565" t="s">
        <v>87</v>
      </c>
      <c r="E2565" t="s">
        <v>108</v>
      </c>
      <c r="F2565" t="s">
        <v>46</v>
      </c>
      <c r="G2565" t="s">
        <v>56</v>
      </c>
      <c r="H2565" t="s">
        <v>55</v>
      </c>
      <c r="I2565" t="s">
        <v>34</v>
      </c>
      <c r="J2565" t="s">
        <v>100</v>
      </c>
      <c r="K2565" s="2">
        <v>17121</v>
      </c>
      <c r="L2565" t="s">
        <v>36</v>
      </c>
      <c r="M2565" t="s">
        <v>48</v>
      </c>
      <c r="N2565" t="s">
        <v>84</v>
      </c>
      <c r="O2565" t="s">
        <v>61</v>
      </c>
      <c r="P2565" t="s">
        <v>40</v>
      </c>
      <c r="Q2565">
        <v>4</v>
      </c>
      <c r="R2565" s="2">
        <v>44977</v>
      </c>
      <c r="S2565">
        <v>5</v>
      </c>
      <c r="T2565">
        <v>2</v>
      </c>
      <c r="U2565">
        <v>3</v>
      </c>
      <c r="V2565" s="1">
        <v>44827</v>
      </c>
      <c r="W2565" t="s">
        <v>68</v>
      </c>
      <c r="X2565" t="s">
        <v>42</v>
      </c>
      <c r="Y2565" t="s">
        <v>73</v>
      </c>
      <c r="Z2565">
        <v>5</v>
      </c>
      <c r="AA2565">
        <v>168.79</v>
      </c>
      <c r="AB2565">
        <v>75</v>
      </c>
    </row>
    <row r="2566" spans="1:28" x14ac:dyDescent="0.2">
      <c r="A2566">
        <v>3113</v>
      </c>
      <c r="B2566" s="1">
        <v>43499</v>
      </c>
      <c r="C2566" t="s">
        <v>106</v>
      </c>
      <c r="D2566" t="s">
        <v>64</v>
      </c>
      <c r="E2566" t="s">
        <v>30</v>
      </c>
      <c r="F2566" t="s">
        <v>31</v>
      </c>
      <c r="G2566" t="s">
        <v>32</v>
      </c>
      <c r="H2566" t="s">
        <v>55</v>
      </c>
      <c r="I2566" t="s">
        <v>34</v>
      </c>
      <c r="J2566" t="s">
        <v>96</v>
      </c>
      <c r="K2566" s="2">
        <v>29769</v>
      </c>
      <c r="L2566" t="s">
        <v>36</v>
      </c>
      <c r="M2566" t="s">
        <v>37</v>
      </c>
      <c r="N2566" t="s">
        <v>38</v>
      </c>
      <c r="O2566" t="s">
        <v>77</v>
      </c>
      <c r="P2566" t="s">
        <v>40</v>
      </c>
      <c r="Q2566">
        <v>4</v>
      </c>
      <c r="R2566" s="2">
        <v>44841</v>
      </c>
      <c r="S2566">
        <v>5</v>
      </c>
      <c r="T2566">
        <v>2</v>
      </c>
      <c r="U2566">
        <v>5</v>
      </c>
      <c r="V2566" s="1">
        <v>44884</v>
      </c>
      <c r="W2566" t="s">
        <v>41</v>
      </c>
      <c r="X2566" t="s">
        <v>42</v>
      </c>
      <c r="Y2566" t="s">
        <v>73</v>
      </c>
      <c r="Z2566">
        <v>5</v>
      </c>
      <c r="AA2566">
        <v>236.27</v>
      </c>
      <c r="AB2566">
        <v>38</v>
      </c>
    </row>
    <row r="2567" spans="1:28" x14ac:dyDescent="0.2">
      <c r="A2567">
        <v>3114</v>
      </c>
      <c r="B2567" s="1">
        <v>43373</v>
      </c>
      <c r="C2567" t="s">
        <v>106</v>
      </c>
      <c r="D2567" t="s">
        <v>94</v>
      </c>
      <c r="E2567" t="s">
        <v>30</v>
      </c>
      <c r="F2567" t="s">
        <v>31</v>
      </c>
      <c r="G2567" t="s">
        <v>32</v>
      </c>
      <c r="H2567" t="s">
        <v>55</v>
      </c>
      <c r="I2567" t="s">
        <v>34</v>
      </c>
      <c r="J2567" t="s">
        <v>134</v>
      </c>
      <c r="K2567" s="2">
        <v>21007</v>
      </c>
      <c r="L2567" t="s">
        <v>36</v>
      </c>
      <c r="M2567" t="s">
        <v>37</v>
      </c>
      <c r="N2567" t="s">
        <v>84</v>
      </c>
      <c r="O2567" t="s">
        <v>77</v>
      </c>
      <c r="P2567" t="s">
        <v>40</v>
      </c>
      <c r="Q2567">
        <v>2</v>
      </c>
      <c r="R2567" s="2">
        <v>44797</v>
      </c>
      <c r="S2567">
        <v>2</v>
      </c>
      <c r="T2567">
        <v>2</v>
      </c>
      <c r="U2567">
        <v>2</v>
      </c>
      <c r="V2567" s="1">
        <v>44936</v>
      </c>
      <c r="W2567" t="s">
        <v>68</v>
      </c>
      <c r="X2567" t="s">
        <v>42</v>
      </c>
      <c r="Y2567" t="s">
        <v>73</v>
      </c>
      <c r="Z2567">
        <v>5</v>
      </c>
      <c r="AA2567">
        <v>569.5</v>
      </c>
      <c r="AB2567">
        <v>61</v>
      </c>
    </row>
    <row r="2568" spans="1:28" x14ac:dyDescent="0.2">
      <c r="A2568">
        <v>3115</v>
      </c>
      <c r="B2568" s="1">
        <v>44389</v>
      </c>
      <c r="C2568" t="s">
        <v>106</v>
      </c>
      <c r="D2568" t="s">
        <v>74</v>
      </c>
      <c r="E2568" t="s">
        <v>30</v>
      </c>
      <c r="F2568" t="s">
        <v>31</v>
      </c>
      <c r="G2568" t="s">
        <v>45</v>
      </c>
      <c r="H2568" t="s">
        <v>33</v>
      </c>
      <c r="I2568" t="s">
        <v>34</v>
      </c>
      <c r="J2568" t="s">
        <v>96</v>
      </c>
      <c r="K2568" s="2">
        <v>23377</v>
      </c>
      <c r="L2568" t="s">
        <v>36</v>
      </c>
      <c r="M2568" t="s">
        <v>37</v>
      </c>
      <c r="N2568" t="s">
        <v>49</v>
      </c>
      <c r="O2568" t="s">
        <v>77</v>
      </c>
      <c r="P2568" t="s">
        <v>40</v>
      </c>
      <c r="Q2568">
        <v>4</v>
      </c>
      <c r="R2568" s="2">
        <v>45106</v>
      </c>
      <c r="S2568">
        <v>1</v>
      </c>
      <c r="T2568">
        <v>3</v>
      </c>
      <c r="U2568">
        <v>5</v>
      </c>
      <c r="V2568" s="1">
        <v>45109</v>
      </c>
      <c r="W2568" t="s">
        <v>68</v>
      </c>
      <c r="X2568" t="s">
        <v>42</v>
      </c>
      <c r="Y2568" t="s">
        <v>52</v>
      </c>
      <c r="Z2568">
        <v>3</v>
      </c>
      <c r="AA2568">
        <v>386.26</v>
      </c>
      <c r="AB2568">
        <v>57</v>
      </c>
    </row>
    <row r="2569" spans="1:28" x14ac:dyDescent="0.2">
      <c r="A2569">
        <v>3116</v>
      </c>
      <c r="B2569" s="1">
        <v>44259</v>
      </c>
      <c r="C2569" t="s">
        <v>106</v>
      </c>
      <c r="D2569" t="s">
        <v>81</v>
      </c>
      <c r="E2569" t="s">
        <v>30</v>
      </c>
      <c r="F2569" t="s">
        <v>46</v>
      </c>
      <c r="G2569" t="s">
        <v>56</v>
      </c>
      <c r="H2569" t="s">
        <v>33</v>
      </c>
      <c r="I2569" t="s">
        <v>34</v>
      </c>
      <c r="J2569" t="s">
        <v>70</v>
      </c>
      <c r="K2569" s="2">
        <v>29883</v>
      </c>
      <c r="L2569" t="s">
        <v>36</v>
      </c>
      <c r="M2569" t="s">
        <v>37</v>
      </c>
      <c r="N2569" t="s">
        <v>49</v>
      </c>
      <c r="O2569" t="s">
        <v>67</v>
      </c>
      <c r="P2569" t="s">
        <v>40</v>
      </c>
      <c r="Q2569">
        <v>5</v>
      </c>
      <c r="R2569" s="2">
        <v>45003</v>
      </c>
      <c r="S2569">
        <v>2</v>
      </c>
      <c r="T2569">
        <v>1</v>
      </c>
      <c r="U2569">
        <v>4</v>
      </c>
      <c r="V2569" s="1">
        <v>44796</v>
      </c>
      <c r="W2569" t="s">
        <v>62</v>
      </c>
      <c r="X2569" t="s">
        <v>51</v>
      </c>
      <c r="Y2569" t="s">
        <v>43</v>
      </c>
      <c r="Z2569">
        <v>4</v>
      </c>
      <c r="AA2569">
        <v>323.12</v>
      </c>
      <c r="AB2569">
        <v>40</v>
      </c>
    </row>
    <row r="2570" spans="1:28" x14ac:dyDescent="0.2">
      <c r="A2570">
        <v>3117</v>
      </c>
      <c r="B2570" s="1">
        <v>43765</v>
      </c>
      <c r="C2570" t="s">
        <v>106</v>
      </c>
      <c r="D2570" t="s">
        <v>54</v>
      </c>
      <c r="E2570" t="s">
        <v>30</v>
      </c>
      <c r="F2570" t="s">
        <v>46</v>
      </c>
      <c r="G2570" t="s">
        <v>32</v>
      </c>
      <c r="H2570" t="s">
        <v>46</v>
      </c>
      <c r="I2570" t="s">
        <v>34</v>
      </c>
      <c r="J2570" t="s">
        <v>58</v>
      </c>
      <c r="K2570" s="2">
        <v>15324</v>
      </c>
      <c r="L2570" t="s">
        <v>36</v>
      </c>
      <c r="M2570" t="s">
        <v>37</v>
      </c>
      <c r="N2570" t="s">
        <v>38</v>
      </c>
      <c r="O2570" t="s">
        <v>67</v>
      </c>
      <c r="P2570" t="s">
        <v>40</v>
      </c>
      <c r="Q2570">
        <v>2</v>
      </c>
      <c r="R2570" s="2">
        <v>44803</v>
      </c>
      <c r="S2570">
        <v>2</v>
      </c>
      <c r="T2570">
        <v>3</v>
      </c>
      <c r="U2570">
        <v>1</v>
      </c>
      <c r="V2570" s="1">
        <v>45032</v>
      </c>
      <c r="W2570" t="s">
        <v>92</v>
      </c>
      <c r="X2570" t="s">
        <v>51</v>
      </c>
      <c r="Y2570" t="s">
        <v>73</v>
      </c>
      <c r="Z2570">
        <v>5</v>
      </c>
      <c r="AA2570">
        <v>461.57</v>
      </c>
      <c r="AB2570">
        <v>78</v>
      </c>
    </row>
    <row r="2571" spans="1:28" x14ac:dyDescent="0.2">
      <c r="A2571">
        <v>3118</v>
      </c>
      <c r="B2571" s="1">
        <v>43493</v>
      </c>
      <c r="C2571" t="s">
        <v>106</v>
      </c>
      <c r="D2571" t="s">
        <v>69</v>
      </c>
      <c r="E2571" t="s">
        <v>108</v>
      </c>
      <c r="F2571" t="s">
        <v>46</v>
      </c>
      <c r="G2571" t="s">
        <v>45</v>
      </c>
      <c r="H2571" t="s">
        <v>55</v>
      </c>
      <c r="I2571" t="s">
        <v>34</v>
      </c>
      <c r="J2571" t="s">
        <v>102</v>
      </c>
      <c r="K2571" s="2">
        <v>20803</v>
      </c>
      <c r="L2571" t="s">
        <v>36</v>
      </c>
      <c r="M2571" t="s">
        <v>37</v>
      </c>
      <c r="N2571" t="s">
        <v>72</v>
      </c>
      <c r="O2571" t="s">
        <v>77</v>
      </c>
      <c r="P2571" t="s">
        <v>40</v>
      </c>
      <c r="Q2571">
        <v>2</v>
      </c>
      <c r="R2571" s="2">
        <v>44859</v>
      </c>
      <c r="S2571">
        <v>3</v>
      </c>
      <c r="T2571">
        <v>2</v>
      </c>
      <c r="U2571">
        <v>3</v>
      </c>
      <c r="V2571" s="1">
        <v>44871</v>
      </c>
      <c r="W2571" t="s">
        <v>68</v>
      </c>
      <c r="X2571" t="s">
        <v>51</v>
      </c>
      <c r="Y2571" t="s">
        <v>52</v>
      </c>
      <c r="Z2571">
        <v>2</v>
      </c>
      <c r="AA2571">
        <v>543.74</v>
      </c>
      <c r="AB2571">
        <v>63</v>
      </c>
    </row>
    <row r="2572" spans="1:28" x14ac:dyDescent="0.2">
      <c r="A2572">
        <v>3119</v>
      </c>
      <c r="B2572" s="1">
        <v>44206</v>
      </c>
      <c r="C2572" t="s">
        <v>28</v>
      </c>
      <c r="D2572" t="s">
        <v>81</v>
      </c>
      <c r="E2572" t="s">
        <v>30</v>
      </c>
      <c r="F2572" t="s">
        <v>46</v>
      </c>
      <c r="G2572" t="s">
        <v>32</v>
      </c>
      <c r="H2572" t="s">
        <v>46</v>
      </c>
      <c r="I2572" t="s">
        <v>34</v>
      </c>
      <c r="J2572" t="s">
        <v>65</v>
      </c>
      <c r="K2572" s="2">
        <v>34125</v>
      </c>
      <c r="L2572" t="s">
        <v>36</v>
      </c>
      <c r="M2572" t="s">
        <v>48</v>
      </c>
      <c r="N2572" t="s">
        <v>60</v>
      </c>
      <c r="O2572" t="s">
        <v>61</v>
      </c>
      <c r="P2572" t="s">
        <v>40</v>
      </c>
      <c r="Q2572">
        <v>5</v>
      </c>
      <c r="R2572" s="2">
        <v>44918</v>
      </c>
      <c r="S2572">
        <v>4</v>
      </c>
      <c r="T2572">
        <v>5</v>
      </c>
      <c r="U2572">
        <v>2</v>
      </c>
      <c r="V2572" s="1">
        <v>44983</v>
      </c>
      <c r="W2572" t="s">
        <v>41</v>
      </c>
      <c r="X2572" t="s">
        <v>51</v>
      </c>
      <c r="Y2572" t="s">
        <v>73</v>
      </c>
      <c r="Z2572">
        <v>1</v>
      </c>
      <c r="AA2572">
        <v>899.2</v>
      </c>
      <c r="AB2572">
        <v>28</v>
      </c>
    </row>
    <row r="2573" spans="1:28" x14ac:dyDescent="0.2">
      <c r="A2573">
        <v>3120</v>
      </c>
      <c r="B2573" s="1">
        <v>44413</v>
      </c>
      <c r="C2573" t="s">
        <v>28</v>
      </c>
      <c r="D2573" t="s">
        <v>54</v>
      </c>
      <c r="E2573" t="s">
        <v>30</v>
      </c>
      <c r="F2573" t="s">
        <v>46</v>
      </c>
      <c r="G2573" t="s">
        <v>45</v>
      </c>
      <c r="H2573" t="s">
        <v>55</v>
      </c>
      <c r="I2573" t="s">
        <v>34</v>
      </c>
      <c r="J2573" t="s">
        <v>47</v>
      </c>
      <c r="K2573" s="2">
        <v>16836</v>
      </c>
      <c r="L2573" t="s">
        <v>36</v>
      </c>
      <c r="M2573" t="s">
        <v>37</v>
      </c>
      <c r="N2573" t="s">
        <v>84</v>
      </c>
      <c r="O2573" t="s">
        <v>39</v>
      </c>
      <c r="P2573" t="s">
        <v>40</v>
      </c>
      <c r="Q2573">
        <v>4</v>
      </c>
      <c r="R2573" s="2">
        <v>45026</v>
      </c>
      <c r="S2573">
        <v>1</v>
      </c>
      <c r="T2573">
        <v>5</v>
      </c>
      <c r="U2573">
        <v>3</v>
      </c>
      <c r="V2573" s="1">
        <v>45112</v>
      </c>
      <c r="W2573" t="s">
        <v>62</v>
      </c>
      <c r="X2573" t="s">
        <v>51</v>
      </c>
      <c r="Y2573" t="s">
        <v>52</v>
      </c>
      <c r="Z2573">
        <v>2</v>
      </c>
      <c r="AA2573">
        <v>144.25</v>
      </c>
      <c r="AB2573">
        <v>75</v>
      </c>
    </row>
    <row r="2574" spans="1:28" x14ac:dyDescent="0.2">
      <c r="A2574">
        <v>3121</v>
      </c>
      <c r="B2574" s="1">
        <v>44872</v>
      </c>
      <c r="C2574" t="s">
        <v>28</v>
      </c>
      <c r="D2574" t="s">
        <v>94</v>
      </c>
      <c r="E2574" t="s">
        <v>30</v>
      </c>
      <c r="F2574" t="s">
        <v>46</v>
      </c>
      <c r="G2574" t="s">
        <v>32</v>
      </c>
      <c r="H2574" t="s">
        <v>55</v>
      </c>
      <c r="I2574" t="s">
        <v>34</v>
      </c>
      <c r="J2574" t="s">
        <v>96</v>
      </c>
      <c r="K2574" s="2">
        <v>18188</v>
      </c>
      <c r="L2574" t="s">
        <v>36</v>
      </c>
      <c r="M2574" t="s">
        <v>37</v>
      </c>
      <c r="N2574" t="s">
        <v>72</v>
      </c>
      <c r="O2574" t="s">
        <v>61</v>
      </c>
      <c r="P2574" t="s">
        <v>40</v>
      </c>
      <c r="Q2574">
        <v>4</v>
      </c>
      <c r="R2574" s="2">
        <v>45029</v>
      </c>
      <c r="S2574">
        <v>4</v>
      </c>
      <c r="T2574">
        <v>1</v>
      </c>
      <c r="U2574">
        <v>3</v>
      </c>
      <c r="V2574" s="1">
        <v>45038</v>
      </c>
      <c r="W2574" t="s">
        <v>41</v>
      </c>
      <c r="X2574" t="s">
        <v>51</v>
      </c>
      <c r="Y2574" t="s">
        <v>43</v>
      </c>
      <c r="Z2574">
        <v>1</v>
      </c>
      <c r="AA2574">
        <v>854.54</v>
      </c>
      <c r="AB2574">
        <v>73</v>
      </c>
    </row>
    <row r="2575" spans="1:28" x14ac:dyDescent="0.2">
      <c r="A2575">
        <v>3123</v>
      </c>
      <c r="B2575" s="1">
        <v>44389</v>
      </c>
      <c r="C2575" t="s">
        <v>28</v>
      </c>
      <c r="D2575" t="s">
        <v>64</v>
      </c>
      <c r="E2575" t="s">
        <v>30</v>
      </c>
      <c r="F2575" t="s">
        <v>55</v>
      </c>
      <c r="G2575" t="s">
        <v>32</v>
      </c>
      <c r="H2575" t="s">
        <v>46</v>
      </c>
      <c r="I2575" t="s">
        <v>34</v>
      </c>
      <c r="J2575" t="s">
        <v>89</v>
      </c>
      <c r="K2575" s="2">
        <v>18751</v>
      </c>
      <c r="L2575" t="s">
        <v>36</v>
      </c>
      <c r="M2575" t="s">
        <v>48</v>
      </c>
      <c r="N2575" t="s">
        <v>49</v>
      </c>
      <c r="O2575" t="s">
        <v>67</v>
      </c>
      <c r="P2575" t="s">
        <v>40</v>
      </c>
      <c r="Q2575">
        <v>4</v>
      </c>
      <c r="R2575" s="2">
        <v>45119</v>
      </c>
      <c r="S2575">
        <v>5</v>
      </c>
      <c r="T2575">
        <v>2</v>
      </c>
      <c r="U2575">
        <v>2</v>
      </c>
      <c r="V2575" s="1">
        <v>44927</v>
      </c>
      <c r="W2575" t="s">
        <v>92</v>
      </c>
      <c r="X2575" t="s">
        <v>51</v>
      </c>
      <c r="Y2575" t="s">
        <v>43</v>
      </c>
      <c r="Z2575">
        <v>4</v>
      </c>
      <c r="AA2575">
        <v>479</v>
      </c>
      <c r="AB2575">
        <v>70</v>
      </c>
    </row>
    <row r="2576" spans="1:28" x14ac:dyDescent="0.2">
      <c r="A2576">
        <v>3126</v>
      </c>
      <c r="B2576" s="1">
        <v>44678</v>
      </c>
      <c r="C2576" t="s">
        <v>28</v>
      </c>
      <c r="D2576" t="s">
        <v>74</v>
      </c>
      <c r="E2576" t="s">
        <v>30</v>
      </c>
      <c r="F2576" t="s">
        <v>31</v>
      </c>
      <c r="G2576" t="s">
        <v>32</v>
      </c>
      <c r="H2576" t="s">
        <v>55</v>
      </c>
      <c r="I2576" t="s">
        <v>34</v>
      </c>
      <c r="J2576" t="s">
        <v>96</v>
      </c>
      <c r="K2576" s="2">
        <v>28673</v>
      </c>
      <c r="L2576" t="s">
        <v>36</v>
      </c>
      <c r="M2576" t="s">
        <v>48</v>
      </c>
      <c r="N2576" t="s">
        <v>72</v>
      </c>
      <c r="O2576" t="s">
        <v>77</v>
      </c>
      <c r="P2576" t="s">
        <v>40</v>
      </c>
      <c r="Q2576">
        <v>2</v>
      </c>
      <c r="R2576" s="2">
        <v>44792</v>
      </c>
      <c r="S2576">
        <v>4</v>
      </c>
      <c r="T2576">
        <v>5</v>
      </c>
      <c r="U2576">
        <v>1</v>
      </c>
      <c r="V2576" s="1">
        <v>45128</v>
      </c>
      <c r="W2576" t="s">
        <v>92</v>
      </c>
      <c r="X2576" t="s">
        <v>51</v>
      </c>
      <c r="Y2576" t="s">
        <v>73</v>
      </c>
      <c r="Z2576">
        <v>4</v>
      </c>
      <c r="AA2576">
        <v>667.54</v>
      </c>
      <c r="AB2576">
        <v>44</v>
      </c>
    </row>
    <row r="2577" spans="1:28" x14ac:dyDescent="0.2">
      <c r="A2577">
        <v>3127</v>
      </c>
      <c r="B2577" s="1">
        <v>44726</v>
      </c>
      <c r="C2577" t="s">
        <v>28</v>
      </c>
      <c r="D2577" t="s">
        <v>81</v>
      </c>
      <c r="E2577" t="s">
        <v>30</v>
      </c>
      <c r="F2577" t="s">
        <v>46</v>
      </c>
      <c r="G2577" t="s">
        <v>45</v>
      </c>
      <c r="H2577" t="s">
        <v>46</v>
      </c>
      <c r="I2577" t="s">
        <v>34</v>
      </c>
      <c r="J2577" t="s">
        <v>96</v>
      </c>
      <c r="K2577" s="2">
        <v>33537</v>
      </c>
      <c r="L2577" t="s">
        <v>36</v>
      </c>
      <c r="M2577" t="s">
        <v>48</v>
      </c>
      <c r="N2577" t="s">
        <v>38</v>
      </c>
      <c r="O2577" t="s">
        <v>67</v>
      </c>
      <c r="P2577" t="s">
        <v>40</v>
      </c>
      <c r="Q2577">
        <v>2</v>
      </c>
      <c r="R2577" s="2">
        <v>45025</v>
      </c>
      <c r="S2577">
        <v>4</v>
      </c>
      <c r="T2577">
        <v>5</v>
      </c>
      <c r="U2577">
        <v>5</v>
      </c>
      <c r="V2577" s="1">
        <v>44976</v>
      </c>
      <c r="W2577" t="s">
        <v>62</v>
      </c>
      <c r="X2577" t="s">
        <v>51</v>
      </c>
      <c r="Y2577" t="s">
        <v>43</v>
      </c>
      <c r="Z2577">
        <v>5</v>
      </c>
      <c r="AA2577">
        <v>309.74</v>
      </c>
      <c r="AB2577">
        <v>31</v>
      </c>
    </row>
    <row r="2578" spans="1:28" x14ac:dyDescent="0.2">
      <c r="A2578">
        <v>3128</v>
      </c>
      <c r="B2578" s="1">
        <v>43478</v>
      </c>
      <c r="C2578" t="s">
        <v>28</v>
      </c>
      <c r="D2578" t="s">
        <v>54</v>
      </c>
      <c r="E2578" t="s">
        <v>30</v>
      </c>
      <c r="F2578" t="s">
        <v>46</v>
      </c>
      <c r="G2578" t="s">
        <v>45</v>
      </c>
      <c r="H2578" t="s">
        <v>33</v>
      </c>
      <c r="I2578" t="s">
        <v>34</v>
      </c>
      <c r="J2578" t="s">
        <v>70</v>
      </c>
      <c r="K2578" s="2">
        <v>27134</v>
      </c>
      <c r="L2578" t="s">
        <v>36</v>
      </c>
      <c r="M2578" t="s">
        <v>37</v>
      </c>
      <c r="N2578" t="s">
        <v>72</v>
      </c>
      <c r="O2578" t="s">
        <v>39</v>
      </c>
      <c r="P2578" t="s">
        <v>40</v>
      </c>
      <c r="Q2578">
        <v>2</v>
      </c>
      <c r="R2578" s="2">
        <v>45041</v>
      </c>
      <c r="S2578">
        <v>3</v>
      </c>
      <c r="T2578">
        <v>5</v>
      </c>
      <c r="U2578">
        <v>4</v>
      </c>
      <c r="V2578" s="1">
        <v>44985</v>
      </c>
      <c r="W2578" t="s">
        <v>92</v>
      </c>
      <c r="X2578" t="s">
        <v>42</v>
      </c>
      <c r="Y2578" t="s">
        <v>63</v>
      </c>
      <c r="Z2578">
        <v>1</v>
      </c>
      <c r="AA2578">
        <v>830.63</v>
      </c>
      <c r="AB2578">
        <v>45</v>
      </c>
    </row>
    <row r="2579" spans="1:28" x14ac:dyDescent="0.2">
      <c r="A2579">
        <v>3129</v>
      </c>
      <c r="B2579" s="1">
        <v>43637</v>
      </c>
      <c r="C2579" t="s">
        <v>28</v>
      </c>
      <c r="D2579" t="s">
        <v>69</v>
      </c>
      <c r="E2579" t="s">
        <v>30</v>
      </c>
      <c r="F2579" t="s">
        <v>55</v>
      </c>
      <c r="G2579" t="s">
        <v>45</v>
      </c>
      <c r="H2579" t="s">
        <v>46</v>
      </c>
      <c r="I2579" t="s">
        <v>34</v>
      </c>
      <c r="J2579" t="s">
        <v>111</v>
      </c>
      <c r="K2579" s="2">
        <v>31239</v>
      </c>
      <c r="L2579" t="s">
        <v>36</v>
      </c>
      <c r="M2579" t="s">
        <v>37</v>
      </c>
      <c r="N2579" t="s">
        <v>72</v>
      </c>
      <c r="O2579" t="s">
        <v>39</v>
      </c>
      <c r="P2579" t="s">
        <v>40</v>
      </c>
      <c r="Q2579">
        <v>5</v>
      </c>
      <c r="R2579" s="2">
        <v>45016</v>
      </c>
      <c r="S2579">
        <v>4</v>
      </c>
      <c r="T2579">
        <v>2</v>
      </c>
      <c r="U2579">
        <v>4</v>
      </c>
      <c r="V2579" s="1">
        <v>45088</v>
      </c>
      <c r="W2579" t="s">
        <v>68</v>
      </c>
      <c r="X2579" t="s">
        <v>42</v>
      </c>
      <c r="Y2579" t="s">
        <v>52</v>
      </c>
      <c r="Z2579">
        <v>4</v>
      </c>
      <c r="AA2579">
        <v>277.31</v>
      </c>
      <c r="AB2579">
        <v>34</v>
      </c>
    </row>
    <row r="2580" spans="1:28" x14ac:dyDescent="0.2">
      <c r="A2580">
        <v>3130</v>
      </c>
      <c r="B2580" s="1">
        <v>44053</v>
      </c>
      <c r="C2580" t="s">
        <v>28</v>
      </c>
      <c r="D2580" t="s">
        <v>29</v>
      </c>
      <c r="E2580" t="s">
        <v>30</v>
      </c>
      <c r="F2580" t="s">
        <v>46</v>
      </c>
      <c r="G2580" t="s">
        <v>45</v>
      </c>
      <c r="H2580" t="s">
        <v>33</v>
      </c>
      <c r="I2580" t="s">
        <v>34</v>
      </c>
      <c r="J2580" t="s">
        <v>101</v>
      </c>
      <c r="K2580" s="2">
        <v>29715</v>
      </c>
      <c r="L2580" t="s">
        <v>36</v>
      </c>
      <c r="M2580" t="s">
        <v>37</v>
      </c>
      <c r="N2580" t="s">
        <v>72</v>
      </c>
      <c r="O2580" t="s">
        <v>39</v>
      </c>
      <c r="P2580" t="s">
        <v>40</v>
      </c>
      <c r="Q2580">
        <v>5</v>
      </c>
      <c r="R2580" s="2">
        <v>44923</v>
      </c>
      <c r="S2580">
        <v>4</v>
      </c>
      <c r="T2580">
        <v>3</v>
      </c>
      <c r="U2580">
        <v>3</v>
      </c>
      <c r="V2580" s="1">
        <v>45006</v>
      </c>
      <c r="W2580" t="s">
        <v>50</v>
      </c>
      <c r="X2580" t="s">
        <v>42</v>
      </c>
      <c r="Y2580" t="s">
        <v>52</v>
      </c>
      <c r="Z2580">
        <v>3</v>
      </c>
      <c r="AA2580">
        <v>501.5</v>
      </c>
      <c r="AB2580">
        <v>39</v>
      </c>
    </row>
    <row r="2581" spans="1:28" x14ac:dyDescent="0.2">
      <c r="A2581">
        <v>3131</v>
      </c>
      <c r="B2581" s="1">
        <v>44299</v>
      </c>
      <c r="C2581" t="s">
        <v>28</v>
      </c>
      <c r="D2581" t="s">
        <v>85</v>
      </c>
      <c r="E2581" t="s">
        <v>30</v>
      </c>
      <c r="F2581" t="s">
        <v>31</v>
      </c>
      <c r="G2581" t="s">
        <v>32</v>
      </c>
      <c r="H2581" t="s">
        <v>33</v>
      </c>
      <c r="I2581" t="s">
        <v>34</v>
      </c>
      <c r="J2581" t="s">
        <v>101</v>
      </c>
      <c r="K2581" s="2">
        <v>19752</v>
      </c>
      <c r="L2581" t="s">
        <v>36</v>
      </c>
      <c r="M2581" t="s">
        <v>37</v>
      </c>
      <c r="N2581" t="s">
        <v>49</v>
      </c>
      <c r="O2581" t="s">
        <v>61</v>
      </c>
      <c r="P2581" t="s">
        <v>40</v>
      </c>
      <c r="Q2581">
        <v>2</v>
      </c>
      <c r="R2581" s="2">
        <v>44780</v>
      </c>
      <c r="S2581">
        <v>3</v>
      </c>
      <c r="T2581">
        <v>2</v>
      </c>
      <c r="U2581">
        <v>5</v>
      </c>
      <c r="V2581" s="1">
        <v>44941</v>
      </c>
      <c r="W2581" t="s">
        <v>41</v>
      </c>
      <c r="X2581" t="s">
        <v>42</v>
      </c>
      <c r="Y2581" t="s">
        <v>63</v>
      </c>
      <c r="Z2581">
        <v>3</v>
      </c>
      <c r="AA2581">
        <v>937.85</v>
      </c>
      <c r="AB2581">
        <v>67</v>
      </c>
    </row>
    <row r="2582" spans="1:28" x14ac:dyDescent="0.2">
      <c r="A2582">
        <v>3132</v>
      </c>
      <c r="B2582" s="1">
        <v>43948</v>
      </c>
      <c r="C2582" t="s">
        <v>28</v>
      </c>
      <c r="D2582" t="s">
        <v>44</v>
      </c>
      <c r="E2582" t="s">
        <v>30</v>
      </c>
      <c r="F2582" t="s">
        <v>55</v>
      </c>
      <c r="G2582" t="s">
        <v>45</v>
      </c>
      <c r="H2582" t="s">
        <v>55</v>
      </c>
      <c r="I2582" t="s">
        <v>34</v>
      </c>
      <c r="J2582" t="s">
        <v>70</v>
      </c>
      <c r="K2582" s="2">
        <v>29118</v>
      </c>
      <c r="L2582" t="s">
        <v>36</v>
      </c>
      <c r="M2582" t="s">
        <v>37</v>
      </c>
      <c r="N2582" t="s">
        <v>84</v>
      </c>
      <c r="O2582" t="s">
        <v>77</v>
      </c>
      <c r="P2582" t="s">
        <v>40</v>
      </c>
      <c r="Q2582">
        <v>4</v>
      </c>
      <c r="R2582" s="2">
        <v>45096</v>
      </c>
      <c r="S2582">
        <v>2</v>
      </c>
      <c r="T2582">
        <v>2</v>
      </c>
      <c r="U2582">
        <v>1</v>
      </c>
      <c r="V2582" s="1">
        <v>45001</v>
      </c>
      <c r="W2582" t="s">
        <v>92</v>
      </c>
      <c r="X2582" t="s">
        <v>42</v>
      </c>
      <c r="Y2582" t="s">
        <v>52</v>
      </c>
      <c r="Z2582">
        <v>3</v>
      </c>
      <c r="AA2582">
        <v>134.91999999999999</v>
      </c>
      <c r="AB2582">
        <v>41</v>
      </c>
    </row>
    <row r="2583" spans="1:28" x14ac:dyDescent="0.2">
      <c r="A2583">
        <v>3133</v>
      </c>
      <c r="B2583" s="1">
        <v>44617</v>
      </c>
      <c r="C2583" t="s">
        <v>28</v>
      </c>
      <c r="D2583" t="s">
        <v>87</v>
      </c>
      <c r="E2583" t="s">
        <v>108</v>
      </c>
      <c r="F2583" t="s">
        <v>31</v>
      </c>
      <c r="G2583" t="s">
        <v>32</v>
      </c>
      <c r="H2583" t="s">
        <v>46</v>
      </c>
      <c r="I2583" t="s">
        <v>34</v>
      </c>
      <c r="J2583" t="s">
        <v>96</v>
      </c>
      <c r="K2583" s="2">
        <v>21481</v>
      </c>
      <c r="L2583" t="s">
        <v>36</v>
      </c>
      <c r="M2583" t="s">
        <v>48</v>
      </c>
      <c r="N2583" t="s">
        <v>38</v>
      </c>
      <c r="O2583" t="s">
        <v>67</v>
      </c>
      <c r="P2583" t="s">
        <v>40</v>
      </c>
      <c r="Q2583">
        <v>5</v>
      </c>
      <c r="R2583" s="2">
        <v>44825</v>
      </c>
      <c r="S2583">
        <v>1</v>
      </c>
      <c r="T2583">
        <v>5</v>
      </c>
      <c r="U2583">
        <v>1</v>
      </c>
      <c r="V2583" s="1">
        <v>44844</v>
      </c>
      <c r="W2583" t="s">
        <v>92</v>
      </c>
      <c r="X2583" t="s">
        <v>51</v>
      </c>
      <c r="Y2583" t="s">
        <v>52</v>
      </c>
      <c r="Z2583">
        <v>3</v>
      </c>
      <c r="AA2583">
        <v>946.99</v>
      </c>
      <c r="AB2583">
        <v>64</v>
      </c>
    </row>
    <row r="2584" spans="1:28" x14ac:dyDescent="0.2">
      <c r="A2584">
        <v>3134</v>
      </c>
      <c r="B2584" s="1">
        <v>43440</v>
      </c>
      <c r="C2584" t="s">
        <v>106</v>
      </c>
      <c r="D2584" t="s">
        <v>64</v>
      </c>
      <c r="E2584" t="s">
        <v>30</v>
      </c>
      <c r="F2584" t="s">
        <v>46</v>
      </c>
      <c r="G2584" t="s">
        <v>32</v>
      </c>
      <c r="H2584" t="s">
        <v>55</v>
      </c>
      <c r="I2584" t="s">
        <v>34</v>
      </c>
      <c r="J2584" t="s">
        <v>97</v>
      </c>
      <c r="K2584" s="2">
        <v>17272</v>
      </c>
      <c r="L2584" t="s">
        <v>36</v>
      </c>
      <c r="M2584" t="s">
        <v>37</v>
      </c>
      <c r="N2584" t="s">
        <v>49</v>
      </c>
      <c r="O2584" t="s">
        <v>67</v>
      </c>
      <c r="P2584" t="s">
        <v>78</v>
      </c>
      <c r="Q2584">
        <v>5</v>
      </c>
      <c r="R2584" s="2">
        <v>44885</v>
      </c>
      <c r="S2584">
        <v>3</v>
      </c>
      <c r="T2584">
        <v>2</v>
      </c>
      <c r="U2584">
        <v>1</v>
      </c>
      <c r="V2584" s="1">
        <v>45003</v>
      </c>
      <c r="W2584" t="s">
        <v>68</v>
      </c>
      <c r="X2584" t="s">
        <v>51</v>
      </c>
      <c r="Y2584" t="s">
        <v>63</v>
      </c>
      <c r="Z2584">
        <v>4</v>
      </c>
      <c r="AA2584">
        <v>945.68</v>
      </c>
      <c r="AB2584">
        <v>71</v>
      </c>
    </row>
    <row r="2585" spans="1:28" x14ac:dyDescent="0.2">
      <c r="A2585">
        <v>3135</v>
      </c>
      <c r="B2585" s="1">
        <v>43902</v>
      </c>
      <c r="C2585" t="s">
        <v>106</v>
      </c>
      <c r="D2585" t="s">
        <v>69</v>
      </c>
      <c r="E2585" t="s">
        <v>30</v>
      </c>
      <c r="F2585" t="s">
        <v>46</v>
      </c>
      <c r="G2585" t="s">
        <v>45</v>
      </c>
      <c r="H2585" t="s">
        <v>33</v>
      </c>
      <c r="I2585" t="s">
        <v>34</v>
      </c>
      <c r="J2585" t="s">
        <v>96</v>
      </c>
      <c r="K2585" s="2">
        <v>34084</v>
      </c>
      <c r="L2585" t="s">
        <v>36</v>
      </c>
      <c r="M2585" t="s">
        <v>37</v>
      </c>
      <c r="N2585" t="s">
        <v>38</v>
      </c>
      <c r="O2585" t="s">
        <v>61</v>
      </c>
      <c r="P2585" t="s">
        <v>40</v>
      </c>
      <c r="Q2585">
        <v>4</v>
      </c>
      <c r="R2585" s="2">
        <v>44858</v>
      </c>
      <c r="S2585">
        <v>1</v>
      </c>
      <c r="T2585">
        <v>2</v>
      </c>
      <c r="U2585">
        <v>1</v>
      </c>
      <c r="V2585" s="1">
        <v>44954</v>
      </c>
      <c r="W2585" t="s">
        <v>92</v>
      </c>
      <c r="X2585" t="s">
        <v>42</v>
      </c>
      <c r="Y2585" t="s">
        <v>73</v>
      </c>
      <c r="Z2585">
        <v>5</v>
      </c>
      <c r="AA2585">
        <v>142.21</v>
      </c>
      <c r="AB2585">
        <v>27</v>
      </c>
    </row>
    <row r="2586" spans="1:28" x14ac:dyDescent="0.2">
      <c r="A2586">
        <v>3136</v>
      </c>
      <c r="B2586" s="1">
        <v>44881</v>
      </c>
      <c r="C2586" t="s">
        <v>106</v>
      </c>
      <c r="D2586" t="s">
        <v>29</v>
      </c>
      <c r="E2586" t="s">
        <v>30</v>
      </c>
      <c r="F2586" t="s">
        <v>55</v>
      </c>
      <c r="G2586" t="s">
        <v>56</v>
      </c>
      <c r="H2586" t="s">
        <v>55</v>
      </c>
      <c r="I2586" t="s">
        <v>34</v>
      </c>
      <c r="J2586" t="s">
        <v>96</v>
      </c>
      <c r="K2586" s="2">
        <v>35567</v>
      </c>
      <c r="L2586" t="s">
        <v>36</v>
      </c>
      <c r="M2586" t="s">
        <v>37</v>
      </c>
      <c r="N2586" t="s">
        <v>49</v>
      </c>
      <c r="O2586" t="s">
        <v>67</v>
      </c>
      <c r="P2586" t="s">
        <v>40</v>
      </c>
      <c r="Q2586">
        <v>4</v>
      </c>
      <c r="R2586" s="2">
        <v>45098</v>
      </c>
      <c r="S2586">
        <v>5</v>
      </c>
      <c r="T2586">
        <v>3</v>
      </c>
      <c r="U2586">
        <v>5</v>
      </c>
      <c r="V2586" s="1">
        <v>44887</v>
      </c>
      <c r="W2586" t="s">
        <v>62</v>
      </c>
      <c r="X2586" t="s">
        <v>51</v>
      </c>
      <c r="Y2586" t="s">
        <v>43</v>
      </c>
      <c r="Z2586">
        <v>2</v>
      </c>
      <c r="AA2586">
        <v>386.95</v>
      </c>
      <c r="AB2586">
        <v>25</v>
      </c>
    </row>
    <row r="2587" spans="1:28" x14ac:dyDescent="0.2">
      <c r="A2587">
        <v>3137</v>
      </c>
      <c r="B2587" s="1">
        <v>43443</v>
      </c>
      <c r="C2587" t="s">
        <v>106</v>
      </c>
      <c r="D2587" t="s">
        <v>44</v>
      </c>
      <c r="E2587" t="s">
        <v>108</v>
      </c>
      <c r="F2587" t="s">
        <v>31</v>
      </c>
      <c r="G2587" t="s">
        <v>56</v>
      </c>
      <c r="H2587" t="s">
        <v>33</v>
      </c>
      <c r="I2587" t="s">
        <v>34</v>
      </c>
      <c r="J2587" t="s">
        <v>70</v>
      </c>
      <c r="K2587" s="2">
        <v>34853</v>
      </c>
      <c r="L2587" t="s">
        <v>36</v>
      </c>
      <c r="M2587" t="s">
        <v>37</v>
      </c>
      <c r="N2587" t="s">
        <v>60</v>
      </c>
      <c r="O2587" t="s">
        <v>61</v>
      </c>
      <c r="P2587" t="s">
        <v>40</v>
      </c>
      <c r="Q2587">
        <v>2</v>
      </c>
      <c r="R2587" s="2">
        <v>45008</v>
      </c>
      <c r="S2587">
        <v>1</v>
      </c>
      <c r="T2587">
        <v>2</v>
      </c>
      <c r="U2587">
        <v>4</v>
      </c>
      <c r="V2587" s="1">
        <v>45088</v>
      </c>
      <c r="W2587" t="s">
        <v>68</v>
      </c>
      <c r="X2587" t="s">
        <v>51</v>
      </c>
      <c r="Y2587" t="s">
        <v>73</v>
      </c>
      <c r="Z2587">
        <v>4</v>
      </c>
      <c r="AA2587">
        <v>641.67999999999995</v>
      </c>
      <c r="AB2587">
        <v>23</v>
      </c>
    </row>
    <row r="2588" spans="1:28" x14ac:dyDescent="0.2">
      <c r="A2588">
        <v>3138</v>
      </c>
      <c r="B2588" s="1">
        <v>44920</v>
      </c>
      <c r="C2588" t="s">
        <v>106</v>
      </c>
      <c r="D2588" t="s">
        <v>87</v>
      </c>
      <c r="E2588" t="s">
        <v>108</v>
      </c>
      <c r="F2588" t="s">
        <v>31</v>
      </c>
      <c r="G2588" t="s">
        <v>45</v>
      </c>
      <c r="H2588" t="s">
        <v>55</v>
      </c>
      <c r="I2588" t="s">
        <v>34</v>
      </c>
      <c r="J2588" t="s">
        <v>70</v>
      </c>
      <c r="K2588" s="2">
        <v>31874</v>
      </c>
      <c r="L2588" t="s">
        <v>36</v>
      </c>
      <c r="M2588" t="s">
        <v>37</v>
      </c>
      <c r="N2588" t="s">
        <v>72</v>
      </c>
      <c r="O2588" t="s">
        <v>61</v>
      </c>
      <c r="P2588" t="s">
        <v>40</v>
      </c>
      <c r="Q2588">
        <v>4</v>
      </c>
      <c r="R2588" s="2">
        <v>45117</v>
      </c>
      <c r="S2588">
        <v>5</v>
      </c>
      <c r="T2588">
        <v>3</v>
      </c>
      <c r="U2588">
        <v>1</v>
      </c>
      <c r="V2588" s="1">
        <v>45133</v>
      </c>
      <c r="W2588" t="s">
        <v>62</v>
      </c>
      <c r="X2588" t="s">
        <v>42</v>
      </c>
      <c r="Y2588" t="s">
        <v>43</v>
      </c>
      <c r="Z2588">
        <v>2</v>
      </c>
      <c r="AA2588">
        <v>295.67</v>
      </c>
      <c r="AB2588">
        <v>35</v>
      </c>
    </row>
    <row r="2589" spans="1:28" x14ac:dyDescent="0.2">
      <c r="A2589">
        <v>3139</v>
      </c>
      <c r="B2589" s="1">
        <v>44519</v>
      </c>
      <c r="C2589" t="s">
        <v>106</v>
      </c>
      <c r="D2589" t="s">
        <v>81</v>
      </c>
      <c r="E2589" t="s">
        <v>30</v>
      </c>
      <c r="F2589" t="s">
        <v>46</v>
      </c>
      <c r="G2589" t="s">
        <v>45</v>
      </c>
      <c r="H2589" t="s">
        <v>33</v>
      </c>
      <c r="I2589" t="s">
        <v>34</v>
      </c>
      <c r="J2589" t="s">
        <v>70</v>
      </c>
      <c r="K2589" s="2">
        <v>26156</v>
      </c>
      <c r="L2589" t="s">
        <v>36</v>
      </c>
      <c r="M2589" t="s">
        <v>37</v>
      </c>
      <c r="N2589" t="s">
        <v>84</v>
      </c>
      <c r="O2589" t="s">
        <v>61</v>
      </c>
      <c r="P2589" t="s">
        <v>40</v>
      </c>
      <c r="Q2589">
        <v>4</v>
      </c>
      <c r="R2589" s="2">
        <v>44894</v>
      </c>
      <c r="S2589">
        <v>3</v>
      </c>
      <c r="T2589">
        <v>2</v>
      </c>
      <c r="U2589">
        <v>1</v>
      </c>
      <c r="V2589" s="1">
        <v>45039</v>
      </c>
      <c r="W2589" t="s">
        <v>92</v>
      </c>
      <c r="X2589" t="s">
        <v>51</v>
      </c>
      <c r="Y2589" t="s">
        <v>63</v>
      </c>
      <c r="Z2589">
        <v>4</v>
      </c>
      <c r="AA2589">
        <v>649.64</v>
      </c>
      <c r="AB2589">
        <v>50</v>
      </c>
    </row>
    <row r="2590" spans="1:28" x14ac:dyDescent="0.2">
      <c r="A2590">
        <v>3140</v>
      </c>
      <c r="B2590" s="1">
        <v>44621</v>
      </c>
      <c r="C2590" t="s">
        <v>28</v>
      </c>
      <c r="D2590" t="s">
        <v>54</v>
      </c>
      <c r="E2590" t="s">
        <v>30</v>
      </c>
      <c r="F2590" t="s">
        <v>31</v>
      </c>
      <c r="G2590" t="s">
        <v>32</v>
      </c>
      <c r="H2590" t="s">
        <v>55</v>
      </c>
      <c r="I2590" t="s">
        <v>34</v>
      </c>
      <c r="J2590" t="s">
        <v>102</v>
      </c>
      <c r="K2590" s="2">
        <v>32965</v>
      </c>
      <c r="L2590" t="s">
        <v>36</v>
      </c>
      <c r="M2590" t="s">
        <v>48</v>
      </c>
      <c r="N2590" t="s">
        <v>49</v>
      </c>
      <c r="O2590" t="s">
        <v>39</v>
      </c>
      <c r="P2590" t="s">
        <v>40</v>
      </c>
      <c r="Q2590">
        <v>5</v>
      </c>
      <c r="R2590" s="2">
        <v>45053</v>
      </c>
      <c r="S2590">
        <v>1</v>
      </c>
      <c r="T2590">
        <v>1</v>
      </c>
      <c r="U2590">
        <v>1</v>
      </c>
      <c r="V2590" s="1">
        <v>44907</v>
      </c>
      <c r="W2590" t="s">
        <v>68</v>
      </c>
      <c r="X2590" t="s">
        <v>51</v>
      </c>
      <c r="Y2590" t="s">
        <v>43</v>
      </c>
      <c r="Z2590">
        <v>1</v>
      </c>
      <c r="AA2590">
        <v>402.77</v>
      </c>
      <c r="AB2590">
        <v>32</v>
      </c>
    </row>
    <row r="2591" spans="1:28" x14ac:dyDescent="0.2">
      <c r="A2591">
        <v>3141</v>
      </c>
      <c r="B2591" s="1">
        <v>44272</v>
      </c>
      <c r="C2591" t="s">
        <v>28</v>
      </c>
      <c r="D2591" t="s">
        <v>69</v>
      </c>
      <c r="E2591" t="s">
        <v>30</v>
      </c>
      <c r="F2591" t="s">
        <v>55</v>
      </c>
      <c r="G2591" t="s">
        <v>56</v>
      </c>
      <c r="H2591" t="s">
        <v>33</v>
      </c>
      <c r="I2591" t="s">
        <v>34</v>
      </c>
      <c r="J2591" t="s">
        <v>70</v>
      </c>
      <c r="K2591" s="2">
        <v>25759</v>
      </c>
      <c r="L2591" t="s">
        <v>36</v>
      </c>
      <c r="M2591" t="s">
        <v>48</v>
      </c>
      <c r="N2591" t="s">
        <v>72</v>
      </c>
      <c r="O2591" t="s">
        <v>67</v>
      </c>
      <c r="P2591" t="s">
        <v>78</v>
      </c>
      <c r="Q2591">
        <v>2</v>
      </c>
      <c r="R2591" s="2">
        <v>44973</v>
      </c>
      <c r="S2591">
        <v>3</v>
      </c>
      <c r="T2591">
        <v>1</v>
      </c>
      <c r="U2591">
        <v>4</v>
      </c>
      <c r="V2591" s="1">
        <v>45017</v>
      </c>
      <c r="W2591" t="s">
        <v>41</v>
      </c>
      <c r="X2591" t="s">
        <v>42</v>
      </c>
      <c r="Y2591" t="s">
        <v>52</v>
      </c>
      <c r="Z2591">
        <v>3</v>
      </c>
      <c r="AA2591">
        <v>311.92</v>
      </c>
      <c r="AB2591">
        <v>51</v>
      </c>
    </row>
    <row r="2592" spans="1:28" x14ac:dyDescent="0.2">
      <c r="A2592">
        <v>3142</v>
      </c>
      <c r="B2592" s="1">
        <v>44237</v>
      </c>
      <c r="C2592" t="s">
        <v>28</v>
      </c>
      <c r="D2592" t="s">
        <v>29</v>
      </c>
      <c r="E2592" t="s">
        <v>30</v>
      </c>
      <c r="F2592" t="s">
        <v>55</v>
      </c>
      <c r="G2592" t="s">
        <v>56</v>
      </c>
      <c r="H2592" t="s">
        <v>46</v>
      </c>
      <c r="I2592" t="s">
        <v>34</v>
      </c>
      <c r="J2592" t="s">
        <v>65</v>
      </c>
      <c r="K2592" s="2">
        <v>18099</v>
      </c>
      <c r="L2592" t="s">
        <v>36</v>
      </c>
      <c r="M2592" t="s">
        <v>37</v>
      </c>
      <c r="N2592" t="s">
        <v>38</v>
      </c>
      <c r="O2592" t="s">
        <v>61</v>
      </c>
      <c r="P2592" t="s">
        <v>40</v>
      </c>
      <c r="Q2592">
        <v>4</v>
      </c>
      <c r="R2592" s="2">
        <v>44783</v>
      </c>
      <c r="S2592">
        <v>4</v>
      </c>
      <c r="T2592">
        <v>5</v>
      </c>
      <c r="U2592">
        <v>1</v>
      </c>
      <c r="V2592" s="1">
        <v>44935</v>
      </c>
      <c r="W2592" t="s">
        <v>92</v>
      </c>
      <c r="X2592" t="s">
        <v>51</v>
      </c>
      <c r="Y2592" t="s">
        <v>52</v>
      </c>
      <c r="Z2592">
        <v>5</v>
      </c>
      <c r="AA2592">
        <v>730.99</v>
      </c>
      <c r="AB2592">
        <v>72</v>
      </c>
    </row>
    <row r="2593" spans="1:28" x14ac:dyDescent="0.2">
      <c r="A2593">
        <v>3143</v>
      </c>
      <c r="B2593" s="1">
        <v>43371</v>
      </c>
      <c r="C2593" t="s">
        <v>28</v>
      </c>
      <c r="D2593" t="s">
        <v>85</v>
      </c>
      <c r="E2593" t="s">
        <v>30</v>
      </c>
      <c r="F2593" t="s">
        <v>55</v>
      </c>
      <c r="G2593" t="s">
        <v>45</v>
      </c>
      <c r="H2593" t="s">
        <v>33</v>
      </c>
      <c r="I2593" t="s">
        <v>34</v>
      </c>
      <c r="J2593" t="s">
        <v>47</v>
      </c>
      <c r="K2593" s="2">
        <v>17343</v>
      </c>
      <c r="L2593" t="s">
        <v>36</v>
      </c>
      <c r="M2593" t="s">
        <v>37</v>
      </c>
      <c r="N2593" t="s">
        <v>72</v>
      </c>
      <c r="O2593" t="s">
        <v>39</v>
      </c>
      <c r="P2593" t="s">
        <v>40</v>
      </c>
      <c r="Q2593">
        <v>2</v>
      </c>
      <c r="R2593" s="2">
        <v>45138</v>
      </c>
      <c r="S2593">
        <v>1</v>
      </c>
      <c r="T2593">
        <v>4</v>
      </c>
      <c r="U2593">
        <v>1</v>
      </c>
      <c r="V2593" s="1">
        <v>45068</v>
      </c>
      <c r="W2593" t="s">
        <v>62</v>
      </c>
      <c r="X2593" t="s">
        <v>42</v>
      </c>
      <c r="Y2593" t="s">
        <v>52</v>
      </c>
      <c r="Z2593">
        <v>3</v>
      </c>
      <c r="AA2593">
        <v>330.04</v>
      </c>
      <c r="AB2593">
        <v>71</v>
      </c>
    </row>
    <row r="2594" spans="1:28" x14ac:dyDescent="0.2">
      <c r="A2594">
        <v>3144</v>
      </c>
      <c r="B2594" s="1">
        <v>44236</v>
      </c>
      <c r="C2594" t="s">
        <v>28</v>
      </c>
      <c r="D2594" t="s">
        <v>44</v>
      </c>
      <c r="E2594" t="s">
        <v>30</v>
      </c>
      <c r="F2594" t="s">
        <v>31</v>
      </c>
      <c r="G2594" t="s">
        <v>32</v>
      </c>
      <c r="H2594" t="s">
        <v>46</v>
      </c>
      <c r="I2594" t="s">
        <v>34</v>
      </c>
      <c r="J2594" t="s">
        <v>79</v>
      </c>
      <c r="K2594" s="2">
        <v>20717</v>
      </c>
      <c r="L2594" t="s">
        <v>36</v>
      </c>
      <c r="M2594" t="s">
        <v>48</v>
      </c>
      <c r="N2594" t="s">
        <v>49</v>
      </c>
      <c r="O2594" t="s">
        <v>67</v>
      </c>
      <c r="P2594" t="s">
        <v>78</v>
      </c>
      <c r="Q2594">
        <v>2</v>
      </c>
      <c r="R2594" s="2">
        <v>44913</v>
      </c>
      <c r="S2594">
        <v>3</v>
      </c>
      <c r="T2594">
        <v>4</v>
      </c>
      <c r="U2594">
        <v>3</v>
      </c>
      <c r="V2594" s="1">
        <v>45122</v>
      </c>
      <c r="W2594" t="s">
        <v>92</v>
      </c>
      <c r="X2594" t="s">
        <v>42</v>
      </c>
      <c r="Y2594" t="s">
        <v>73</v>
      </c>
      <c r="Z2594">
        <v>3</v>
      </c>
      <c r="AA2594">
        <v>848.99</v>
      </c>
      <c r="AB2594">
        <v>65</v>
      </c>
    </row>
    <row r="2595" spans="1:28" x14ac:dyDescent="0.2">
      <c r="A2595">
        <v>3146</v>
      </c>
      <c r="B2595" s="1">
        <v>43450</v>
      </c>
      <c r="C2595" t="s">
        <v>28</v>
      </c>
      <c r="D2595" t="s">
        <v>64</v>
      </c>
      <c r="E2595" t="s">
        <v>30</v>
      </c>
      <c r="F2595" t="s">
        <v>46</v>
      </c>
      <c r="G2595" t="s">
        <v>32</v>
      </c>
      <c r="H2595" t="s">
        <v>33</v>
      </c>
      <c r="I2595" t="s">
        <v>34</v>
      </c>
      <c r="J2595" t="s">
        <v>96</v>
      </c>
      <c r="K2595" s="2">
        <v>28781</v>
      </c>
      <c r="L2595" t="s">
        <v>36</v>
      </c>
      <c r="M2595" t="s">
        <v>37</v>
      </c>
      <c r="N2595" t="s">
        <v>38</v>
      </c>
      <c r="O2595" t="s">
        <v>39</v>
      </c>
      <c r="P2595" t="s">
        <v>40</v>
      </c>
      <c r="Q2595">
        <v>4</v>
      </c>
      <c r="R2595" s="2">
        <v>44809</v>
      </c>
      <c r="S2595">
        <v>5</v>
      </c>
      <c r="T2595">
        <v>1</v>
      </c>
      <c r="U2595">
        <v>1</v>
      </c>
      <c r="V2595" s="1">
        <v>44991</v>
      </c>
      <c r="W2595" t="s">
        <v>68</v>
      </c>
      <c r="X2595" t="s">
        <v>51</v>
      </c>
      <c r="Y2595" t="s">
        <v>73</v>
      </c>
      <c r="Z2595">
        <v>5</v>
      </c>
      <c r="AA2595">
        <v>560.03</v>
      </c>
      <c r="AB2595">
        <v>40</v>
      </c>
    </row>
    <row r="2596" spans="1:28" x14ac:dyDescent="0.2">
      <c r="A2596">
        <v>3147</v>
      </c>
      <c r="B2596" s="1">
        <v>45124</v>
      </c>
      <c r="C2596" t="s">
        <v>28</v>
      </c>
      <c r="D2596" t="s">
        <v>94</v>
      </c>
      <c r="E2596" t="s">
        <v>30</v>
      </c>
      <c r="F2596" t="s">
        <v>31</v>
      </c>
      <c r="G2596" t="s">
        <v>56</v>
      </c>
      <c r="H2596" t="s">
        <v>33</v>
      </c>
      <c r="I2596" t="s">
        <v>34</v>
      </c>
      <c r="J2596" t="s">
        <v>58</v>
      </c>
      <c r="K2596" s="2">
        <v>36273</v>
      </c>
      <c r="L2596" t="s">
        <v>36</v>
      </c>
      <c r="M2596" t="s">
        <v>48</v>
      </c>
      <c r="N2596" t="s">
        <v>49</v>
      </c>
      <c r="O2596" t="s">
        <v>77</v>
      </c>
      <c r="P2596" t="s">
        <v>40</v>
      </c>
      <c r="Q2596">
        <v>5</v>
      </c>
      <c r="R2596" s="2">
        <v>45131</v>
      </c>
      <c r="S2596">
        <v>2</v>
      </c>
      <c r="T2596">
        <v>2</v>
      </c>
      <c r="U2596">
        <v>5</v>
      </c>
      <c r="V2596" s="1">
        <v>44915</v>
      </c>
      <c r="W2596" t="s">
        <v>62</v>
      </c>
      <c r="X2596" t="s">
        <v>51</v>
      </c>
      <c r="Y2596" t="s">
        <v>63</v>
      </c>
      <c r="Z2596">
        <v>4</v>
      </c>
      <c r="AA2596">
        <v>820.65</v>
      </c>
      <c r="AB2596">
        <v>24</v>
      </c>
    </row>
    <row r="2597" spans="1:28" x14ac:dyDescent="0.2">
      <c r="A2597">
        <v>3148</v>
      </c>
      <c r="B2597" s="1">
        <v>43979</v>
      </c>
      <c r="C2597" t="s">
        <v>28</v>
      </c>
      <c r="D2597" t="s">
        <v>74</v>
      </c>
      <c r="E2597" t="s">
        <v>30</v>
      </c>
      <c r="F2597" t="s">
        <v>55</v>
      </c>
      <c r="G2597" t="s">
        <v>32</v>
      </c>
      <c r="H2597" t="s">
        <v>33</v>
      </c>
      <c r="I2597" t="s">
        <v>34</v>
      </c>
      <c r="J2597" t="s">
        <v>47</v>
      </c>
      <c r="K2597" s="2">
        <v>18323</v>
      </c>
      <c r="L2597" t="s">
        <v>36</v>
      </c>
      <c r="M2597" t="s">
        <v>48</v>
      </c>
      <c r="N2597" t="s">
        <v>38</v>
      </c>
      <c r="O2597" t="s">
        <v>61</v>
      </c>
      <c r="P2597" t="s">
        <v>78</v>
      </c>
      <c r="Q2597">
        <v>2</v>
      </c>
      <c r="R2597" s="2">
        <v>45101</v>
      </c>
      <c r="S2597">
        <v>4</v>
      </c>
      <c r="T2597">
        <v>5</v>
      </c>
      <c r="U2597">
        <v>1</v>
      </c>
      <c r="V2597" s="1">
        <v>45026</v>
      </c>
      <c r="W2597" t="s">
        <v>92</v>
      </c>
      <c r="X2597" t="s">
        <v>51</v>
      </c>
      <c r="Y2597" t="s">
        <v>63</v>
      </c>
      <c r="Z2597">
        <v>2</v>
      </c>
      <c r="AA2597">
        <v>727.06</v>
      </c>
      <c r="AB2597">
        <v>70</v>
      </c>
    </row>
    <row r="2598" spans="1:28" x14ac:dyDescent="0.2">
      <c r="A2598">
        <v>3149</v>
      </c>
      <c r="B2598" s="1">
        <v>44256</v>
      </c>
      <c r="C2598" t="s">
        <v>28</v>
      </c>
      <c r="D2598" t="s">
        <v>81</v>
      </c>
      <c r="E2598" t="s">
        <v>30</v>
      </c>
      <c r="F2598" t="s">
        <v>55</v>
      </c>
      <c r="G2598" t="s">
        <v>45</v>
      </c>
      <c r="H2598" t="s">
        <v>46</v>
      </c>
      <c r="I2598" t="s">
        <v>34</v>
      </c>
      <c r="J2598" t="s">
        <v>70</v>
      </c>
      <c r="K2598" s="2">
        <v>30586</v>
      </c>
      <c r="L2598" t="s">
        <v>36</v>
      </c>
      <c r="M2598" t="s">
        <v>37</v>
      </c>
      <c r="N2598" t="s">
        <v>72</v>
      </c>
      <c r="O2598" t="s">
        <v>61</v>
      </c>
      <c r="P2598" t="s">
        <v>78</v>
      </c>
      <c r="Q2598">
        <v>2</v>
      </c>
      <c r="R2598" s="2">
        <v>45016</v>
      </c>
      <c r="S2598">
        <v>2</v>
      </c>
      <c r="T2598">
        <v>1</v>
      </c>
      <c r="U2598">
        <v>4</v>
      </c>
      <c r="V2598" s="1">
        <v>45114</v>
      </c>
      <c r="W2598" t="s">
        <v>50</v>
      </c>
      <c r="X2598" t="s">
        <v>42</v>
      </c>
      <c r="Y2598" t="s">
        <v>43</v>
      </c>
      <c r="Z2598">
        <v>2</v>
      </c>
      <c r="AA2598">
        <v>858.12</v>
      </c>
      <c r="AB2598">
        <v>38</v>
      </c>
    </row>
    <row r="2599" spans="1:28" x14ac:dyDescent="0.2">
      <c r="A2599">
        <v>3150</v>
      </c>
      <c r="B2599" s="1">
        <v>44604</v>
      </c>
      <c r="C2599" t="s">
        <v>28</v>
      </c>
      <c r="D2599" t="s">
        <v>54</v>
      </c>
      <c r="E2599" t="s">
        <v>30</v>
      </c>
      <c r="F2599" t="s">
        <v>55</v>
      </c>
      <c r="G2599" t="s">
        <v>32</v>
      </c>
      <c r="H2599" t="s">
        <v>46</v>
      </c>
      <c r="I2599" t="s">
        <v>34</v>
      </c>
      <c r="J2599" t="s">
        <v>47</v>
      </c>
      <c r="K2599" s="2">
        <v>20303</v>
      </c>
      <c r="L2599" t="s">
        <v>36</v>
      </c>
      <c r="M2599" t="s">
        <v>37</v>
      </c>
      <c r="N2599" t="s">
        <v>84</v>
      </c>
      <c r="O2599" t="s">
        <v>39</v>
      </c>
      <c r="P2599" t="s">
        <v>40</v>
      </c>
      <c r="Q2599">
        <v>2</v>
      </c>
      <c r="R2599" s="2">
        <v>44802</v>
      </c>
      <c r="S2599">
        <v>3</v>
      </c>
      <c r="T2599">
        <v>2</v>
      </c>
      <c r="U2599">
        <v>2</v>
      </c>
      <c r="V2599" s="1">
        <v>44954</v>
      </c>
      <c r="W2599" t="s">
        <v>50</v>
      </c>
      <c r="X2599" t="s">
        <v>51</v>
      </c>
      <c r="Y2599" t="s">
        <v>43</v>
      </c>
      <c r="Z2599">
        <v>4</v>
      </c>
      <c r="AA2599">
        <v>781.04</v>
      </c>
      <c r="AB2599">
        <v>67</v>
      </c>
    </row>
    <row r="2600" spans="1:28" x14ac:dyDescent="0.2">
      <c r="A2600">
        <v>3151</v>
      </c>
      <c r="B2600" s="1">
        <v>44618</v>
      </c>
      <c r="C2600" t="s">
        <v>28</v>
      </c>
      <c r="D2600" t="s">
        <v>69</v>
      </c>
      <c r="E2600" t="s">
        <v>30</v>
      </c>
      <c r="F2600" t="s">
        <v>46</v>
      </c>
      <c r="G2600" t="s">
        <v>32</v>
      </c>
      <c r="H2600" t="s">
        <v>33</v>
      </c>
      <c r="I2600" t="s">
        <v>34</v>
      </c>
      <c r="J2600" t="s">
        <v>70</v>
      </c>
      <c r="K2600" s="2">
        <v>24061</v>
      </c>
      <c r="L2600" t="s">
        <v>36</v>
      </c>
      <c r="M2600" t="s">
        <v>37</v>
      </c>
      <c r="N2600" t="s">
        <v>38</v>
      </c>
      <c r="O2600" t="s">
        <v>39</v>
      </c>
      <c r="P2600" t="s">
        <v>78</v>
      </c>
      <c r="Q2600">
        <v>4</v>
      </c>
      <c r="R2600" s="2">
        <v>44981</v>
      </c>
      <c r="S2600">
        <v>3</v>
      </c>
      <c r="T2600">
        <v>3</v>
      </c>
      <c r="U2600">
        <v>1</v>
      </c>
      <c r="V2600" s="1">
        <v>44840</v>
      </c>
      <c r="W2600" t="s">
        <v>62</v>
      </c>
      <c r="X2600" t="s">
        <v>42</v>
      </c>
      <c r="Y2600" t="s">
        <v>73</v>
      </c>
      <c r="Z2600">
        <v>2</v>
      </c>
      <c r="AA2600">
        <v>978.88</v>
      </c>
      <c r="AB2600">
        <v>57</v>
      </c>
    </row>
    <row r="2601" spans="1:28" x14ac:dyDescent="0.2">
      <c r="A2601">
        <v>3152</v>
      </c>
      <c r="B2601" s="1">
        <v>44747</v>
      </c>
      <c r="C2601" t="s">
        <v>28</v>
      </c>
      <c r="D2601" t="s">
        <v>29</v>
      </c>
      <c r="E2601" t="s">
        <v>30</v>
      </c>
      <c r="F2601" t="s">
        <v>31</v>
      </c>
      <c r="G2601" t="s">
        <v>32</v>
      </c>
      <c r="H2601" t="s">
        <v>33</v>
      </c>
      <c r="I2601" t="s">
        <v>34</v>
      </c>
      <c r="J2601" t="s">
        <v>70</v>
      </c>
      <c r="K2601" s="2">
        <v>19722</v>
      </c>
      <c r="L2601" t="s">
        <v>36</v>
      </c>
      <c r="M2601" t="s">
        <v>37</v>
      </c>
      <c r="N2601" t="s">
        <v>72</v>
      </c>
      <c r="O2601" t="s">
        <v>39</v>
      </c>
      <c r="P2601" t="s">
        <v>78</v>
      </c>
      <c r="Q2601">
        <v>5</v>
      </c>
      <c r="R2601" s="2">
        <v>45044</v>
      </c>
      <c r="S2601">
        <v>1</v>
      </c>
      <c r="T2601">
        <v>3</v>
      </c>
      <c r="U2601">
        <v>1</v>
      </c>
      <c r="V2601" s="1">
        <v>45009</v>
      </c>
      <c r="W2601" t="s">
        <v>92</v>
      </c>
      <c r="X2601" t="s">
        <v>42</v>
      </c>
      <c r="Y2601" t="s">
        <v>43</v>
      </c>
      <c r="Z2601">
        <v>4</v>
      </c>
      <c r="AA2601">
        <v>955.95</v>
      </c>
      <c r="AB2601">
        <v>69</v>
      </c>
    </row>
    <row r="2602" spans="1:28" x14ac:dyDescent="0.2">
      <c r="A2602">
        <v>3153</v>
      </c>
      <c r="B2602" s="1">
        <v>43798</v>
      </c>
      <c r="C2602" t="s">
        <v>28</v>
      </c>
      <c r="D2602" t="s">
        <v>85</v>
      </c>
      <c r="E2602" t="s">
        <v>30</v>
      </c>
      <c r="F2602" t="s">
        <v>46</v>
      </c>
      <c r="G2602" t="s">
        <v>45</v>
      </c>
      <c r="H2602" t="s">
        <v>55</v>
      </c>
      <c r="I2602" t="s">
        <v>34</v>
      </c>
      <c r="J2602" t="s">
        <v>70</v>
      </c>
      <c r="K2602" s="2">
        <v>34681</v>
      </c>
      <c r="L2602" t="s">
        <v>36</v>
      </c>
      <c r="M2602" t="s">
        <v>37</v>
      </c>
      <c r="N2602" t="s">
        <v>60</v>
      </c>
      <c r="O2602" t="s">
        <v>61</v>
      </c>
      <c r="P2602" t="s">
        <v>40</v>
      </c>
      <c r="Q2602">
        <v>4</v>
      </c>
      <c r="R2602" s="2">
        <v>44869</v>
      </c>
      <c r="S2602">
        <v>1</v>
      </c>
      <c r="T2602">
        <v>5</v>
      </c>
      <c r="U2602">
        <v>3</v>
      </c>
      <c r="V2602" s="1">
        <v>45118</v>
      </c>
      <c r="W2602" t="s">
        <v>92</v>
      </c>
      <c r="X2602" t="s">
        <v>51</v>
      </c>
      <c r="Y2602" t="s">
        <v>73</v>
      </c>
      <c r="Z2602">
        <v>5</v>
      </c>
      <c r="AA2602">
        <v>897.64</v>
      </c>
      <c r="AB2602">
        <v>25</v>
      </c>
    </row>
    <row r="2603" spans="1:28" x14ac:dyDescent="0.2">
      <c r="A2603">
        <v>3154</v>
      </c>
      <c r="B2603" s="1">
        <v>43518</v>
      </c>
      <c r="C2603" t="s">
        <v>28</v>
      </c>
      <c r="D2603" t="s">
        <v>44</v>
      </c>
      <c r="E2603" t="s">
        <v>30</v>
      </c>
      <c r="F2603" t="s">
        <v>55</v>
      </c>
      <c r="G2603" t="s">
        <v>56</v>
      </c>
      <c r="H2603" t="s">
        <v>33</v>
      </c>
      <c r="I2603" t="s">
        <v>34</v>
      </c>
      <c r="J2603" t="s">
        <v>79</v>
      </c>
      <c r="K2603" s="2">
        <v>18039</v>
      </c>
      <c r="L2603" t="s">
        <v>36</v>
      </c>
      <c r="M2603" t="s">
        <v>37</v>
      </c>
      <c r="N2603" t="s">
        <v>72</v>
      </c>
      <c r="O2603" t="s">
        <v>61</v>
      </c>
      <c r="P2603" t="s">
        <v>40</v>
      </c>
      <c r="Q2603">
        <v>2</v>
      </c>
      <c r="R2603" s="2">
        <v>45080</v>
      </c>
      <c r="S2603">
        <v>1</v>
      </c>
      <c r="T2603">
        <v>3</v>
      </c>
      <c r="U2603">
        <v>5</v>
      </c>
      <c r="V2603" s="1">
        <v>45071</v>
      </c>
      <c r="W2603" t="s">
        <v>50</v>
      </c>
      <c r="X2603" t="s">
        <v>51</v>
      </c>
      <c r="Y2603" t="s">
        <v>73</v>
      </c>
      <c r="Z2603">
        <v>4</v>
      </c>
      <c r="AA2603">
        <v>418.08</v>
      </c>
      <c r="AB2603">
        <v>70</v>
      </c>
    </row>
    <row r="2604" spans="1:28" x14ac:dyDescent="0.2">
      <c r="A2604">
        <v>3155</v>
      </c>
      <c r="B2604" s="1">
        <v>44028</v>
      </c>
      <c r="C2604" t="s">
        <v>28</v>
      </c>
      <c r="D2604" t="s">
        <v>87</v>
      </c>
      <c r="E2604" t="s">
        <v>108</v>
      </c>
      <c r="F2604" t="s">
        <v>31</v>
      </c>
      <c r="G2604" t="s">
        <v>56</v>
      </c>
      <c r="H2604" t="s">
        <v>33</v>
      </c>
      <c r="I2604" t="s">
        <v>34</v>
      </c>
      <c r="J2604" t="s">
        <v>65</v>
      </c>
      <c r="K2604" s="2">
        <v>18701</v>
      </c>
      <c r="L2604" t="s">
        <v>36</v>
      </c>
      <c r="M2604" t="s">
        <v>48</v>
      </c>
      <c r="N2604" t="s">
        <v>72</v>
      </c>
      <c r="O2604" t="s">
        <v>67</v>
      </c>
      <c r="P2604" t="s">
        <v>40</v>
      </c>
      <c r="Q2604">
        <v>2</v>
      </c>
      <c r="R2604" s="2">
        <v>44791</v>
      </c>
      <c r="S2604">
        <v>2</v>
      </c>
      <c r="T2604">
        <v>5</v>
      </c>
      <c r="U2604">
        <v>4</v>
      </c>
      <c r="V2604" s="1">
        <v>44800</v>
      </c>
      <c r="W2604" t="s">
        <v>92</v>
      </c>
      <c r="X2604" t="s">
        <v>51</v>
      </c>
      <c r="Y2604" t="s">
        <v>43</v>
      </c>
      <c r="Z2604">
        <v>5</v>
      </c>
      <c r="AA2604">
        <v>336.64</v>
      </c>
      <c r="AB2604">
        <v>69</v>
      </c>
    </row>
    <row r="2605" spans="1:28" x14ac:dyDescent="0.2">
      <c r="A2605">
        <v>3156</v>
      </c>
      <c r="B2605" s="1">
        <v>43664</v>
      </c>
      <c r="C2605" t="s">
        <v>106</v>
      </c>
      <c r="D2605" t="s">
        <v>87</v>
      </c>
      <c r="E2605" t="s">
        <v>108</v>
      </c>
      <c r="F2605" t="s">
        <v>31</v>
      </c>
      <c r="G2605" t="s">
        <v>56</v>
      </c>
      <c r="H2605" t="s">
        <v>46</v>
      </c>
      <c r="I2605" t="s">
        <v>34</v>
      </c>
      <c r="J2605" t="s">
        <v>65</v>
      </c>
      <c r="K2605" s="2">
        <v>22843</v>
      </c>
      <c r="L2605" t="s">
        <v>36</v>
      </c>
      <c r="M2605" t="s">
        <v>37</v>
      </c>
      <c r="N2605" t="s">
        <v>72</v>
      </c>
      <c r="O2605" t="s">
        <v>67</v>
      </c>
      <c r="P2605" t="s">
        <v>40</v>
      </c>
      <c r="Q2605">
        <v>5</v>
      </c>
      <c r="R2605" s="2">
        <v>44953</v>
      </c>
      <c r="S2605">
        <v>4</v>
      </c>
      <c r="T2605">
        <v>2</v>
      </c>
      <c r="U2605">
        <v>2</v>
      </c>
      <c r="V2605" s="1">
        <v>45018</v>
      </c>
      <c r="W2605" t="s">
        <v>92</v>
      </c>
      <c r="X2605" t="s">
        <v>51</v>
      </c>
      <c r="Y2605" t="s">
        <v>43</v>
      </c>
      <c r="Z2605">
        <v>4</v>
      </c>
      <c r="AA2605">
        <v>171.46</v>
      </c>
      <c r="AB2605">
        <v>57</v>
      </c>
    </row>
    <row r="2606" spans="1:28" x14ac:dyDescent="0.2">
      <c r="A2606">
        <v>3157</v>
      </c>
      <c r="B2606" s="1">
        <v>43534</v>
      </c>
      <c r="C2606" t="s">
        <v>106</v>
      </c>
      <c r="D2606" t="s">
        <v>64</v>
      </c>
      <c r="E2606" t="s">
        <v>30</v>
      </c>
      <c r="F2606" t="s">
        <v>31</v>
      </c>
      <c r="G2606" t="s">
        <v>45</v>
      </c>
      <c r="H2606" t="s">
        <v>55</v>
      </c>
      <c r="I2606" t="s">
        <v>34</v>
      </c>
      <c r="J2606" t="s">
        <v>109</v>
      </c>
      <c r="K2606" s="2">
        <v>30757</v>
      </c>
      <c r="L2606" t="s">
        <v>36</v>
      </c>
      <c r="M2606" t="s">
        <v>37</v>
      </c>
      <c r="N2606" t="s">
        <v>38</v>
      </c>
      <c r="O2606" t="s">
        <v>77</v>
      </c>
      <c r="P2606" t="s">
        <v>78</v>
      </c>
      <c r="Q2606">
        <v>5</v>
      </c>
      <c r="R2606" s="2">
        <v>45027</v>
      </c>
      <c r="S2606">
        <v>4</v>
      </c>
      <c r="T2606">
        <v>1</v>
      </c>
      <c r="U2606">
        <v>3</v>
      </c>
      <c r="V2606" s="1">
        <v>45072</v>
      </c>
      <c r="W2606" t="s">
        <v>62</v>
      </c>
      <c r="X2606" t="s">
        <v>42</v>
      </c>
      <c r="Y2606" t="s">
        <v>52</v>
      </c>
      <c r="Z2606">
        <v>3</v>
      </c>
      <c r="AA2606">
        <v>401.9</v>
      </c>
      <c r="AB2606">
        <v>35</v>
      </c>
    </row>
    <row r="2607" spans="1:28" x14ac:dyDescent="0.2">
      <c r="A2607">
        <v>3158</v>
      </c>
      <c r="B2607" s="1">
        <v>45076</v>
      </c>
      <c r="C2607" t="s">
        <v>106</v>
      </c>
      <c r="D2607" t="s">
        <v>94</v>
      </c>
      <c r="E2607" t="s">
        <v>30</v>
      </c>
      <c r="F2607" t="s">
        <v>46</v>
      </c>
      <c r="G2607" t="s">
        <v>45</v>
      </c>
      <c r="H2607" t="s">
        <v>55</v>
      </c>
      <c r="I2607" t="s">
        <v>34</v>
      </c>
      <c r="J2607" t="s">
        <v>58</v>
      </c>
      <c r="K2607" s="2">
        <v>27780</v>
      </c>
      <c r="L2607" t="s">
        <v>36</v>
      </c>
      <c r="M2607" t="s">
        <v>37</v>
      </c>
      <c r="N2607" t="s">
        <v>49</v>
      </c>
      <c r="O2607" t="s">
        <v>77</v>
      </c>
      <c r="P2607" t="s">
        <v>78</v>
      </c>
      <c r="Q2607">
        <v>2</v>
      </c>
      <c r="R2607" s="2">
        <v>44959</v>
      </c>
      <c r="S2607">
        <v>1</v>
      </c>
      <c r="T2607">
        <v>1</v>
      </c>
      <c r="U2607">
        <v>3</v>
      </c>
      <c r="V2607" s="1">
        <v>44914</v>
      </c>
      <c r="W2607" t="s">
        <v>92</v>
      </c>
      <c r="X2607" t="s">
        <v>42</v>
      </c>
      <c r="Y2607" t="s">
        <v>73</v>
      </c>
      <c r="Z2607">
        <v>5</v>
      </c>
      <c r="AA2607">
        <v>266.62</v>
      </c>
      <c r="AB2607">
        <v>47</v>
      </c>
    </row>
    <row r="2608" spans="1:28" x14ac:dyDescent="0.2">
      <c r="A2608">
        <v>3159</v>
      </c>
      <c r="B2608" s="1">
        <v>43335</v>
      </c>
      <c r="C2608" t="s">
        <v>106</v>
      </c>
      <c r="D2608" t="s">
        <v>74</v>
      </c>
      <c r="E2608" t="s">
        <v>30</v>
      </c>
      <c r="F2608" t="s">
        <v>55</v>
      </c>
      <c r="G2608" t="s">
        <v>56</v>
      </c>
      <c r="H2608" t="s">
        <v>46</v>
      </c>
      <c r="I2608" t="s">
        <v>34</v>
      </c>
      <c r="J2608" t="s">
        <v>70</v>
      </c>
      <c r="K2608" s="2">
        <v>28639</v>
      </c>
      <c r="L2608" t="s">
        <v>36</v>
      </c>
      <c r="M2608" t="s">
        <v>37</v>
      </c>
      <c r="N2608" t="s">
        <v>84</v>
      </c>
      <c r="O2608" t="s">
        <v>67</v>
      </c>
      <c r="P2608" t="s">
        <v>40</v>
      </c>
      <c r="Q2608">
        <v>4</v>
      </c>
      <c r="R2608" s="2">
        <v>45039</v>
      </c>
      <c r="S2608">
        <v>1</v>
      </c>
      <c r="T2608">
        <v>1</v>
      </c>
      <c r="U2608">
        <v>2</v>
      </c>
      <c r="V2608" s="1">
        <v>45035</v>
      </c>
      <c r="W2608" t="s">
        <v>68</v>
      </c>
      <c r="X2608" t="s">
        <v>51</v>
      </c>
      <c r="Y2608" t="s">
        <v>43</v>
      </c>
      <c r="Z2608">
        <v>2</v>
      </c>
      <c r="AA2608">
        <v>913.36</v>
      </c>
      <c r="AB2608">
        <v>40</v>
      </c>
    </row>
    <row r="2609" spans="1:28" x14ac:dyDescent="0.2">
      <c r="A2609">
        <v>3160</v>
      </c>
      <c r="B2609" s="1">
        <v>43530</v>
      </c>
      <c r="C2609" t="s">
        <v>106</v>
      </c>
      <c r="D2609" t="s">
        <v>81</v>
      </c>
      <c r="E2609" t="s">
        <v>30</v>
      </c>
      <c r="F2609" t="s">
        <v>55</v>
      </c>
      <c r="G2609" t="s">
        <v>45</v>
      </c>
      <c r="H2609" t="s">
        <v>46</v>
      </c>
      <c r="I2609" t="s">
        <v>34</v>
      </c>
      <c r="J2609" t="s">
        <v>89</v>
      </c>
      <c r="K2609" s="2">
        <v>18736</v>
      </c>
      <c r="L2609" t="s">
        <v>36</v>
      </c>
      <c r="M2609" t="s">
        <v>37</v>
      </c>
      <c r="N2609" t="s">
        <v>60</v>
      </c>
      <c r="O2609" t="s">
        <v>61</v>
      </c>
      <c r="P2609" t="s">
        <v>78</v>
      </c>
      <c r="Q2609">
        <v>4</v>
      </c>
      <c r="R2609" s="2">
        <v>44793</v>
      </c>
      <c r="S2609">
        <v>5</v>
      </c>
      <c r="T2609">
        <v>5</v>
      </c>
      <c r="U2609">
        <v>3</v>
      </c>
      <c r="V2609" s="1">
        <v>44937</v>
      </c>
      <c r="W2609" t="s">
        <v>41</v>
      </c>
      <c r="X2609" t="s">
        <v>42</v>
      </c>
      <c r="Y2609" t="s">
        <v>43</v>
      </c>
      <c r="Z2609">
        <v>3</v>
      </c>
      <c r="AA2609">
        <v>619.29</v>
      </c>
      <c r="AB2609">
        <v>68</v>
      </c>
    </row>
    <row r="2610" spans="1:28" x14ac:dyDescent="0.2">
      <c r="A2610">
        <v>3161</v>
      </c>
      <c r="B2610" s="1">
        <v>45139</v>
      </c>
      <c r="C2610" t="s">
        <v>106</v>
      </c>
      <c r="D2610" t="s">
        <v>54</v>
      </c>
      <c r="E2610" t="s">
        <v>108</v>
      </c>
      <c r="F2610" t="s">
        <v>55</v>
      </c>
      <c r="G2610" t="s">
        <v>32</v>
      </c>
      <c r="H2610" t="s">
        <v>55</v>
      </c>
      <c r="I2610" t="s">
        <v>34</v>
      </c>
      <c r="J2610" t="s">
        <v>65</v>
      </c>
      <c r="K2610" s="2">
        <v>30423</v>
      </c>
      <c r="L2610" t="s">
        <v>36</v>
      </c>
      <c r="M2610" t="s">
        <v>37</v>
      </c>
      <c r="N2610" t="s">
        <v>72</v>
      </c>
      <c r="O2610" t="s">
        <v>77</v>
      </c>
      <c r="P2610" t="s">
        <v>40</v>
      </c>
      <c r="Q2610">
        <v>1</v>
      </c>
      <c r="R2610" s="2">
        <v>45122</v>
      </c>
      <c r="S2610">
        <v>1</v>
      </c>
      <c r="T2610">
        <v>5</v>
      </c>
      <c r="U2610">
        <v>4</v>
      </c>
      <c r="V2610" s="1">
        <v>44819</v>
      </c>
      <c r="W2610" t="s">
        <v>50</v>
      </c>
      <c r="X2610" t="s">
        <v>51</v>
      </c>
      <c r="Y2610" t="s">
        <v>73</v>
      </c>
      <c r="Z2610">
        <v>3</v>
      </c>
      <c r="AA2610">
        <v>398.98</v>
      </c>
      <c r="AB2610">
        <v>40</v>
      </c>
    </row>
    <row r="2611" spans="1:28" x14ac:dyDescent="0.2">
      <c r="A2611">
        <v>3162</v>
      </c>
      <c r="B2611" s="1">
        <v>43885</v>
      </c>
      <c r="C2611" t="s">
        <v>106</v>
      </c>
      <c r="D2611" t="s">
        <v>69</v>
      </c>
      <c r="E2611" t="s">
        <v>30</v>
      </c>
      <c r="F2611" t="s">
        <v>46</v>
      </c>
      <c r="G2611" t="s">
        <v>45</v>
      </c>
      <c r="H2611" t="s">
        <v>33</v>
      </c>
      <c r="I2611" t="s">
        <v>34</v>
      </c>
      <c r="J2611" t="s">
        <v>134</v>
      </c>
      <c r="K2611" s="2">
        <v>35669</v>
      </c>
      <c r="L2611" t="s">
        <v>36</v>
      </c>
      <c r="M2611" t="s">
        <v>48</v>
      </c>
      <c r="N2611" t="s">
        <v>38</v>
      </c>
      <c r="O2611" t="s">
        <v>61</v>
      </c>
      <c r="P2611" t="s">
        <v>40</v>
      </c>
      <c r="Q2611">
        <v>5</v>
      </c>
      <c r="R2611" s="2">
        <v>45005</v>
      </c>
      <c r="S2611">
        <v>4</v>
      </c>
      <c r="T2611">
        <v>4</v>
      </c>
      <c r="U2611">
        <v>2</v>
      </c>
      <c r="V2611" s="1">
        <v>45131</v>
      </c>
      <c r="W2611" t="s">
        <v>68</v>
      </c>
      <c r="X2611" t="s">
        <v>42</v>
      </c>
      <c r="Y2611" t="s">
        <v>43</v>
      </c>
      <c r="Z2611">
        <v>5</v>
      </c>
      <c r="AA2611">
        <v>569.76</v>
      </c>
      <c r="AB2611">
        <v>23</v>
      </c>
    </row>
    <row r="2612" spans="1:28" x14ac:dyDescent="0.2">
      <c r="A2612">
        <v>3163</v>
      </c>
      <c r="B2612" s="1">
        <v>43734</v>
      </c>
      <c r="C2612" t="s">
        <v>28</v>
      </c>
      <c r="D2612" t="s">
        <v>54</v>
      </c>
      <c r="E2612" t="s">
        <v>30</v>
      </c>
      <c r="F2612" t="s">
        <v>31</v>
      </c>
      <c r="G2612" t="s">
        <v>45</v>
      </c>
      <c r="H2612" t="s">
        <v>55</v>
      </c>
      <c r="I2612" t="s">
        <v>34</v>
      </c>
      <c r="J2612" t="s">
        <v>102</v>
      </c>
      <c r="K2612" s="2">
        <v>28927</v>
      </c>
      <c r="L2612" t="s">
        <v>36</v>
      </c>
      <c r="M2612" t="s">
        <v>48</v>
      </c>
      <c r="N2612" t="s">
        <v>72</v>
      </c>
      <c r="O2612" t="s">
        <v>67</v>
      </c>
      <c r="P2612" t="s">
        <v>40</v>
      </c>
      <c r="Q2612">
        <v>4</v>
      </c>
      <c r="R2612" s="2">
        <v>45004</v>
      </c>
      <c r="S2612">
        <v>2</v>
      </c>
      <c r="T2612">
        <v>4</v>
      </c>
      <c r="U2612">
        <v>5</v>
      </c>
      <c r="V2612" s="1">
        <v>44835</v>
      </c>
      <c r="W2612" t="s">
        <v>62</v>
      </c>
      <c r="X2612" t="s">
        <v>42</v>
      </c>
      <c r="Y2612" t="s">
        <v>73</v>
      </c>
      <c r="Z2612">
        <v>4</v>
      </c>
      <c r="AA2612">
        <v>807.32</v>
      </c>
      <c r="AB2612">
        <v>40</v>
      </c>
    </row>
    <row r="2613" spans="1:28" x14ac:dyDescent="0.2">
      <c r="A2613">
        <v>3164</v>
      </c>
      <c r="B2613" s="1">
        <v>44902</v>
      </c>
      <c r="C2613" t="s">
        <v>28</v>
      </c>
      <c r="D2613" t="s">
        <v>69</v>
      </c>
      <c r="E2613" t="s">
        <v>108</v>
      </c>
      <c r="F2613" t="s">
        <v>55</v>
      </c>
      <c r="G2613" t="s">
        <v>32</v>
      </c>
      <c r="H2613" t="s">
        <v>33</v>
      </c>
      <c r="I2613" t="s">
        <v>34</v>
      </c>
      <c r="J2613" t="s">
        <v>70</v>
      </c>
      <c r="K2613" s="2">
        <v>35507</v>
      </c>
      <c r="L2613" t="s">
        <v>36</v>
      </c>
      <c r="M2613" t="s">
        <v>37</v>
      </c>
      <c r="N2613" t="s">
        <v>60</v>
      </c>
      <c r="O2613" t="s">
        <v>67</v>
      </c>
      <c r="P2613" t="s">
        <v>40</v>
      </c>
      <c r="Q2613">
        <v>5</v>
      </c>
      <c r="R2613" s="2">
        <v>44836</v>
      </c>
      <c r="S2613">
        <v>4</v>
      </c>
      <c r="T2613">
        <v>2</v>
      </c>
      <c r="U2613">
        <v>3</v>
      </c>
      <c r="V2613" s="1">
        <v>44967</v>
      </c>
      <c r="W2613" t="s">
        <v>62</v>
      </c>
      <c r="X2613" t="s">
        <v>51</v>
      </c>
      <c r="Y2613" t="s">
        <v>73</v>
      </c>
      <c r="Z2613">
        <v>3</v>
      </c>
      <c r="AA2613">
        <v>981.17</v>
      </c>
      <c r="AB2613">
        <v>25</v>
      </c>
    </row>
    <row r="2614" spans="1:28" x14ac:dyDescent="0.2">
      <c r="A2614">
        <v>3165</v>
      </c>
      <c r="B2614" s="1">
        <v>43532</v>
      </c>
      <c r="C2614" t="s">
        <v>28</v>
      </c>
      <c r="D2614" t="s">
        <v>29</v>
      </c>
      <c r="E2614" t="s">
        <v>30</v>
      </c>
      <c r="F2614" t="s">
        <v>46</v>
      </c>
      <c r="G2614" t="s">
        <v>32</v>
      </c>
      <c r="H2614" t="s">
        <v>55</v>
      </c>
      <c r="I2614" t="s">
        <v>34</v>
      </c>
      <c r="J2614" t="s">
        <v>70</v>
      </c>
      <c r="K2614" s="2">
        <v>34692</v>
      </c>
      <c r="L2614" t="s">
        <v>36</v>
      </c>
      <c r="M2614" t="s">
        <v>37</v>
      </c>
      <c r="N2614" t="s">
        <v>72</v>
      </c>
      <c r="O2614" t="s">
        <v>61</v>
      </c>
      <c r="P2614" t="s">
        <v>40</v>
      </c>
      <c r="Q2614">
        <v>2</v>
      </c>
      <c r="R2614" s="2">
        <v>45094</v>
      </c>
      <c r="S2614">
        <v>1</v>
      </c>
      <c r="T2614">
        <v>5</v>
      </c>
      <c r="U2614">
        <v>5</v>
      </c>
      <c r="V2614" s="1">
        <v>44801</v>
      </c>
      <c r="W2614" t="s">
        <v>41</v>
      </c>
      <c r="X2614" t="s">
        <v>51</v>
      </c>
      <c r="Y2614" t="s">
        <v>43</v>
      </c>
      <c r="Z2614">
        <v>4</v>
      </c>
      <c r="AA2614">
        <v>972.9</v>
      </c>
      <c r="AB2614">
        <v>25</v>
      </c>
    </row>
    <row r="2615" spans="1:28" x14ac:dyDescent="0.2">
      <c r="A2615">
        <v>3166</v>
      </c>
      <c r="B2615" s="1">
        <v>43683</v>
      </c>
      <c r="C2615" t="s">
        <v>28</v>
      </c>
      <c r="D2615" t="s">
        <v>85</v>
      </c>
      <c r="E2615" t="s">
        <v>30</v>
      </c>
      <c r="F2615" t="s">
        <v>46</v>
      </c>
      <c r="G2615" t="s">
        <v>45</v>
      </c>
      <c r="H2615" t="s">
        <v>55</v>
      </c>
      <c r="I2615" t="s">
        <v>34</v>
      </c>
      <c r="J2615" t="s">
        <v>70</v>
      </c>
      <c r="K2615" s="2">
        <v>34275</v>
      </c>
      <c r="L2615" t="s">
        <v>36</v>
      </c>
      <c r="M2615" t="s">
        <v>37</v>
      </c>
      <c r="N2615" t="s">
        <v>38</v>
      </c>
      <c r="O2615" t="s">
        <v>61</v>
      </c>
      <c r="P2615" t="s">
        <v>78</v>
      </c>
      <c r="Q2615">
        <v>2</v>
      </c>
      <c r="R2615" s="2">
        <v>44952</v>
      </c>
      <c r="S2615">
        <v>2</v>
      </c>
      <c r="T2615">
        <v>4</v>
      </c>
      <c r="U2615">
        <v>1</v>
      </c>
      <c r="V2615" s="1">
        <v>44953</v>
      </c>
      <c r="W2615" t="s">
        <v>62</v>
      </c>
      <c r="X2615" t="s">
        <v>42</v>
      </c>
      <c r="Y2615" t="s">
        <v>52</v>
      </c>
      <c r="Z2615">
        <v>4</v>
      </c>
      <c r="AA2615">
        <v>928.71</v>
      </c>
      <c r="AB2615">
        <v>26</v>
      </c>
    </row>
    <row r="2616" spans="1:28" x14ac:dyDescent="0.2">
      <c r="A2616">
        <v>3167</v>
      </c>
      <c r="B2616" s="1">
        <v>43635</v>
      </c>
      <c r="C2616" t="s">
        <v>28</v>
      </c>
      <c r="D2616" t="s">
        <v>44</v>
      </c>
      <c r="E2616" t="s">
        <v>30</v>
      </c>
      <c r="F2616" t="s">
        <v>55</v>
      </c>
      <c r="G2616" t="s">
        <v>56</v>
      </c>
      <c r="H2616" t="s">
        <v>46</v>
      </c>
      <c r="I2616" t="s">
        <v>34</v>
      </c>
      <c r="J2616" t="s">
        <v>89</v>
      </c>
      <c r="K2616" s="2">
        <v>15968</v>
      </c>
      <c r="L2616" t="s">
        <v>36</v>
      </c>
      <c r="M2616" t="s">
        <v>48</v>
      </c>
      <c r="N2616" t="s">
        <v>60</v>
      </c>
      <c r="O2616" t="s">
        <v>77</v>
      </c>
      <c r="P2616" t="s">
        <v>78</v>
      </c>
      <c r="Q2616">
        <v>4</v>
      </c>
      <c r="R2616" s="2">
        <v>44984</v>
      </c>
      <c r="S2616">
        <v>5</v>
      </c>
      <c r="T2616">
        <v>2</v>
      </c>
      <c r="U2616">
        <v>1</v>
      </c>
      <c r="V2616" s="1">
        <v>44941</v>
      </c>
      <c r="W2616" t="s">
        <v>41</v>
      </c>
      <c r="X2616" t="s">
        <v>51</v>
      </c>
      <c r="Y2616" t="s">
        <v>73</v>
      </c>
      <c r="Z2616">
        <v>1</v>
      </c>
      <c r="AA2616">
        <v>975.21</v>
      </c>
      <c r="AB2616">
        <v>76</v>
      </c>
    </row>
    <row r="2617" spans="1:28" x14ac:dyDescent="0.2">
      <c r="A2617">
        <v>3169</v>
      </c>
      <c r="B2617" s="1">
        <v>43624</v>
      </c>
      <c r="C2617" t="s">
        <v>28</v>
      </c>
      <c r="D2617" t="s">
        <v>64</v>
      </c>
      <c r="E2617" t="s">
        <v>30</v>
      </c>
      <c r="F2617" t="s">
        <v>46</v>
      </c>
      <c r="G2617" t="s">
        <v>56</v>
      </c>
      <c r="H2617" t="s">
        <v>46</v>
      </c>
      <c r="I2617" t="s">
        <v>34</v>
      </c>
      <c r="J2617" t="s">
        <v>47</v>
      </c>
      <c r="K2617" s="2">
        <v>18721</v>
      </c>
      <c r="L2617" t="s">
        <v>36</v>
      </c>
      <c r="M2617" t="s">
        <v>37</v>
      </c>
      <c r="N2617" t="s">
        <v>60</v>
      </c>
      <c r="O2617" t="s">
        <v>61</v>
      </c>
      <c r="P2617" t="s">
        <v>78</v>
      </c>
      <c r="Q2617">
        <v>4</v>
      </c>
      <c r="R2617" s="2">
        <v>45043</v>
      </c>
      <c r="S2617">
        <v>3</v>
      </c>
      <c r="T2617">
        <v>2</v>
      </c>
      <c r="U2617">
        <v>3</v>
      </c>
      <c r="V2617" s="1">
        <v>44982</v>
      </c>
      <c r="W2617" t="s">
        <v>92</v>
      </c>
      <c r="X2617" t="s">
        <v>42</v>
      </c>
      <c r="Y2617" t="s">
        <v>63</v>
      </c>
      <c r="Z2617">
        <v>4</v>
      </c>
      <c r="AA2617">
        <v>109.96</v>
      </c>
      <c r="AB2617">
        <v>68</v>
      </c>
    </row>
    <row r="2618" spans="1:28" x14ac:dyDescent="0.2">
      <c r="A2618">
        <v>3170</v>
      </c>
      <c r="B2618" s="1">
        <v>44589</v>
      </c>
      <c r="C2618" t="s">
        <v>28</v>
      </c>
      <c r="D2618" t="s">
        <v>94</v>
      </c>
      <c r="E2618" t="s">
        <v>30</v>
      </c>
      <c r="F2618" t="s">
        <v>55</v>
      </c>
      <c r="G2618" t="s">
        <v>32</v>
      </c>
      <c r="H2618" t="s">
        <v>55</v>
      </c>
      <c r="I2618" t="s">
        <v>34</v>
      </c>
      <c r="J2618" t="s">
        <v>70</v>
      </c>
      <c r="K2618" s="2">
        <v>33626</v>
      </c>
      <c r="L2618" t="s">
        <v>36</v>
      </c>
      <c r="M2618" t="s">
        <v>48</v>
      </c>
      <c r="N2618" t="s">
        <v>84</v>
      </c>
      <c r="O2618" t="s">
        <v>67</v>
      </c>
      <c r="P2618" t="s">
        <v>40</v>
      </c>
      <c r="Q2618">
        <v>2</v>
      </c>
      <c r="R2618" s="2">
        <v>44893</v>
      </c>
      <c r="S2618">
        <v>1</v>
      </c>
      <c r="T2618">
        <v>3</v>
      </c>
      <c r="U2618">
        <v>2</v>
      </c>
      <c r="V2618" s="1">
        <v>44801</v>
      </c>
      <c r="W2618" t="s">
        <v>68</v>
      </c>
      <c r="X2618" t="s">
        <v>51</v>
      </c>
      <c r="Y2618" t="s">
        <v>43</v>
      </c>
      <c r="Z2618">
        <v>2</v>
      </c>
      <c r="AA2618">
        <v>361.28</v>
      </c>
      <c r="AB2618">
        <v>30</v>
      </c>
    </row>
    <row r="2619" spans="1:28" x14ac:dyDescent="0.2">
      <c r="A2619">
        <v>3171</v>
      </c>
      <c r="B2619" s="1">
        <v>44069</v>
      </c>
      <c r="C2619" t="s">
        <v>28</v>
      </c>
      <c r="D2619" t="s">
        <v>74</v>
      </c>
      <c r="E2619" t="s">
        <v>30</v>
      </c>
      <c r="F2619" t="s">
        <v>46</v>
      </c>
      <c r="G2619" t="s">
        <v>45</v>
      </c>
      <c r="H2619" t="s">
        <v>46</v>
      </c>
      <c r="I2619" t="s">
        <v>34</v>
      </c>
      <c r="J2619" t="s">
        <v>79</v>
      </c>
      <c r="K2619" s="2">
        <v>34755</v>
      </c>
      <c r="L2619" t="s">
        <v>36</v>
      </c>
      <c r="M2619" t="s">
        <v>37</v>
      </c>
      <c r="N2619" t="s">
        <v>38</v>
      </c>
      <c r="O2619" t="s">
        <v>39</v>
      </c>
      <c r="P2619" t="s">
        <v>40</v>
      </c>
      <c r="Q2619">
        <v>5</v>
      </c>
      <c r="R2619" s="2">
        <v>44934</v>
      </c>
      <c r="S2619">
        <v>4</v>
      </c>
      <c r="T2619">
        <v>1</v>
      </c>
      <c r="U2619">
        <v>5</v>
      </c>
      <c r="V2619" s="1">
        <v>45107</v>
      </c>
      <c r="W2619" t="s">
        <v>41</v>
      </c>
      <c r="X2619" t="s">
        <v>51</v>
      </c>
      <c r="Y2619" t="s">
        <v>43</v>
      </c>
      <c r="Z2619">
        <v>4</v>
      </c>
      <c r="AA2619">
        <v>248.66</v>
      </c>
      <c r="AB2619">
        <v>25</v>
      </c>
    </row>
    <row r="2620" spans="1:28" x14ac:dyDescent="0.2">
      <c r="A2620">
        <v>3172</v>
      </c>
      <c r="B2620" s="1">
        <v>43577</v>
      </c>
      <c r="C2620" t="s">
        <v>28</v>
      </c>
      <c r="D2620" t="s">
        <v>81</v>
      </c>
      <c r="E2620" t="s">
        <v>30</v>
      </c>
      <c r="F2620" t="s">
        <v>31</v>
      </c>
      <c r="G2620" t="s">
        <v>32</v>
      </c>
      <c r="H2620" t="s">
        <v>46</v>
      </c>
      <c r="I2620" t="s">
        <v>34</v>
      </c>
      <c r="J2620" t="s">
        <v>100</v>
      </c>
      <c r="K2620" s="2">
        <v>30506</v>
      </c>
      <c r="L2620" t="s">
        <v>36</v>
      </c>
      <c r="M2620" t="s">
        <v>37</v>
      </c>
      <c r="N2620" t="s">
        <v>84</v>
      </c>
      <c r="O2620" t="s">
        <v>77</v>
      </c>
      <c r="P2620" t="s">
        <v>40</v>
      </c>
      <c r="Q2620">
        <v>4</v>
      </c>
      <c r="R2620" s="2">
        <v>44806</v>
      </c>
      <c r="S2620">
        <v>2</v>
      </c>
      <c r="T2620">
        <v>3</v>
      </c>
      <c r="U2620">
        <v>1</v>
      </c>
      <c r="V2620" s="1">
        <v>44920</v>
      </c>
      <c r="W2620" t="s">
        <v>50</v>
      </c>
      <c r="X2620" t="s">
        <v>51</v>
      </c>
      <c r="Y2620" t="s">
        <v>43</v>
      </c>
      <c r="Z2620">
        <v>5</v>
      </c>
      <c r="AA2620">
        <v>742.18</v>
      </c>
      <c r="AB2620">
        <v>36</v>
      </c>
    </row>
    <row r="2621" spans="1:28" x14ac:dyDescent="0.2">
      <c r="A2621">
        <v>3173</v>
      </c>
      <c r="B2621" s="1">
        <v>44916</v>
      </c>
      <c r="C2621" t="s">
        <v>28</v>
      </c>
      <c r="D2621" t="s">
        <v>54</v>
      </c>
      <c r="E2621" t="s">
        <v>30</v>
      </c>
      <c r="F2621" t="s">
        <v>31</v>
      </c>
      <c r="G2621" t="s">
        <v>45</v>
      </c>
      <c r="H2621" t="s">
        <v>46</v>
      </c>
      <c r="I2621" t="s">
        <v>34</v>
      </c>
      <c r="J2621" t="s">
        <v>109</v>
      </c>
      <c r="K2621" s="2">
        <v>20893</v>
      </c>
      <c r="L2621" t="s">
        <v>36</v>
      </c>
      <c r="M2621" t="s">
        <v>37</v>
      </c>
      <c r="N2621" t="s">
        <v>84</v>
      </c>
      <c r="O2621" t="s">
        <v>67</v>
      </c>
      <c r="P2621" t="s">
        <v>40</v>
      </c>
      <c r="Q2621">
        <v>1</v>
      </c>
      <c r="R2621" s="2">
        <v>45120</v>
      </c>
      <c r="S2621">
        <v>5</v>
      </c>
      <c r="T2621">
        <v>4</v>
      </c>
      <c r="U2621">
        <v>3</v>
      </c>
      <c r="V2621" s="1">
        <v>45078</v>
      </c>
      <c r="W2621" t="s">
        <v>92</v>
      </c>
      <c r="X2621" t="s">
        <v>51</v>
      </c>
      <c r="Y2621" t="s">
        <v>52</v>
      </c>
      <c r="Z2621">
        <v>3</v>
      </c>
      <c r="AA2621">
        <v>573.30999999999995</v>
      </c>
      <c r="AB2621">
        <v>65</v>
      </c>
    </row>
    <row r="2622" spans="1:28" x14ac:dyDescent="0.2">
      <c r="A2622">
        <v>3174</v>
      </c>
      <c r="B2622" s="1">
        <v>44846</v>
      </c>
      <c r="C2622" t="s">
        <v>28</v>
      </c>
      <c r="D2622" t="s">
        <v>69</v>
      </c>
      <c r="E2622" t="s">
        <v>30</v>
      </c>
      <c r="F2622" t="s">
        <v>55</v>
      </c>
      <c r="G2622" t="s">
        <v>32</v>
      </c>
      <c r="H2622" t="s">
        <v>46</v>
      </c>
      <c r="I2622" t="s">
        <v>34</v>
      </c>
      <c r="J2622" t="s">
        <v>102</v>
      </c>
      <c r="K2622" s="2">
        <v>22445</v>
      </c>
      <c r="L2622" t="s">
        <v>36</v>
      </c>
      <c r="M2622" t="s">
        <v>37</v>
      </c>
      <c r="N2622" t="s">
        <v>49</v>
      </c>
      <c r="O2622" t="s">
        <v>61</v>
      </c>
      <c r="P2622" t="s">
        <v>40</v>
      </c>
      <c r="Q2622">
        <v>5</v>
      </c>
      <c r="R2622" s="2">
        <v>44928</v>
      </c>
      <c r="S2622">
        <v>1</v>
      </c>
      <c r="T2622">
        <v>5</v>
      </c>
      <c r="U2622">
        <v>5</v>
      </c>
      <c r="V2622" s="1">
        <v>44904</v>
      </c>
      <c r="W2622" t="s">
        <v>92</v>
      </c>
      <c r="X2622" t="s">
        <v>51</v>
      </c>
      <c r="Y2622" t="s">
        <v>63</v>
      </c>
      <c r="Z2622">
        <v>4</v>
      </c>
      <c r="AA2622">
        <v>860.91</v>
      </c>
      <c r="AB2622">
        <v>61</v>
      </c>
    </row>
    <row r="2623" spans="1:28" x14ac:dyDescent="0.2">
      <c r="A2623">
        <v>3175</v>
      </c>
      <c r="B2623" s="1">
        <v>45130</v>
      </c>
      <c r="C2623" t="s">
        <v>28</v>
      </c>
      <c r="D2623" t="s">
        <v>29</v>
      </c>
      <c r="E2623" t="s">
        <v>30</v>
      </c>
      <c r="F2623" t="s">
        <v>55</v>
      </c>
      <c r="G2623" t="s">
        <v>56</v>
      </c>
      <c r="H2623" t="s">
        <v>55</v>
      </c>
      <c r="I2623" t="s">
        <v>34</v>
      </c>
      <c r="J2623" t="s">
        <v>97</v>
      </c>
      <c r="K2623" s="2">
        <v>17359</v>
      </c>
      <c r="L2623" t="s">
        <v>36</v>
      </c>
      <c r="M2623" t="s">
        <v>37</v>
      </c>
      <c r="N2623" t="s">
        <v>84</v>
      </c>
      <c r="O2623" t="s">
        <v>61</v>
      </c>
      <c r="P2623" t="s">
        <v>40</v>
      </c>
      <c r="Q2623">
        <v>1</v>
      </c>
      <c r="R2623" s="2">
        <v>44960</v>
      </c>
      <c r="S2623">
        <v>5</v>
      </c>
      <c r="T2623">
        <v>4</v>
      </c>
      <c r="U2623">
        <v>1</v>
      </c>
      <c r="V2623" s="1">
        <v>45068</v>
      </c>
      <c r="W2623" t="s">
        <v>68</v>
      </c>
      <c r="X2623" t="s">
        <v>51</v>
      </c>
      <c r="Y2623" t="s">
        <v>43</v>
      </c>
      <c r="Z2623">
        <v>4</v>
      </c>
      <c r="AA2623">
        <v>686.77</v>
      </c>
      <c r="AB2623">
        <v>76</v>
      </c>
    </row>
    <row r="2624" spans="1:28" x14ac:dyDescent="0.2">
      <c r="A2624">
        <v>3176</v>
      </c>
      <c r="B2624" s="1">
        <v>43447</v>
      </c>
      <c r="C2624" t="s">
        <v>28</v>
      </c>
      <c r="D2624" t="s">
        <v>85</v>
      </c>
      <c r="E2624" t="s">
        <v>30</v>
      </c>
      <c r="F2624" t="s">
        <v>55</v>
      </c>
      <c r="G2624" t="s">
        <v>45</v>
      </c>
      <c r="H2624" t="s">
        <v>55</v>
      </c>
      <c r="I2624" t="s">
        <v>34</v>
      </c>
      <c r="J2624" t="s">
        <v>96</v>
      </c>
      <c r="K2624" s="2">
        <v>36580</v>
      </c>
      <c r="L2624" t="s">
        <v>36</v>
      </c>
      <c r="M2624" t="s">
        <v>37</v>
      </c>
      <c r="N2624" t="s">
        <v>60</v>
      </c>
      <c r="O2624" t="s">
        <v>39</v>
      </c>
      <c r="P2624" t="s">
        <v>78</v>
      </c>
      <c r="Q2624">
        <v>1</v>
      </c>
      <c r="R2624" s="2">
        <v>44966</v>
      </c>
      <c r="S2624">
        <v>5</v>
      </c>
      <c r="T2624">
        <v>3</v>
      </c>
      <c r="U2624">
        <v>5</v>
      </c>
      <c r="V2624" s="1">
        <v>44950</v>
      </c>
      <c r="W2624" t="s">
        <v>41</v>
      </c>
      <c r="X2624" t="s">
        <v>51</v>
      </c>
      <c r="Y2624" t="s">
        <v>73</v>
      </c>
      <c r="Z2624">
        <v>5</v>
      </c>
      <c r="AA2624">
        <v>638.26</v>
      </c>
      <c r="AB2624">
        <v>18</v>
      </c>
    </row>
    <row r="2625" spans="1:28" x14ac:dyDescent="0.2">
      <c r="A2625">
        <v>3177</v>
      </c>
      <c r="B2625" s="1">
        <v>43738</v>
      </c>
      <c r="C2625" t="s">
        <v>28</v>
      </c>
      <c r="D2625" t="s">
        <v>44</v>
      </c>
      <c r="E2625" t="s">
        <v>108</v>
      </c>
      <c r="F2625" t="s">
        <v>55</v>
      </c>
      <c r="G2625" t="s">
        <v>45</v>
      </c>
      <c r="H2625" t="s">
        <v>55</v>
      </c>
      <c r="I2625" t="s">
        <v>34</v>
      </c>
      <c r="J2625" t="s">
        <v>96</v>
      </c>
      <c r="K2625" s="2">
        <v>36598</v>
      </c>
      <c r="L2625" t="s">
        <v>36</v>
      </c>
      <c r="M2625" t="s">
        <v>37</v>
      </c>
      <c r="N2625" t="s">
        <v>84</v>
      </c>
      <c r="O2625" t="s">
        <v>61</v>
      </c>
      <c r="P2625" t="s">
        <v>40</v>
      </c>
      <c r="Q2625">
        <v>1</v>
      </c>
      <c r="R2625" s="2">
        <v>45036</v>
      </c>
      <c r="S2625">
        <v>3</v>
      </c>
      <c r="T2625">
        <v>4</v>
      </c>
      <c r="U2625">
        <v>2</v>
      </c>
      <c r="V2625" s="1">
        <v>45010</v>
      </c>
      <c r="W2625" t="s">
        <v>41</v>
      </c>
      <c r="X2625" t="s">
        <v>51</v>
      </c>
      <c r="Y2625" t="s">
        <v>52</v>
      </c>
      <c r="Z2625">
        <v>2</v>
      </c>
      <c r="AA2625">
        <v>423.71</v>
      </c>
      <c r="AB2625">
        <v>19</v>
      </c>
    </row>
    <row r="2626" spans="1:28" x14ac:dyDescent="0.2">
      <c r="A2626">
        <v>3178</v>
      </c>
      <c r="B2626" s="1">
        <v>43854</v>
      </c>
      <c r="C2626" t="s">
        <v>106</v>
      </c>
      <c r="D2626" t="s">
        <v>87</v>
      </c>
      <c r="E2626" t="s">
        <v>108</v>
      </c>
      <c r="F2626" t="s">
        <v>46</v>
      </c>
      <c r="G2626" t="s">
        <v>32</v>
      </c>
      <c r="H2626" t="s">
        <v>46</v>
      </c>
      <c r="I2626" t="s">
        <v>34</v>
      </c>
      <c r="J2626" t="s">
        <v>70</v>
      </c>
      <c r="K2626" s="2">
        <v>32993</v>
      </c>
      <c r="L2626" t="s">
        <v>36</v>
      </c>
      <c r="M2626" t="s">
        <v>37</v>
      </c>
      <c r="N2626" t="s">
        <v>38</v>
      </c>
      <c r="O2626" t="s">
        <v>67</v>
      </c>
      <c r="P2626" t="s">
        <v>107</v>
      </c>
      <c r="Q2626">
        <v>1</v>
      </c>
      <c r="R2626" s="2">
        <v>44841</v>
      </c>
      <c r="S2626">
        <v>5</v>
      </c>
      <c r="T2626">
        <v>2</v>
      </c>
      <c r="U2626">
        <v>1</v>
      </c>
      <c r="V2626" s="1">
        <v>45048</v>
      </c>
      <c r="W2626" t="s">
        <v>92</v>
      </c>
      <c r="X2626" t="s">
        <v>42</v>
      </c>
      <c r="Y2626" t="s">
        <v>52</v>
      </c>
      <c r="Z2626">
        <v>3</v>
      </c>
      <c r="AA2626">
        <v>708.78</v>
      </c>
      <c r="AB2626">
        <v>30</v>
      </c>
    </row>
    <row r="2627" spans="1:28" x14ac:dyDescent="0.2">
      <c r="A2627">
        <v>3179</v>
      </c>
      <c r="B2627" s="1">
        <v>44188</v>
      </c>
      <c r="C2627" t="s">
        <v>106</v>
      </c>
      <c r="D2627" t="s">
        <v>64</v>
      </c>
      <c r="E2627" t="s">
        <v>30</v>
      </c>
      <c r="F2627" t="s">
        <v>55</v>
      </c>
      <c r="G2627" t="s">
        <v>32</v>
      </c>
      <c r="H2627" t="s">
        <v>55</v>
      </c>
      <c r="I2627" t="s">
        <v>34</v>
      </c>
      <c r="J2627" t="s">
        <v>70</v>
      </c>
      <c r="K2627" s="2">
        <v>15332</v>
      </c>
      <c r="L2627" t="s">
        <v>36</v>
      </c>
      <c r="M2627" t="s">
        <v>48</v>
      </c>
      <c r="N2627" t="s">
        <v>72</v>
      </c>
      <c r="O2627" t="s">
        <v>77</v>
      </c>
      <c r="P2627" t="s">
        <v>40</v>
      </c>
      <c r="Q2627">
        <v>2</v>
      </c>
      <c r="R2627" s="2">
        <v>45073</v>
      </c>
      <c r="S2627">
        <v>5</v>
      </c>
      <c r="T2627">
        <v>2</v>
      </c>
      <c r="U2627">
        <v>1</v>
      </c>
      <c r="V2627" s="1">
        <v>45049</v>
      </c>
      <c r="W2627" t="s">
        <v>41</v>
      </c>
      <c r="X2627" t="s">
        <v>42</v>
      </c>
      <c r="Y2627" t="s">
        <v>73</v>
      </c>
      <c r="Z2627">
        <v>2</v>
      </c>
      <c r="AA2627">
        <v>376.96</v>
      </c>
      <c r="AB2627">
        <v>79</v>
      </c>
    </row>
    <row r="2628" spans="1:28" x14ac:dyDescent="0.2">
      <c r="A2628">
        <v>3180</v>
      </c>
      <c r="B2628" s="1">
        <v>43623</v>
      </c>
      <c r="C2628" t="s">
        <v>106</v>
      </c>
      <c r="D2628" t="s">
        <v>94</v>
      </c>
      <c r="E2628" t="s">
        <v>108</v>
      </c>
      <c r="F2628" t="s">
        <v>55</v>
      </c>
      <c r="G2628" t="s">
        <v>56</v>
      </c>
      <c r="H2628" t="s">
        <v>33</v>
      </c>
      <c r="I2628" t="s">
        <v>34</v>
      </c>
      <c r="J2628" t="s">
        <v>70</v>
      </c>
      <c r="K2628" s="2">
        <v>35730</v>
      </c>
      <c r="L2628" t="s">
        <v>36</v>
      </c>
      <c r="M2628" t="s">
        <v>37</v>
      </c>
      <c r="N2628" t="s">
        <v>49</v>
      </c>
      <c r="O2628" t="s">
        <v>77</v>
      </c>
      <c r="P2628" t="s">
        <v>40</v>
      </c>
      <c r="Q2628">
        <v>4</v>
      </c>
      <c r="R2628" s="2">
        <v>44956</v>
      </c>
      <c r="S2628">
        <v>2</v>
      </c>
      <c r="T2628">
        <v>1</v>
      </c>
      <c r="U2628">
        <v>1</v>
      </c>
      <c r="V2628" s="1">
        <v>45110</v>
      </c>
      <c r="W2628" t="s">
        <v>62</v>
      </c>
      <c r="X2628" t="s">
        <v>51</v>
      </c>
      <c r="Y2628" t="s">
        <v>63</v>
      </c>
      <c r="Z2628">
        <v>1</v>
      </c>
      <c r="AA2628">
        <v>829.59</v>
      </c>
      <c r="AB2628">
        <v>22</v>
      </c>
    </row>
    <row r="2629" spans="1:28" x14ac:dyDescent="0.2">
      <c r="A2629">
        <v>3181</v>
      </c>
      <c r="B2629" s="1">
        <v>43824</v>
      </c>
      <c r="C2629" t="s">
        <v>106</v>
      </c>
      <c r="D2629" t="s">
        <v>74</v>
      </c>
      <c r="E2629" t="s">
        <v>30</v>
      </c>
      <c r="F2629" t="s">
        <v>31</v>
      </c>
      <c r="G2629" t="s">
        <v>32</v>
      </c>
      <c r="H2629" t="s">
        <v>33</v>
      </c>
      <c r="I2629" t="s">
        <v>34</v>
      </c>
      <c r="J2629" t="s">
        <v>65</v>
      </c>
      <c r="K2629" s="2">
        <v>21748</v>
      </c>
      <c r="L2629" t="s">
        <v>36</v>
      </c>
      <c r="M2629" t="s">
        <v>37</v>
      </c>
      <c r="N2629" t="s">
        <v>60</v>
      </c>
      <c r="O2629" t="s">
        <v>61</v>
      </c>
      <c r="P2629" t="s">
        <v>40</v>
      </c>
      <c r="Q2629">
        <v>4</v>
      </c>
      <c r="R2629" s="2">
        <v>45021</v>
      </c>
      <c r="S2629">
        <v>5</v>
      </c>
      <c r="T2629">
        <v>4</v>
      </c>
      <c r="U2629">
        <v>1</v>
      </c>
      <c r="V2629" s="1">
        <v>44939</v>
      </c>
      <c r="W2629" t="s">
        <v>41</v>
      </c>
      <c r="X2629" t="s">
        <v>42</v>
      </c>
      <c r="Y2629" t="s">
        <v>52</v>
      </c>
      <c r="Z2629">
        <v>4</v>
      </c>
      <c r="AA2629">
        <v>900.21</v>
      </c>
      <c r="AB2629">
        <v>60</v>
      </c>
    </row>
    <row r="2630" spans="1:28" x14ac:dyDescent="0.2">
      <c r="A2630">
        <v>3182</v>
      </c>
      <c r="B2630" s="1">
        <v>44952</v>
      </c>
      <c r="C2630" t="s">
        <v>106</v>
      </c>
      <c r="D2630" t="s">
        <v>81</v>
      </c>
      <c r="E2630" t="s">
        <v>30</v>
      </c>
      <c r="F2630" t="s">
        <v>31</v>
      </c>
      <c r="G2630" t="s">
        <v>56</v>
      </c>
      <c r="H2630" t="s">
        <v>33</v>
      </c>
      <c r="I2630" t="s">
        <v>34</v>
      </c>
      <c r="J2630" t="s">
        <v>70</v>
      </c>
      <c r="K2630" s="2">
        <v>26258</v>
      </c>
      <c r="L2630" t="s">
        <v>36</v>
      </c>
      <c r="M2630" t="s">
        <v>37</v>
      </c>
      <c r="N2630" t="s">
        <v>38</v>
      </c>
      <c r="O2630" t="s">
        <v>67</v>
      </c>
      <c r="P2630" t="s">
        <v>107</v>
      </c>
      <c r="Q2630">
        <v>2</v>
      </c>
      <c r="R2630" s="2">
        <v>44788</v>
      </c>
      <c r="S2630">
        <v>3</v>
      </c>
      <c r="T2630">
        <v>3</v>
      </c>
      <c r="U2630">
        <v>4</v>
      </c>
      <c r="V2630" s="1">
        <v>45048</v>
      </c>
      <c r="W2630" t="s">
        <v>68</v>
      </c>
      <c r="X2630" t="s">
        <v>42</v>
      </c>
      <c r="Y2630" t="s">
        <v>73</v>
      </c>
      <c r="Z2630">
        <v>2</v>
      </c>
      <c r="AA2630">
        <v>825.61</v>
      </c>
      <c r="AB2630">
        <v>52</v>
      </c>
    </row>
    <row r="2631" spans="1:28" x14ac:dyDescent="0.2">
      <c r="A2631">
        <v>3183</v>
      </c>
      <c r="B2631" s="1">
        <v>44868</v>
      </c>
      <c r="C2631" t="s">
        <v>106</v>
      </c>
      <c r="D2631" t="s">
        <v>54</v>
      </c>
      <c r="E2631" t="s">
        <v>108</v>
      </c>
      <c r="F2631" t="s">
        <v>55</v>
      </c>
      <c r="G2631" t="s">
        <v>45</v>
      </c>
      <c r="H2631" t="s">
        <v>33</v>
      </c>
      <c r="I2631" t="s">
        <v>34</v>
      </c>
      <c r="J2631" t="s">
        <v>79</v>
      </c>
      <c r="K2631" s="2">
        <v>19405</v>
      </c>
      <c r="L2631" t="s">
        <v>36</v>
      </c>
      <c r="M2631" t="s">
        <v>48</v>
      </c>
      <c r="N2631" t="s">
        <v>60</v>
      </c>
      <c r="O2631" t="s">
        <v>61</v>
      </c>
      <c r="P2631" t="s">
        <v>107</v>
      </c>
      <c r="Q2631">
        <v>3</v>
      </c>
      <c r="R2631" s="2">
        <v>45052</v>
      </c>
      <c r="S2631">
        <v>1</v>
      </c>
      <c r="T2631">
        <v>1</v>
      </c>
      <c r="U2631">
        <v>4</v>
      </c>
      <c r="V2631" s="1">
        <v>45135</v>
      </c>
      <c r="W2631" t="s">
        <v>50</v>
      </c>
      <c r="X2631" t="s">
        <v>51</v>
      </c>
      <c r="Y2631" t="s">
        <v>63</v>
      </c>
      <c r="Z2631">
        <v>1</v>
      </c>
      <c r="AA2631">
        <v>205.22</v>
      </c>
      <c r="AB2631">
        <v>69</v>
      </c>
    </row>
    <row r="2632" spans="1:28" x14ac:dyDescent="0.2">
      <c r="A2632">
        <v>3184</v>
      </c>
      <c r="B2632" s="1">
        <v>44694</v>
      </c>
      <c r="C2632" t="s">
        <v>28</v>
      </c>
      <c r="D2632" t="s">
        <v>87</v>
      </c>
      <c r="E2632" t="s">
        <v>30</v>
      </c>
      <c r="F2632" t="s">
        <v>46</v>
      </c>
      <c r="G2632" t="s">
        <v>45</v>
      </c>
      <c r="H2632" t="s">
        <v>55</v>
      </c>
      <c r="I2632" t="s">
        <v>34</v>
      </c>
      <c r="J2632" t="s">
        <v>70</v>
      </c>
      <c r="K2632" s="2">
        <v>26440</v>
      </c>
      <c r="L2632" t="s">
        <v>36</v>
      </c>
      <c r="M2632" t="s">
        <v>37</v>
      </c>
      <c r="N2632" t="s">
        <v>49</v>
      </c>
      <c r="O2632" t="s">
        <v>61</v>
      </c>
      <c r="P2632" t="s">
        <v>107</v>
      </c>
      <c r="Q2632">
        <v>5</v>
      </c>
      <c r="R2632" s="2">
        <v>45110</v>
      </c>
      <c r="S2632">
        <v>3</v>
      </c>
      <c r="T2632">
        <v>1</v>
      </c>
      <c r="U2632">
        <v>4</v>
      </c>
      <c r="V2632" s="1">
        <v>44813</v>
      </c>
      <c r="W2632" t="s">
        <v>68</v>
      </c>
      <c r="X2632" t="s">
        <v>42</v>
      </c>
      <c r="Y2632" t="s">
        <v>43</v>
      </c>
      <c r="Z2632">
        <v>3</v>
      </c>
      <c r="AA2632">
        <v>441.79</v>
      </c>
      <c r="AB2632">
        <v>50</v>
      </c>
    </row>
    <row r="2633" spans="1:28" x14ac:dyDescent="0.2">
      <c r="A2633">
        <v>3185</v>
      </c>
      <c r="B2633" s="1">
        <v>44097</v>
      </c>
      <c r="C2633" t="s">
        <v>28</v>
      </c>
      <c r="D2633" t="s">
        <v>81</v>
      </c>
      <c r="E2633" t="s">
        <v>108</v>
      </c>
      <c r="F2633" t="s">
        <v>31</v>
      </c>
      <c r="G2633" t="s">
        <v>32</v>
      </c>
      <c r="H2633" t="s">
        <v>33</v>
      </c>
      <c r="I2633" t="s">
        <v>34</v>
      </c>
      <c r="J2633" t="s">
        <v>70</v>
      </c>
      <c r="K2633" s="2">
        <v>36474</v>
      </c>
      <c r="L2633" t="s">
        <v>36</v>
      </c>
      <c r="M2633" t="s">
        <v>37</v>
      </c>
      <c r="N2633" t="s">
        <v>60</v>
      </c>
      <c r="O2633" t="s">
        <v>77</v>
      </c>
      <c r="P2633" t="s">
        <v>107</v>
      </c>
      <c r="Q2633">
        <v>2</v>
      </c>
      <c r="R2633" s="2">
        <v>44793</v>
      </c>
      <c r="S2633">
        <v>5</v>
      </c>
      <c r="T2633">
        <v>4</v>
      </c>
      <c r="U2633">
        <v>5</v>
      </c>
      <c r="V2633" s="1">
        <v>44893</v>
      </c>
      <c r="W2633" t="s">
        <v>92</v>
      </c>
      <c r="X2633" t="s">
        <v>51</v>
      </c>
      <c r="Y2633" t="s">
        <v>73</v>
      </c>
      <c r="Z2633">
        <v>3</v>
      </c>
      <c r="AA2633">
        <v>491.87</v>
      </c>
      <c r="AB2633">
        <v>21</v>
      </c>
    </row>
    <row r="2634" spans="1:28" x14ac:dyDescent="0.2">
      <c r="A2634">
        <v>3186</v>
      </c>
      <c r="B2634" s="1">
        <v>44437</v>
      </c>
      <c r="C2634" t="s">
        <v>28</v>
      </c>
      <c r="D2634" t="s">
        <v>54</v>
      </c>
      <c r="E2634" t="s">
        <v>30</v>
      </c>
      <c r="F2634" t="s">
        <v>46</v>
      </c>
      <c r="G2634" t="s">
        <v>45</v>
      </c>
      <c r="H2634" t="s">
        <v>55</v>
      </c>
      <c r="I2634" t="s">
        <v>34</v>
      </c>
      <c r="J2634" t="s">
        <v>47</v>
      </c>
      <c r="K2634" s="2">
        <v>24595</v>
      </c>
      <c r="L2634" t="s">
        <v>36</v>
      </c>
      <c r="M2634" t="s">
        <v>37</v>
      </c>
      <c r="N2634" t="s">
        <v>72</v>
      </c>
      <c r="O2634" t="s">
        <v>77</v>
      </c>
      <c r="P2634" t="s">
        <v>40</v>
      </c>
      <c r="Q2634">
        <v>2</v>
      </c>
      <c r="R2634" s="2">
        <v>45089</v>
      </c>
      <c r="S2634">
        <v>5</v>
      </c>
      <c r="T2634">
        <v>2</v>
      </c>
      <c r="U2634">
        <v>3</v>
      </c>
      <c r="V2634" s="1">
        <v>45026</v>
      </c>
      <c r="W2634" t="s">
        <v>68</v>
      </c>
      <c r="X2634" t="s">
        <v>42</v>
      </c>
      <c r="Y2634" t="s">
        <v>43</v>
      </c>
      <c r="Z2634">
        <v>4</v>
      </c>
      <c r="AA2634">
        <v>927.48</v>
      </c>
      <c r="AB2634">
        <v>54</v>
      </c>
    </row>
    <row r="2635" spans="1:28" x14ac:dyDescent="0.2">
      <c r="A2635">
        <v>3187</v>
      </c>
      <c r="B2635" s="1">
        <v>44908</v>
      </c>
      <c r="C2635" t="s">
        <v>28</v>
      </c>
      <c r="D2635" t="s">
        <v>94</v>
      </c>
      <c r="E2635" t="s">
        <v>30</v>
      </c>
      <c r="F2635" t="s">
        <v>31</v>
      </c>
      <c r="G2635" t="s">
        <v>32</v>
      </c>
      <c r="H2635" t="s">
        <v>55</v>
      </c>
      <c r="I2635" t="s">
        <v>34</v>
      </c>
      <c r="J2635" t="s">
        <v>101</v>
      </c>
      <c r="K2635" s="2">
        <v>22744</v>
      </c>
      <c r="L2635" t="s">
        <v>36</v>
      </c>
      <c r="M2635" t="s">
        <v>37</v>
      </c>
      <c r="N2635" t="s">
        <v>72</v>
      </c>
      <c r="O2635" t="s">
        <v>61</v>
      </c>
      <c r="P2635" t="s">
        <v>107</v>
      </c>
      <c r="Q2635">
        <v>3</v>
      </c>
      <c r="R2635" s="2">
        <v>44928</v>
      </c>
      <c r="S2635">
        <v>4</v>
      </c>
      <c r="T2635">
        <v>2</v>
      </c>
      <c r="U2635">
        <v>2</v>
      </c>
      <c r="V2635" s="1">
        <v>45133</v>
      </c>
      <c r="W2635" t="s">
        <v>41</v>
      </c>
      <c r="X2635" t="s">
        <v>42</v>
      </c>
      <c r="Y2635" t="s">
        <v>63</v>
      </c>
      <c r="Z2635">
        <v>3</v>
      </c>
      <c r="AA2635">
        <v>831.15</v>
      </c>
      <c r="AB2635">
        <v>60</v>
      </c>
    </row>
    <row r="2636" spans="1:28" x14ac:dyDescent="0.2">
      <c r="A2636">
        <v>3188</v>
      </c>
      <c r="B2636" s="1">
        <v>44871</v>
      </c>
      <c r="C2636" t="s">
        <v>28</v>
      </c>
      <c r="D2636" t="s">
        <v>85</v>
      </c>
      <c r="E2636" t="s">
        <v>30</v>
      </c>
      <c r="F2636" t="s">
        <v>46</v>
      </c>
      <c r="G2636" t="s">
        <v>32</v>
      </c>
      <c r="H2636" t="s">
        <v>46</v>
      </c>
      <c r="I2636" t="s">
        <v>34</v>
      </c>
      <c r="J2636" t="s">
        <v>70</v>
      </c>
      <c r="K2636" s="2">
        <v>28798</v>
      </c>
      <c r="L2636" t="s">
        <v>36</v>
      </c>
      <c r="M2636" t="s">
        <v>48</v>
      </c>
      <c r="N2636" t="s">
        <v>49</v>
      </c>
      <c r="O2636" t="s">
        <v>77</v>
      </c>
      <c r="P2636" t="s">
        <v>40</v>
      </c>
      <c r="Q2636">
        <v>4</v>
      </c>
      <c r="R2636" s="2">
        <v>45130</v>
      </c>
      <c r="S2636">
        <v>5</v>
      </c>
      <c r="T2636">
        <v>2</v>
      </c>
      <c r="U2636">
        <v>4</v>
      </c>
      <c r="V2636" s="1">
        <v>45062</v>
      </c>
      <c r="W2636" t="s">
        <v>41</v>
      </c>
      <c r="X2636" t="s">
        <v>42</v>
      </c>
      <c r="Y2636" t="s">
        <v>52</v>
      </c>
      <c r="Z2636">
        <v>3</v>
      </c>
      <c r="AA2636">
        <v>976.9</v>
      </c>
      <c r="AB2636">
        <v>44</v>
      </c>
    </row>
    <row r="2637" spans="1:28" x14ac:dyDescent="0.2">
      <c r="A2637">
        <v>3189</v>
      </c>
      <c r="B2637" s="1">
        <v>45142</v>
      </c>
      <c r="C2637" t="s">
        <v>28</v>
      </c>
      <c r="D2637" t="s">
        <v>64</v>
      </c>
      <c r="E2637" t="s">
        <v>30</v>
      </c>
      <c r="F2637" t="s">
        <v>55</v>
      </c>
      <c r="G2637" t="s">
        <v>32</v>
      </c>
      <c r="H2637" t="s">
        <v>33</v>
      </c>
      <c r="I2637" t="s">
        <v>34</v>
      </c>
      <c r="J2637" t="s">
        <v>96</v>
      </c>
      <c r="K2637" s="2">
        <v>23579</v>
      </c>
      <c r="L2637" t="s">
        <v>36</v>
      </c>
      <c r="M2637" t="s">
        <v>37</v>
      </c>
      <c r="N2637" t="s">
        <v>84</v>
      </c>
      <c r="O2637" t="s">
        <v>67</v>
      </c>
      <c r="P2637" t="s">
        <v>107</v>
      </c>
      <c r="Q2637">
        <v>1</v>
      </c>
      <c r="R2637" s="2">
        <v>44974</v>
      </c>
      <c r="S2637">
        <v>4</v>
      </c>
      <c r="T2637">
        <v>3</v>
      </c>
      <c r="U2637">
        <v>4</v>
      </c>
      <c r="V2637" s="1">
        <v>44815</v>
      </c>
      <c r="W2637" t="s">
        <v>41</v>
      </c>
      <c r="X2637" t="s">
        <v>42</v>
      </c>
      <c r="Y2637" t="s">
        <v>73</v>
      </c>
      <c r="Z2637">
        <v>5</v>
      </c>
      <c r="AA2637">
        <v>574.76</v>
      </c>
      <c r="AB2637">
        <v>59</v>
      </c>
    </row>
    <row r="2638" spans="1:28" x14ac:dyDescent="0.2">
      <c r="A2638">
        <v>3190</v>
      </c>
      <c r="B2638" s="1">
        <v>44150</v>
      </c>
      <c r="C2638" t="s">
        <v>28</v>
      </c>
      <c r="D2638" t="s">
        <v>74</v>
      </c>
      <c r="E2638" t="s">
        <v>30</v>
      </c>
      <c r="F2638" t="s">
        <v>31</v>
      </c>
      <c r="G2638" t="s">
        <v>32</v>
      </c>
      <c r="H2638" t="s">
        <v>46</v>
      </c>
      <c r="I2638" t="s">
        <v>34</v>
      </c>
      <c r="J2638" t="s">
        <v>65</v>
      </c>
      <c r="K2638" s="2">
        <v>35836</v>
      </c>
      <c r="L2638" t="s">
        <v>36</v>
      </c>
      <c r="M2638" t="s">
        <v>48</v>
      </c>
      <c r="N2638" t="s">
        <v>38</v>
      </c>
      <c r="O2638" t="s">
        <v>77</v>
      </c>
      <c r="P2638" t="s">
        <v>107</v>
      </c>
      <c r="Q2638">
        <v>2</v>
      </c>
      <c r="R2638" s="2">
        <v>44849</v>
      </c>
      <c r="S2638">
        <v>4</v>
      </c>
      <c r="T2638">
        <v>5</v>
      </c>
      <c r="U2638">
        <v>5</v>
      </c>
      <c r="V2638" s="1">
        <v>45120</v>
      </c>
      <c r="W2638" t="s">
        <v>41</v>
      </c>
      <c r="X2638" t="s">
        <v>51</v>
      </c>
      <c r="Y2638" t="s">
        <v>73</v>
      </c>
      <c r="Z2638">
        <v>3</v>
      </c>
      <c r="AA2638">
        <v>911.6</v>
      </c>
      <c r="AB2638">
        <v>22</v>
      </c>
    </row>
    <row r="2639" spans="1:28" x14ac:dyDescent="0.2">
      <c r="A2639">
        <v>3191</v>
      </c>
      <c r="B2639" s="1">
        <v>44748</v>
      </c>
      <c r="C2639" t="s">
        <v>28</v>
      </c>
      <c r="D2639" t="s">
        <v>69</v>
      </c>
      <c r="E2639" t="s">
        <v>30</v>
      </c>
      <c r="F2639" t="s">
        <v>46</v>
      </c>
      <c r="G2639" t="s">
        <v>45</v>
      </c>
      <c r="H2639" t="s">
        <v>46</v>
      </c>
      <c r="I2639" t="s">
        <v>34</v>
      </c>
      <c r="J2639" t="s">
        <v>110</v>
      </c>
      <c r="K2639" s="2">
        <v>16465</v>
      </c>
      <c r="L2639" t="s">
        <v>36</v>
      </c>
      <c r="M2639" t="s">
        <v>48</v>
      </c>
      <c r="N2639" t="s">
        <v>72</v>
      </c>
      <c r="O2639" t="s">
        <v>67</v>
      </c>
      <c r="P2639" t="s">
        <v>40</v>
      </c>
      <c r="Q2639">
        <v>2</v>
      </c>
      <c r="R2639" s="2">
        <v>44981</v>
      </c>
      <c r="S2639">
        <v>1</v>
      </c>
      <c r="T2639">
        <v>2</v>
      </c>
      <c r="U2639">
        <v>2</v>
      </c>
      <c r="V2639" s="1">
        <v>44962</v>
      </c>
      <c r="W2639" t="s">
        <v>62</v>
      </c>
      <c r="X2639" t="s">
        <v>51</v>
      </c>
      <c r="Y2639" t="s">
        <v>52</v>
      </c>
      <c r="Z2639">
        <v>3</v>
      </c>
      <c r="AA2639">
        <v>476.39</v>
      </c>
      <c r="AB2639">
        <v>77</v>
      </c>
    </row>
    <row r="2640" spans="1:28" x14ac:dyDescent="0.2">
      <c r="A2640">
        <v>3192</v>
      </c>
      <c r="B2640" s="1">
        <v>43576</v>
      </c>
      <c r="C2640" t="s">
        <v>28</v>
      </c>
      <c r="D2640" t="s">
        <v>29</v>
      </c>
      <c r="E2640" t="s">
        <v>30</v>
      </c>
      <c r="F2640" t="s">
        <v>55</v>
      </c>
      <c r="G2640" t="s">
        <v>45</v>
      </c>
      <c r="H2640" t="s">
        <v>46</v>
      </c>
      <c r="I2640" t="s">
        <v>34</v>
      </c>
      <c r="J2640" t="s">
        <v>47</v>
      </c>
      <c r="K2640" s="2">
        <v>35442</v>
      </c>
      <c r="L2640" t="s">
        <v>36</v>
      </c>
      <c r="M2640" t="s">
        <v>37</v>
      </c>
      <c r="N2640" t="s">
        <v>72</v>
      </c>
      <c r="O2640" t="s">
        <v>61</v>
      </c>
      <c r="P2640" t="s">
        <v>40</v>
      </c>
      <c r="Q2640">
        <v>3</v>
      </c>
      <c r="R2640" s="2">
        <v>45103</v>
      </c>
      <c r="S2640">
        <v>5</v>
      </c>
      <c r="T2640">
        <v>4</v>
      </c>
      <c r="U2640">
        <v>1</v>
      </c>
      <c r="V2640" s="1">
        <v>44801</v>
      </c>
      <c r="W2640" t="s">
        <v>68</v>
      </c>
      <c r="X2640" t="s">
        <v>42</v>
      </c>
      <c r="Y2640" t="s">
        <v>52</v>
      </c>
      <c r="Z2640">
        <v>1</v>
      </c>
      <c r="AA2640">
        <v>752.12</v>
      </c>
      <c r="AB2640">
        <v>22</v>
      </c>
    </row>
    <row r="2641" spans="1:28" x14ac:dyDescent="0.2">
      <c r="A2641">
        <v>3193</v>
      </c>
      <c r="B2641" s="1">
        <v>44436</v>
      </c>
      <c r="C2641" t="s">
        <v>28</v>
      </c>
      <c r="D2641" t="s">
        <v>44</v>
      </c>
      <c r="E2641" t="s">
        <v>30</v>
      </c>
      <c r="F2641" t="s">
        <v>55</v>
      </c>
      <c r="G2641" t="s">
        <v>32</v>
      </c>
      <c r="H2641" t="s">
        <v>33</v>
      </c>
      <c r="I2641" t="s">
        <v>34</v>
      </c>
      <c r="J2641" t="s">
        <v>65</v>
      </c>
      <c r="K2641" s="2">
        <v>16826</v>
      </c>
      <c r="L2641" t="s">
        <v>36</v>
      </c>
      <c r="M2641" t="s">
        <v>37</v>
      </c>
      <c r="N2641" t="s">
        <v>72</v>
      </c>
      <c r="O2641" t="s">
        <v>77</v>
      </c>
      <c r="P2641" t="s">
        <v>107</v>
      </c>
      <c r="Q2641">
        <v>3</v>
      </c>
      <c r="R2641" s="2">
        <v>45143</v>
      </c>
      <c r="S2641">
        <v>1</v>
      </c>
      <c r="T2641">
        <v>1</v>
      </c>
      <c r="U2641">
        <v>5</v>
      </c>
      <c r="V2641" s="1">
        <v>45032</v>
      </c>
      <c r="W2641" t="s">
        <v>62</v>
      </c>
      <c r="X2641" t="s">
        <v>51</v>
      </c>
      <c r="Y2641" t="s">
        <v>63</v>
      </c>
      <c r="Z2641">
        <v>3</v>
      </c>
      <c r="AA2641">
        <v>240.94</v>
      </c>
      <c r="AB2641">
        <v>75</v>
      </c>
    </row>
    <row r="2642" spans="1:28" x14ac:dyDescent="0.2">
      <c r="A2642">
        <v>3194</v>
      </c>
      <c r="B2642" s="1">
        <v>44280</v>
      </c>
      <c r="C2642" t="s">
        <v>28</v>
      </c>
      <c r="D2642" t="s">
        <v>87</v>
      </c>
      <c r="E2642" t="s">
        <v>30</v>
      </c>
      <c r="F2642" t="s">
        <v>31</v>
      </c>
      <c r="G2642" t="s">
        <v>56</v>
      </c>
      <c r="H2642" t="s">
        <v>55</v>
      </c>
      <c r="I2642" t="s">
        <v>34</v>
      </c>
      <c r="J2642" t="s">
        <v>70</v>
      </c>
      <c r="K2642" s="2">
        <v>34922</v>
      </c>
      <c r="L2642" t="s">
        <v>36</v>
      </c>
      <c r="M2642" t="s">
        <v>37</v>
      </c>
      <c r="N2642" t="s">
        <v>84</v>
      </c>
      <c r="O2642" t="s">
        <v>77</v>
      </c>
      <c r="P2642" t="s">
        <v>40</v>
      </c>
      <c r="Q2642">
        <v>1</v>
      </c>
      <c r="R2642" s="2">
        <v>44921</v>
      </c>
      <c r="S2642">
        <v>2</v>
      </c>
      <c r="T2642">
        <v>5</v>
      </c>
      <c r="U2642">
        <v>5</v>
      </c>
      <c r="V2642" s="1">
        <v>44949</v>
      </c>
      <c r="W2642" t="s">
        <v>41</v>
      </c>
      <c r="X2642" t="s">
        <v>42</v>
      </c>
      <c r="Y2642" t="s">
        <v>73</v>
      </c>
      <c r="Z2642">
        <v>5</v>
      </c>
      <c r="AA2642">
        <v>143.28</v>
      </c>
      <c r="AB2642">
        <v>26</v>
      </c>
    </row>
    <row r="2643" spans="1:28" x14ac:dyDescent="0.2">
      <c r="A2643">
        <v>3195</v>
      </c>
      <c r="B2643" s="1">
        <v>44028</v>
      </c>
      <c r="C2643" t="s">
        <v>28</v>
      </c>
      <c r="D2643" t="s">
        <v>81</v>
      </c>
      <c r="E2643" t="s">
        <v>30</v>
      </c>
      <c r="F2643" t="s">
        <v>55</v>
      </c>
      <c r="G2643" t="s">
        <v>45</v>
      </c>
      <c r="H2643" t="s">
        <v>55</v>
      </c>
      <c r="I2643" t="s">
        <v>34</v>
      </c>
      <c r="J2643" t="s">
        <v>65</v>
      </c>
      <c r="K2643" s="2">
        <v>29617</v>
      </c>
      <c r="L2643" t="s">
        <v>36</v>
      </c>
      <c r="M2643" t="s">
        <v>37</v>
      </c>
      <c r="N2643" t="s">
        <v>38</v>
      </c>
      <c r="O2643" t="s">
        <v>77</v>
      </c>
      <c r="P2643" t="s">
        <v>40</v>
      </c>
      <c r="Q2643">
        <v>2</v>
      </c>
      <c r="R2643" s="2">
        <v>45008</v>
      </c>
      <c r="S2643">
        <v>5</v>
      </c>
      <c r="T2643">
        <v>4</v>
      </c>
      <c r="U2643">
        <v>1</v>
      </c>
      <c r="V2643" s="1">
        <v>45105</v>
      </c>
      <c r="W2643" t="s">
        <v>50</v>
      </c>
      <c r="X2643" t="s">
        <v>51</v>
      </c>
      <c r="Y2643" t="s">
        <v>43</v>
      </c>
      <c r="Z2643">
        <v>1</v>
      </c>
      <c r="AA2643">
        <v>556.09</v>
      </c>
      <c r="AB2643">
        <v>39</v>
      </c>
    </row>
    <row r="2644" spans="1:28" x14ac:dyDescent="0.2">
      <c r="A2644">
        <v>3196</v>
      </c>
      <c r="B2644" s="1">
        <v>43432</v>
      </c>
      <c r="C2644" t="s">
        <v>28</v>
      </c>
      <c r="D2644" t="s">
        <v>54</v>
      </c>
      <c r="E2644" t="s">
        <v>30</v>
      </c>
      <c r="F2644" t="s">
        <v>55</v>
      </c>
      <c r="G2644" t="s">
        <v>56</v>
      </c>
      <c r="H2644" t="s">
        <v>33</v>
      </c>
      <c r="I2644" t="s">
        <v>34</v>
      </c>
      <c r="J2644" t="s">
        <v>79</v>
      </c>
      <c r="K2644" s="2">
        <v>27345</v>
      </c>
      <c r="L2644" t="s">
        <v>36</v>
      </c>
      <c r="M2644" t="s">
        <v>37</v>
      </c>
      <c r="N2644" t="s">
        <v>60</v>
      </c>
      <c r="O2644" t="s">
        <v>77</v>
      </c>
      <c r="P2644" t="s">
        <v>40</v>
      </c>
      <c r="Q2644">
        <v>2</v>
      </c>
      <c r="R2644" s="2">
        <v>44865</v>
      </c>
      <c r="S2644">
        <v>3</v>
      </c>
      <c r="T2644">
        <v>3</v>
      </c>
      <c r="U2644">
        <v>1</v>
      </c>
      <c r="V2644" s="1">
        <v>45083</v>
      </c>
      <c r="W2644" t="s">
        <v>50</v>
      </c>
      <c r="X2644" t="s">
        <v>42</v>
      </c>
      <c r="Y2644" t="s">
        <v>73</v>
      </c>
      <c r="Z2644">
        <v>5</v>
      </c>
      <c r="AA2644">
        <v>518.62</v>
      </c>
      <c r="AB2644">
        <v>44</v>
      </c>
    </row>
    <row r="2645" spans="1:28" x14ac:dyDescent="0.2">
      <c r="A2645">
        <v>3197</v>
      </c>
      <c r="B2645" s="1">
        <v>43643</v>
      </c>
      <c r="C2645" t="s">
        <v>28</v>
      </c>
      <c r="D2645" t="s">
        <v>94</v>
      </c>
      <c r="E2645" t="s">
        <v>30</v>
      </c>
      <c r="F2645" t="s">
        <v>31</v>
      </c>
      <c r="G2645" t="s">
        <v>45</v>
      </c>
      <c r="H2645" t="s">
        <v>55</v>
      </c>
      <c r="I2645" t="s">
        <v>34</v>
      </c>
      <c r="J2645" t="s">
        <v>65</v>
      </c>
      <c r="K2645" s="2">
        <v>28215</v>
      </c>
      <c r="L2645" t="s">
        <v>36</v>
      </c>
      <c r="M2645" t="s">
        <v>37</v>
      </c>
      <c r="N2645" t="s">
        <v>49</v>
      </c>
      <c r="O2645" t="s">
        <v>77</v>
      </c>
      <c r="P2645" t="s">
        <v>107</v>
      </c>
      <c r="Q2645">
        <v>1</v>
      </c>
      <c r="R2645" s="2">
        <v>44824</v>
      </c>
      <c r="S2645">
        <v>5</v>
      </c>
      <c r="T2645">
        <v>5</v>
      </c>
      <c r="U2645">
        <v>2</v>
      </c>
      <c r="V2645" s="1">
        <v>44875</v>
      </c>
      <c r="W2645" t="s">
        <v>50</v>
      </c>
      <c r="X2645" t="s">
        <v>42</v>
      </c>
      <c r="Y2645" t="s">
        <v>43</v>
      </c>
      <c r="Z2645">
        <v>4</v>
      </c>
      <c r="AA2645">
        <v>694.79</v>
      </c>
      <c r="AB2645">
        <v>42</v>
      </c>
    </row>
    <row r="2646" spans="1:28" x14ac:dyDescent="0.2">
      <c r="A2646">
        <v>3198</v>
      </c>
      <c r="B2646" s="1">
        <v>44930</v>
      </c>
      <c r="C2646" t="s">
        <v>28</v>
      </c>
      <c r="D2646" t="s">
        <v>85</v>
      </c>
      <c r="E2646" t="s">
        <v>30</v>
      </c>
      <c r="F2646" t="s">
        <v>31</v>
      </c>
      <c r="G2646" t="s">
        <v>45</v>
      </c>
      <c r="H2646" t="s">
        <v>33</v>
      </c>
      <c r="I2646" t="s">
        <v>34</v>
      </c>
      <c r="J2646" t="s">
        <v>65</v>
      </c>
      <c r="K2646" s="2">
        <v>29122</v>
      </c>
      <c r="L2646" t="s">
        <v>36</v>
      </c>
      <c r="M2646" t="s">
        <v>37</v>
      </c>
      <c r="N2646" t="s">
        <v>84</v>
      </c>
      <c r="O2646" t="s">
        <v>67</v>
      </c>
      <c r="P2646" t="s">
        <v>40</v>
      </c>
      <c r="Q2646">
        <v>2</v>
      </c>
      <c r="R2646" s="2">
        <v>44930</v>
      </c>
      <c r="S2646">
        <v>1</v>
      </c>
      <c r="T2646">
        <v>3</v>
      </c>
      <c r="U2646">
        <v>1</v>
      </c>
      <c r="V2646" s="1">
        <v>45078</v>
      </c>
      <c r="W2646" t="s">
        <v>92</v>
      </c>
      <c r="X2646" t="s">
        <v>42</v>
      </c>
      <c r="Y2646" t="s">
        <v>63</v>
      </c>
      <c r="Z2646">
        <v>2</v>
      </c>
      <c r="AA2646">
        <v>445.34</v>
      </c>
      <c r="AB2646">
        <v>44</v>
      </c>
    </row>
    <row r="2647" spans="1:28" x14ac:dyDescent="0.2">
      <c r="A2647">
        <v>3199</v>
      </c>
      <c r="B2647" s="1">
        <v>43426</v>
      </c>
      <c r="C2647" t="s">
        <v>28</v>
      </c>
      <c r="D2647" t="s">
        <v>69</v>
      </c>
      <c r="E2647" t="s">
        <v>30</v>
      </c>
      <c r="F2647" t="s">
        <v>55</v>
      </c>
      <c r="G2647" t="s">
        <v>56</v>
      </c>
      <c r="H2647" t="s">
        <v>55</v>
      </c>
      <c r="I2647" t="s">
        <v>34</v>
      </c>
      <c r="J2647" t="s">
        <v>79</v>
      </c>
      <c r="K2647" s="2">
        <v>28507</v>
      </c>
      <c r="L2647" t="s">
        <v>36</v>
      </c>
      <c r="M2647" t="s">
        <v>37</v>
      </c>
      <c r="N2647" t="s">
        <v>49</v>
      </c>
      <c r="O2647" t="s">
        <v>67</v>
      </c>
      <c r="P2647" t="s">
        <v>40</v>
      </c>
      <c r="Q2647">
        <v>2</v>
      </c>
      <c r="R2647" s="2">
        <v>44804</v>
      </c>
      <c r="S2647">
        <v>1</v>
      </c>
      <c r="T2647">
        <v>4</v>
      </c>
      <c r="U2647">
        <v>4</v>
      </c>
      <c r="V2647" s="1">
        <v>44827</v>
      </c>
      <c r="W2647" t="s">
        <v>68</v>
      </c>
      <c r="X2647" t="s">
        <v>42</v>
      </c>
      <c r="Y2647" t="s">
        <v>52</v>
      </c>
      <c r="Z2647">
        <v>5</v>
      </c>
      <c r="AA2647">
        <v>609.17999999999995</v>
      </c>
      <c r="AB2647">
        <v>40</v>
      </c>
    </row>
    <row r="2648" spans="1:28" x14ac:dyDescent="0.2">
      <c r="A2648">
        <v>3200</v>
      </c>
      <c r="B2648" s="1">
        <v>44204</v>
      </c>
      <c r="C2648" t="s">
        <v>106</v>
      </c>
      <c r="D2648" t="s">
        <v>54</v>
      </c>
      <c r="E2648" t="s">
        <v>30</v>
      </c>
      <c r="F2648" t="s">
        <v>46</v>
      </c>
      <c r="G2648" t="s">
        <v>56</v>
      </c>
      <c r="H2648" t="s">
        <v>33</v>
      </c>
      <c r="I2648" t="s">
        <v>34</v>
      </c>
      <c r="J2648" t="s">
        <v>109</v>
      </c>
      <c r="K2648" s="2">
        <v>27601</v>
      </c>
      <c r="L2648" t="s">
        <v>36</v>
      </c>
      <c r="M2648" t="s">
        <v>48</v>
      </c>
      <c r="N2648" t="s">
        <v>84</v>
      </c>
      <c r="O2648" t="s">
        <v>67</v>
      </c>
      <c r="P2648" t="s">
        <v>40</v>
      </c>
      <c r="Q2648">
        <v>4</v>
      </c>
      <c r="R2648" s="2">
        <v>45074</v>
      </c>
      <c r="S2648">
        <v>5</v>
      </c>
      <c r="T2648">
        <v>1</v>
      </c>
      <c r="U2648">
        <v>3</v>
      </c>
      <c r="V2648" s="1">
        <v>45003</v>
      </c>
      <c r="W2648" t="s">
        <v>92</v>
      </c>
      <c r="X2648" t="s">
        <v>42</v>
      </c>
      <c r="Y2648" t="s">
        <v>63</v>
      </c>
      <c r="Z2648">
        <v>1</v>
      </c>
      <c r="AA2648">
        <v>473.02</v>
      </c>
      <c r="AB2648">
        <v>46</v>
      </c>
    </row>
    <row r="2649" spans="1:28" x14ac:dyDescent="0.2">
      <c r="A2649">
        <v>3201</v>
      </c>
      <c r="B2649" s="1">
        <v>44883</v>
      </c>
      <c r="C2649" t="s">
        <v>28</v>
      </c>
      <c r="D2649" t="s">
        <v>44</v>
      </c>
      <c r="E2649" t="s">
        <v>30</v>
      </c>
      <c r="F2649" t="s">
        <v>46</v>
      </c>
      <c r="G2649" t="s">
        <v>45</v>
      </c>
      <c r="H2649" t="s">
        <v>46</v>
      </c>
      <c r="I2649" t="s">
        <v>34</v>
      </c>
      <c r="J2649" t="s">
        <v>47</v>
      </c>
      <c r="K2649" s="2">
        <v>30879</v>
      </c>
      <c r="L2649" t="s">
        <v>36</v>
      </c>
      <c r="M2649" t="s">
        <v>37</v>
      </c>
      <c r="N2649" t="s">
        <v>84</v>
      </c>
      <c r="O2649" t="s">
        <v>39</v>
      </c>
      <c r="P2649" t="s">
        <v>40</v>
      </c>
      <c r="Q2649">
        <v>4</v>
      </c>
      <c r="R2649" s="2">
        <v>44922</v>
      </c>
      <c r="S2649">
        <v>1</v>
      </c>
      <c r="T2649">
        <v>4</v>
      </c>
      <c r="U2649">
        <v>5</v>
      </c>
      <c r="V2649" s="1">
        <v>45082</v>
      </c>
      <c r="W2649" t="s">
        <v>41</v>
      </c>
      <c r="X2649" t="s">
        <v>42</v>
      </c>
      <c r="Y2649" t="s">
        <v>43</v>
      </c>
      <c r="Z2649">
        <v>2</v>
      </c>
      <c r="AA2649">
        <v>758.46</v>
      </c>
      <c r="AB2649">
        <v>38</v>
      </c>
    </row>
    <row r="2650" spans="1:28" x14ac:dyDescent="0.2">
      <c r="A2650">
        <v>3202</v>
      </c>
      <c r="B2650" s="1">
        <v>44003</v>
      </c>
      <c r="C2650" t="s">
        <v>28</v>
      </c>
      <c r="D2650" t="s">
        <v>74</v>
      </c>
      <c r="E2650" t="s">
        <v>108</v>
      </c>
      <c r="F2650" t="s">
        <v>31</v>
      </c>
      <c r="G2650" t="s">
        <v>45</v>
      </c>
      <c r="H2650" t="s">
        <v>55</v>
      </c>
      <c r="I2650" t="s">
        <v>34</v>
      </c>
      <c r="J2650" t="s">
        <v>79</v>
      </c>
      <c r="K2650" s="2">
        <v>36247</v>
      </c>
      <c r="L2650" t="s">
        <v>36</v>
      </c>
      <c r="M2650" t="s">
        <v>37</v>
      </c>
      <c r="N2650" t="s">
        <v>60</v>
      </c>
      <c r="O2650" t="s">
        <v>61</v>
      </c>
      <c r="P2650" t="s">
        <v>40</v>
      </c>
      <c r="Q2650">
        <v>4</v>
      </c>
      <c r="R2650" s="2">
        <v>44920</v>
      </c>
      <c r="S2650">
        <v>2</v>
      </c>
      <c r="T2650">
        <v>5</v>
      </c>
      <c r="U2650">
        <v>1</v>
      </c>
      <c r="V2650" s="1">
        <v>44803</v>
      </c>
      <c r="W2650" t="s">
        <v>50</v>
      </c>
      <c r="X2650" t="s">
        <v>42</v>
      </c>
      <c r="Y2650" t="s">
        <v>73</v>
      </c>
      <c r="Z2650">
        <v>3</v>
      </c>
      <c r="AA2650">
        <v>194.06</v>
      </c>
      <c r="AB2650">
        <v>21</v>
      </c>
    </row>
    <row r="2651" spans="1:28" x14ac:dyDescent="0.2">
      <c r="A2651">
        <v>3203</v>
      </c>
      <c r="B2651" s="1">
        <v>44215</v>
      </c>
      <c r="C2651" t="s">
        <v>28</v>
      </c>
      <c r="D2651" t="s">
        <v>94</v>
      </c>
      <c r="E2651" t="s">
        <v>108</v>
      </c>
      <c r="F2651" t="s">
        <v>31</v>
      </c>
      <c r="G2651" t="s">
        <v>32</v>
      </c>
      <c r="H2651" t="s">
        <v>46</v>
      </c>
      <c r="I2651" t="s">
        <v>34</v>
      </c>
      <c r="J2651" t="s">
        <v>58</v>
      </c>
      <c r="K2651" s="2">
        <v>22534</v>
      </c>
      <c r="L2651" t="s">
        <v>36</v>
      </c>
      <c r="M2651" t="s">
        <v>37</v>
      </c>
      <c r="N2651" t="s">
        <v>38</v>
      </c>
      <c r="O2651" t="s">
        <v>61</v>
      </c>
      <c r="P2651" t="s">
        <v>40</v>
      </c>
      <c r="Q2651">
        <v>4</v>
      </c>
      <c r="R2651" s="2">
        <v>44876</v>
      </c>
      <c r="S2651">
        <v>4</v>
      </c>
      <c r="T2651">
        <v>4</v>
      </c>
      <c r="U2651">
        <v>2</v>
      </c>
      <c r="V2651" s="1">
        <v>44805</v>
      </c>
      <c r="W2651" t="s">
        <v>62</v>
      </c>
      <c r="X2651" t="s">
        <v>51</v>
      </c>
      <c r="Y2651" t="s">
        <v>73</v>
      </c>
      <c r="Z2651">
        <v>2</v>
      </c>
      <c r="AA2651">
        <v>317.06</v>
      </c>
      <c r="AB2651">
        <v>60</v>
      </c>
    </row>
    <row r="2652" spans="1:28" x14ac:dyDescent="0.2">
      <c r="A2652">
        <v>3204</v>
      </c>
      <c r="B2652" s="1">
        <v>45081</v>
      </c>
      <c r="C2652" t="s">
        <v>28</v>
      </c>
      <c r="D2652" t="s">
        <v>69</v>
      </c>
      <c r="E2652" t="s">
        <v>30</v>
      </c>
      <c r="F2652" t="s">
        <v>31</v>
      </c>
      <c r="G2652" t="s">
        <v>32</v>
      </c>
      <c r="H2652" t="s">
        <v>55</v>
      </c>
      <c r="I2652" t="s">
        <v>34</v>
      </c>
      <c r="J2652" t="s">
        <v>58</v>
      </c>
      <c r="K2652" s="2">
        <v>21866</v>
      </c>
      <c r="L2652" t="s">
        <v>36</v>
      </c>
      <c r="M2652" t="s">
        <v>48</v>
      </c>
      <c r="N2652" t="s">
        <v>38</v>
      </c>
      <c r="O2652" t="s">
        <v>61</v>
      </c>
      <c r="P2652" t="s">
        <v>40</v>
      </c>
      <c r="Q2652">
        <v>4</v>
      </c>
      <c r="R2652" s="2">
        <v>44922</v>
      </c>
      <c r="S2652">
        <v>4</v>
      </c>
      <c r="T2652">
        <v>1</v>
      </c>
      <c r="U2652">
        <v>1</v>
      </c>
      <c r="V2652" s="1">
        <v>44782</v>
      </c>
      <c r="W2652" t="s">
        <v>92</v>
      </c>
      <c r="X2652" t="s">
        <v>42</v>
      </c>
      <c r="Y2652" t="s">
        <v>73</v>
      </c>
      <c r="Z2652">
        <v>1</v>
      </c>
      <c r="AA2652">
        <v>291.89999999999998</v>
      </c>
      <c r="AB2652">
        <v>64</v>
      </c>
    </row>
    <row r="2653" spans="1:28" x14ac:dyDescent="0.2">
      <c r="A2653">
        <v>3206</v>
      </c>
      <c r="B2653" s="1">
        <v>43714</v>
      </c>
      <c r="C2653" t="s">
        <v>28</v>
      </c>
      <c r="D2653" t="s">
        <v>69</v>
      </c>
      <c r="E2653" t="s">
        <v>30</v>
      </c>
      <c r="F2653" t="s">
        <v>46</v>
      </c>
      <c r="G2653" t="s">
        <v>45</v>
      </c>
      <c r="H2653" t="s">
        <v>46</v>
      </c>
      <c r="I2653" t="s">
        <v>34</v>
      </c>
      <c r="J2653" t="s">
        <v>101</v>
      </c>
      <c r="K2653" s="2">
        <v>22356</v>
      </c>
      <c r="L2653" t="s">
        <v>36</v>
      </c>
      <c r="M2653" t="s">
        <v>48</v>
      </c>
      <c r="N2653" t="s">
        <v>49</v>
      </c>
      <c r="O2653" t="s">
        <v>77</v>
      </c>
      <c r="P2653" t="s">
        <v>40</v>
      </c>
      <c r="Q2653">
        <v>2</v>
      </c>
      <c r="R2653" s="2">
        <v>44817</v>
      </c>
      <c r="S2653">
        <v>2</v>
      </c>
      <c r="T2653">
        <v>4</v>
      </c>
      <c r="U2653">
        <v>4</v>
      </c>
      <c r="V2653" s="1">
        <v>45017</v>
      </c>
      <c r="W2653" t="s">
        <v>41</v>
      </c>
      <c r="X2653" t="s">
        <v>42</v>
      </c>
      <c r="Y2653" t="s">
        <v>73</v>
      </c>
      <c r="Z2653">
        <v>2</v>
      </c>
      <c r="AA2653">
        <v>143.32</v>
      </c>
      <c r="AB2653">
        <v>58</v>
      </c>
    </row>
    <row r="2654" spans="1:28" x14ac:dyDescent="0.2">
      <c r="A2654">
        <v>3207</v>
      </c>
      <c r="B2654" s="1">
        <v>44647</v>
      </c>
      <c r="C2654" t="s">
        <v>28</v>
      </c>
      <c r="D2654" t="s">
        <v>94</v>
      </c>
      <c r="E2654" t="s">
        <v>30</v>
      </c>
      <c r="F2654" t="s">
        <v>55</v>
      </c>
      <c r="G2654" t="s">
        <v>32</v>
      </c>
      <c r="H2654" t="s">
        <v>33</v>
      </c>
      <c r="I2654" t="s">
        <v>34</v>
      </c>
      <c r="J2654" t="s">
        <v>96</v>
      </c>
      <c r="K2654" s="2">
        <v>29826</v>
      </c>
      <c r="L2654" t="s">
        <v>36</v>
      </c>
      <c r="M2654" t="s">
        <v>37</v>
      </c>
      <c r="N2654" t="s">
        <v>38</v>
      </c>
      <c r="O2654" t="s">
        <v>39</v>
      </c>
      <c r="P2654" t="s">
        <v>40</v>
      </c>
      <c r="Q2654">
        <v>5</v>
      </c>
      <c r="R2654" s="2">
        <v>44939</v>
      </c>
      <c r="S2654">
        <v>4</v>
      </c>
      <c r="T2654">
        <v>4</v>
      </c>
      <c r="U2654">
        <v>5</v>
      </c>
      <c r="V2654" s="1">
        <v>44974</v>
      </c>
      <c r="W2654" t="s">
        <v>68</v>
      </c>
      <c r="X2654" t="s">
        <v>51</v>
      </c>
      <c r="Y2654" t="s">
        <v>73</v>
      </c>
      <c r="Z2654">
        <v>3</v>
      </c>
      <c r="AA2654">
        <v>724.51</v>
      </c>
      <c r="AB2654">
        <v>41</v>
      </c>
    </row>
    <row r="2655" spans="1:28" x14ac:dyDescent="0.2">
      <c r="A2655">
        <v>3208</v>
      </c>
      <c r="B2655" s="1">
        <v>44190</v>
      </c>
      <c r="C2655" t="s">
        <v>28</v>
      </c>
      <c r="D2655" t="s">
        <v>29</v>
      </c>
      <c r="E2655" t="s">
        <v>108</v>
      </c>
      <c r="F2655" t="s">
        <v>31</v>
      </c>
      <c r="G2655" t="s">
        <v>45</v>
      </c>
      <c r="H2655" t="s">
        <v>33</v>
      </c>
      <c r="I2655" t="s">
        <v>34</v>
      </c>
      <c r="J2655" t="s">
        <v>70</v>
      </c>
      <c r="K2655" s="2">
        <v>26911</v>
      </c>
      <c r="L2655" t="s">
        <v>36</v>
      </c>
      <c r="M2655" t="s">
        <v>48</v>
      </c>
      <c r="N2655" t="s">
        <v>49</v>
      </c>
      <c r="O2655" t="s">
        <v>77</v>
      </c>
      <c r="P2655" t="s">
        <v>40</v>
      </c>
      <c r="Q2655">
        <v>2</v>
      </c>
      <c r="R2655" s="2">
        <v>45007</v>
      </c>
      <c r="S2655">
        <v>5</v>
      </c>
      <c r="T2655">
        <v>1</v>
      </c>
      <c r="U2655">
        <v>3</v>
      </c>
      <c r="V2655" s="1">
        <v>45019</v>
      </c>
      <c r="W2655" t="s">
        <v>41</v>
      </c>
      <c r="X2655" t="s">
        <v>42</v>
      </c>
      <c r="Y2655" t="s">
        <v>73</v>
      </c>
      <c r="Z2655">
        <v>2</v>
      </c>
      <c r="AA2655">
        <v>955.32</v>
      </c>
      <c r="AB2655">
        <v>47</v>
      </c>
    </row>
    <row r="2656" spans="1:28" x14ac:dyDescent="0.2">
      <c r="A2656">
        <v>3209</v>
      </c>
      <c r="B2656" s="1">
        <v>44310</v>
      </c>
      <c r="C2656" t="s">
        <v>106</v>
      </c>
      <c r="D2656" t="s">
        <v>54</v>
      </c>
      <c r="E2656" t="s">
        <v>30</v>
      </c>
      <c r="F2656" t="s">
        <v>31</v>
      </c>
      <c r="G2656" t="s">
        <v>45</v>
      </c>
      <c r="H2656" t="s">
        <v>55</v>
      </c>
      <c r="I2656" t="s">
        <v>34</v>
      </c>
      <c r="J2656" t="s">
        <v>65</v>
      </c>
      <c r="K2656" s="2">
        <v>30392</v>
      </c>
      <c r="L2656" t="s">
        <v>36</v>
      </c>
      <c r="M2656" t="s">
        <v>48</v>
      </c>
      <c r="N2656" t="s">
        <v>49</v>
      </c>
      <c r="O2656" t="s">
        <v>39</v>
      </c>
      <c r="P2656" t="s">
        <v>40</v>
      </c>
      <c r="Q2656">
        <v>5</v>
      </c>
      <c r="R2656" s="2">
        <v>44939</v>
      </c>
      <c r="S2656">
        <v>3</v>
      </c>
      <c r="T2656">
        <v>3</v>
      </c>
      <c r="U2656">
        <v>1</v>
      </c>
      <c r="V2656" s="1">
        <v>44991</v>
      </c>
      <c r="W2656" t="s">
        <v>62</v>
      </c>
      <c r="X2656" t="s">
        <v>42</v>
      </c>
      <c r="Y2656" t="s">
        <v>52</v>
      </c>
      <c r="Z2656">
        <v>5</v>
      </c>
      <c r="AA2656">
        <v>259.70999999999998</v>
      </c>
      <c r="AB2656">
        <v>38</v>
      </c>
    </row>
    <row r="2657" spans="1:28" x14ac:dyDescent="0.2">
      <c r="A2657">
        <v>3210</v>
      </c>
      <c r="B2657" s="1">
        <v>43963</v>
      </c>
      <c r="C2657" t="s">
        <v>28</v>
      </c>
      <c r="D2657" t="s">
        <v>74</v>
      </c>
      <c r="E2657" t="s">
        <v>30</v>
      </c>
      <c r="F2657" t="s">
        <v>55</v>
      </c>
      <c r="G2657" t="s">
        <v>45</v>
      </c>
      <c r="H2657" t="s">
        <v>55</v>
      </c>
      <c r="I2657" t="s">
        <v>34</v>
      </c>
      <c r="J2657" t="s">
        <v>47</v>
      </c>
      <c r="K2657" s="2">
        <v>34133</v>
      </c>
      <c r="L2657" t="s">
        <v>36</v>
      </c>
      <c r="M2657" t="s">
        <v>37</v>
      </c>
      <c r="N2657" t="s">
        <v>49</v>
      </c>
      <c r="O2657" t="s">
        <v>77</v>
      </c>
      <c r="P2657" t="s">
        <v>40</v>
      </c>
      <c r="Q2657">
        <v>5</v>
      </c>
      <c r="R2657" s="2">
        <v>45118</v>
      </c>
      <c r="S2657">
        <v>3</v>
      </c>
      <c r="T2657">
        <v>5</v>
      </c>
      <c r="U2657">
        <v>1</v>
      </c>
      <c r="V2657" s="1">
        <v>44926</v>
      </c>
      <c r="W2657" t="s">
        <v>62</v>
      </c>
      <c r="X2657" t="s">
        <v>51</v>
      </c>
      <c r="Y2657" t="s">
        <v>43</v>
      </c>
      <c r="Z2657">
        <v>2</v>
      </c>
      <c r="AA2657">
        <v>128.88999999999999</v>
      </c>
      <c r="AB2657">
        <v>27</v>
      </c>
    </row>
    <row r="2658" spans="1:28" x14ac:dyDescent="0.2">
      <c r="A2658">
        <v>3211</v>
      </c>
      <c r="B2658" s="1">
        <v>45069</v>
      </c>
      <c r="C2658" t="s">
        <v>106</v>
      </c>
      <c r="D2658" t="s">
        <v>85</v>
      </c>
      <c r="E2658" t="s">
        <v>30</v>
      </c>
      <c r="F2658" t="s">
        <v>46</v>
      </c>
      <c r="G2658" t="s">
        <v>56</v>
      </c>
      <c r="H2658" t="s">
        <v>46</v>
      </c>
      <c r="I2658" t="s">
        <v>34</v>
      </c>
      <c r="J2658" t="s">
        <v>58</v>
      </c>
      <c r="K2658" s="2">
        <v>20327</v>
      </c>
      <c r="L2658" t="s">
        <v>36</v>
      </c>
      <c r="M2658" t="s">
        <v>37</v>
      </c>
      <c r="N2658" t="s">
        <v>60</v>
      </c>
      <c r="O2658" t="s">
        <v>67</v>
      </c>
      <c r="P2658" t="s">
        <v>40</v>
      </c>
      <c r="Q2658">
        <v>2</v>
      </c>
      <c r="R2658" s="2">
        <v>44843</v>
      </c>
      <c r="S2658">
        <v>1</v>
      </c>
      <c r="T2658">
        <v>5</v>
      </c>
      <c r="U2658">
        <v>3</v>
      </c>
      <c r="V2658" s="1">
        <v>44847</v>
      </c>
      <c r="W2658" t="s">
        <v>50</v>
      </c>
      <c r="X2658" t="s">
        <v>51</v>
      </c>
      <c r="Y2658" t="s">
        <v>52</v>
      </c>
      <c r="Z2658">
        <v>4</v>
      </c>
      <c r="AA2658">
        <v>513.76</v>
      </c>
      <c r="AB2658">
        <v>68</v>
      </c>
    </row>
    <row r="2659" spans="1:28" x14ac:dyDescent="0.2">
      <c r="A2659">
        <v>3212</v>
      </c>
      <c r="B2659" s="1">
        <v>44192</v>
      </c>
      <c r="C2659" t="s">
        <v>106</v>
      </c>
      <c r="D2659" t="s">
        <v>94</v>
      </c>
      <c r="E2659" t="s">
        <v>108</v>
      </c>
      <c r="F2659" t="s">
        <v>55</v>
      </c>
      <c r="G2659" t="s">
        <v>32</v>
      </c>
      <c r="H2659" t="s">
        <v>46</v>
      </c>
      <c r="I2659" t="s">
        <v>34</v>
      </c>
      <c r="J2659" t="s">
        <v>70</v>
      </c>
      <c r="K2659" s="2">
        <v>26480</v>
      </c>
      <c r="L2659" t="s">
        <v>36</v>
      </c>
      <c r="M2659" t="s">
        <v>48</v>
      </c>
      <c r="N2659" t="s">
        <v>84</v>
      </c>
      <c r="O2659" t="s">
        <v>67</v>
      </c>
      <c r="P2659" t="s">
        <v>40</v>
      </c>
      <c r="Q2659">
        <v>5</v>
      </c>
      <c r="R2659" s="2">
        <v>44994</v>
      </c>
      <c r="S2659">
        <v>2</v>
      </c>
      <c r="T2659">
        <v>5</v>
      </c>
      <c r="U2659">
        <v>4</v>
      </c>
      <c r="V2659" s="1">
        <v>44946</v>
      </c>
      <c r="W2659" t="s">
        <v>50</v>
      </c>
      <c r="X2659" t="s">
        <v>51</v>
      </c>
      <c r="Y2659" t="s">
        <v>43</v>
      </c>
      <c r="Z2659">
        <v>2</v>
      </c>
      <c r="AA2659">
        <v>944.89</v>
      </c>
      <c r="AB2659">
        <v>48</v>
      </c>
    </row>
    <row r="2660" spans="1:28" x14ac:dyDescent="0.2">
      <c r="A2660">
        <v>3213</v>
      </c>
      <c r="B2660" s="1">
        <v>43421</v>
      </c>
      <c r="C2660" t="s">
        <v>28</v>
      </c>
      <c r="D2660" t="s">
        <v>74</v>
      </c>
      <c r="E2660" t="s">
        <v>30</v>
      </c>
      <c r="F2660" t="s">
        <v>55</v>
      </c>
      <c r="G2660" t="s">
        <v>45</v>
      </c>
      <c r="H2660" t="s">
        <v>46</v>
      </c>
      <c r="I2660" t="s">
        <v>34</v>
      </c>
      <c r="J2660" t="s">
        <v>70</v>
      </c>
      <c r="K2660" s="2">
        <v>19173</v>
      </c>
      <c r="L2660" t="s">
        <v>36</v>
      </c>
      <c r="M2660" t="s">
        <v>48</v>
      </c>
      <c r="N2660" t="s">
        <v>49</v>
      </c>
      <c r="O2660" t="s">
        <v>39</v>
      </c>
      <c r="P2660" t="s">
        <v>40</v>
      </c>
      <c r="Q2660">
        <v>2</v>
      </c>
      <c r="R2660" s="2">
        <v>44934</v>
      </c>
      <c r="S2660">
        <v>2</v>
      </c>
      <c r="T2660">
        <v>5</v>
      </c>
      <c r="U2660">
        <v>1</v>
      </c>
      <c r="V2660" s="1">
        <v>45025</v>
      </c>
      <c r="W2660" t="s">
        <v>92</v>
      </c>
      <c r="X2660" t="s">
        <v>51</v>
      </c>
      <c r="Y2660" t="s">
        <v>73</v>
      </c>
      <c r="Z2660">
        <v>2</v>
      </c>
      <c r="AA2660">
        <v>494.29</v>
      </c>
      <c r="AB2660">
        <v>66</v>
      </c>
    </row>
    <row r="2661" spans="1:28" x14ac:dyDescent="0.2">
      <c r="A2661">
        <v>3214</v>
      </c>
      <c r="B2661" s="1">
        <v>43662</v>
      </c>
      <c r="C2661" t="s">
        <v>28</v>
      </c>
      <c r="D2661" t="s">
        <v>94</v>
      </c>
      <c r="E2661" t="s">
        <v>30</v>
      </c>
      <c r="F2661" t="s">
        <v>46</v>
      </c>
      <c r="G2661" t="s">
        <v>56</v>
      </c>
      <c r="H2661" t="s">
        <v>33</v>
      </c>
      <c r="I2661" t="s">
        <v>34</v>
      </c>
      <c r="J2661" t="s">
        <v>65</v>
      </c>
      <c r="K2661" s="2">
        <v>26655</v>
      </c>
      <c r="L2661" t="s">
        <v>36</v>
      </c>
      <c r="M2661" t="s">
        <v>37</v>
      </c>
      <c r="N2661" t="s">
        <v>84</v>
      </c>
      <c r="O2661" t="s">
        <v>39</v>
      </c>
      <c r="P2661" t="s">
        <v>40</v>
      </c>
      <c r="Q2661">
        <v>2</v>
      </c>
      <c r="R2661" s="2">
        <v>45030</v>
      </c>
      <c r="S2661">
        <v>3</v>
      </c>
      <c r="T2661">
        <v>1</v>
      </c>
      <c r="U2661">
        <v>2</v>
      </c>
      <c r="V2661" s="1">
        <v>44951</v>
      </c>
      <c r="W2661" t="s">
        <v>62</v>
      </c>
      <c r="X2661" t="s">
        <v>42</v>
      </c>
      <c r="Y2661" t="s">
        <v>52</v>
      </c>
      <c r="Z2661">
        <v>4</v>
      </c>
      <c r="AA2661">
        <v>521.04999999999995</v>
      </c>
      <c r="AB2661">
        <v>47</v>
      </c>
    </row>
    <row r="2662" spans="1:28" x14ac:dyDescent="0.2">
      <c r="A2662">
        <v>3215</v>
      </c>
      <c r="B2662" s="1">
        <v>43855</v>
      </c>
      <c r="C2662" t="s">
        <v>106</v>
      </c>
      <c r="D2662" t="s">
        <v>85</v>
      </c>
      <c r="E2662" t="s">
        <v>30</v>
      </c>
      <c r="F2662" t="s">
        <v>31</v>
      </c>
      <c r="G2662" t="s">
        <v>45</v>
      </c>
      <c r="H2662" t="s">
        <v>46</v>
      </c>
      <c r="I2662" t="s">
        <v>34</v>
      </c>
      <c r="J2662" t="s">
        <v>58</v>
      </c>
      <c r="K2662" s="2">
        <v>26818</v>
      </c>
      <c r="L2662" t="s">
        <v>36</v>
      </c>
      <c r="M2662" t="s">
        <v>48</v>
      </c>
      <c r="N2662" t="s">
        <v>38</v>
      </c>
      <c r="O2662" t="s">
        <v>77</v>
      </c>
      <c r="P2662" t="s">
        <v>40</v>
      </c>
      <c r="Q2662">
        <v>3</v>
      </c>
      <c r="R2662" s="2">
        <v>44877</v>
      </c>
      <c r="S2662">
        <v>4</v>
      </c>
      <c r="T2662">
        <v>3</v>
      </c>
      <c r="U2662">
        <v>5</v>
      </c>
      <c r="V2662" s="1">
        <v>45113</v>
      </c>
      <c r="W2662" t="s">
        <v>92</v>
      </c>
      <c r="X2662" t="s">
        <v>51</v>
      </c>
      <c r="Y2662" t="s">
        <v>43</v>
      </c>
      <c r="Z2662">
        <v>3</v>
      </c>
      <c r="AA2662">
        <v>183.77</v>
      </c>
      <c r="AB2662">
        <v>47</v>
      </c>
    </row>
    <row r="2663" spans="1:28" x14ac:dyDescent="0.2">
      <c r="A2663">
        <v>3216</v>
      </c>
      <c r="B2663" s="1">
        <v>44424</v>
      </c>
      <c r="C2663" t="s">
        <v>28</v>
      </c>
      <c r="D2663" t="s">
        <v>87</v>
      </c>
      <c r="E2663" t="s">
        <v>30</v>
      </c>
      <c r="F2663" t="s">
        <v>46</v>
      </c>
      <c r="G2663" t="s">
        <v>45</v>
      </c>
      <c r="H2663" t="s">
        <v>33</v>
      </c>
      <c r="I2663" t="s">
        <v>34</v>
      </c>
      <c r="J2663" t="s">
        <v>97</v>
      </c>
      <c r="K2663" s="2">
        <v>26357</v>
      </c>
      <c r="L2663" t="s">
        <v>36</v>
      </c>
      <c r="M2663" t="s">
        <v>37</v>
      </c>
      <c r="N2663" t="s">
        <v>60</v>
      </c>
      <c r="O2663" t="s">
        <v>77</v>
      </c>
      <c r="P2663" t="s">
        <v>40</v>
      </c>
      <c r="Q2663">
        <v>5</v>
      </c>
      <c r="R2663" s="2">
        <v>45014</v>
      </c>
      <c r="S2663">
        <v>1</v>
      </c>
      <c r="T2663">
        <v>4</v>
      </c>
      <c r="U2663">
        <v>3</v>
      </c>
      <c r="V2663" s="1">
        <v>45002</v>
      </c>
      <c r="W2663" t="s">
        <v>41</v>
      </c>
      <c r="X2663" t="s">
        <v>51</v>
      </c>
      <c r="Y2663" t="s">
        <v>73</v>
      </c>
      <c r="Z2663">
        <v>5</v>
      </c>
      <c r="AA2663">
        <v>143.08000000000001</v>
      </c>
      <c r="AB2663">
        <v>49</v>
      </c>
    </row>
    <row r="2664" spans="1:28" x14ac:dyDescent="0.2">
      <c r="A2664">
        <v>3217</v>
      </c>
      <c r="B2664" s="1">
        <v>43485</v>
      </c>
      <c r="C2664" t="s">
        <v>106</v>
      </c>
      <c r="D2664" t="s">
        <v>69</v>
      </c>
      <c r="E2664" t="s">
        <v>108</v>
      </c>
      <c r="F2664" t="s">
        <v>31</v>
      </c>
      <c r="G2664" t="s">
        <v>56</v>
      </c>
      <c r="H2664" t="s">
        <v>55</v>
      </c>
      <c r="I2664" t="s">
        <v>34</v>
      </c>
      <c r="J2664" t="s">
        <v>65</v>
      </c>
      <c r="K2664" s="2">
        <v>25109</v>
      </c>
      <c r="L2664" t="s">
        <v>36</v>
      </c>
      <c r="M2664" t="s">
        <v>37</v>
      </c>
      <c r="N2664" t="s">
        <v>38</v>
      </c>
      <c r="O2664" t="s">
        <v>61</v>
      </c>
      <c r="P2664" t="s">
        <v>40</v>
      </c>
      <c r="Q2664">
        <v>3</v>
      </c>
      <c r="R2664" s="2">
        <v>44866</v>
      </c>
      <c r="S2664">
        <v>1</v>
      </c>
      <c r="T2664">
        <v>2</v>
      </c>
      <c r="U2664">
        <v>1</v>
      </c>
      <c r="V2664" s="1">
        <v>45086</v>
      </c>
      <c r="W2664" t="s">
        <v>50</v>
      </c>
      <c r="X2664" t="s">
        <v>51</v>
      </c>
      <c r="Y2664" t="s">
        <v>73</v>
      </c>
      <c r="Z2664">
        <v>3</v>
      </c>
      <c r="AA2664">
        <v>723.2</v>
      </c>
      <c r="AB2664">
        <v>51</v>
      </c>
    </row>
    <row r="2665" spans="1:28" x14ac:dyDescent="0.2">
      <c r="A2665">
        <v>3218</v>
      </c>
      <c r="B2665" s="1">
        <v>43347</v>
      </c>
      <c r="C2665" t="s">
        <v>28</v>
      </c>
      <c r="D2665" t="s">
        <v>85</v>
      </c>
      <c r="E2665" t="s">
        <v>30</v>
      </c>
      <c r="F2665" t="s">
        <v>55</v>
      </c>
      <c r="G2665" t="s">
        <v>32</v>
      </c>
      <c r="H2665" t="s">
        <v>46</v>
      </c>
      <c r="I2665" t="s">
        <v>34</v>
      </c>
      <c r="J2665" t="s">
        <v>70</v>
      </c>
      <c r="K2665" s="2">
        <v>26127</v>
      </c>
      <c r="L2665" t="s">
        <v>36</v>
      </c>
      <c r="M2665" t="s">
        <v>48</v>
      </c>
      <c r="N2665" t="s">
        <v>60</v>
      </c>
      <c r="O2665" t="s">
        <v>39</v>
      </c>
      <c r="P2665" t="s">
        <v>40</v>
      </c>
      <c r="Q2665">
        <v>5</v>
      </c>
      <c r="R2665" s="2">
        <v>44939</v>
      </c>
      <c r="S2665">
        <v>2</v>
      </c>
      <c r="T2665">
        <v>2</v>
      </c>
      <c r="U2665">
        <v>5</v>
      </c>
      <c r="V2665" s="1">
        <v>44947</v>
      </c>
      <c r="W2665" t="s">
        <v>41</v>
      </c>
      <c r="X2665" t="s">
        <v>51</v>
      </c>
      <c r="Y2665" t="s">
        <v>52</v>
      </c>
      <c r="Z2665">
        <v>2</v>
      </c>
      <c r="AA2665">
        <v>526.6</v>
      </c>
      <c r="AB2665">
        <v>47</v>
      </c>
    </row>
    <row r="2666" spans="1:28" x14ac:dyDescent="0.2">
      <c r="A2666">
        <v>3219</v>
      </c>
      <c r="B2666" s="1">
        <v>43728</v>
      </c>
      <c r="C2666" t="s">
        <v>106</v>
      </c>
      <c r="D2666" t="s">
        <v>54</v>
      </c>
      <c r="E2666" t="s">
        <v>30</v>
      </c>
      <c r="F2666" t="s">
        <v>55</v>
      </c>
      <c r="G2666" t="s">
        <v>56</v>
      </c>
      <c r="H2666" t="s">
        <v>55</v>
      </c>
      <c r="I2666" t="s">
        <v>34</v>
      </c>
      <c r="J2666" t="s">
        <v>82</v>
      </c>
      <c r="K2666" s="2">
        <v>36754</v>
      </c>
      <c r="L2666" t="s">
        <v>36</v>
      </c>
      <c r="M2666" t="s">
        <v>37</v>
      </c>
      <c r="N2666" t="s">
        <v>72</v>
      </c>
      <c r="O2666" t="s">
        <v>39</v>
      </c>
      <c r="P2666" t="s">
        <v>40</v>
      </c>
      <c r="Q2666">
        <v>3</v>
      </c>
      <c r="R2666" s="2">
        <v>44963</v>
      </c>
      <c r="S2666">
        <v>3</v>
      </c>
      <c r="T2666">
        <v>3</v>
      </c>
      <c r="U2666">
        <v>4</v>
      </c>
      <c r="V2666" s="1">
        <v>45013</v>
      </c>
      <c r="W2666" t="s">
        <v>92</v>
      </c>
      <c r="X2666" t="s">
        <v>51</v>
      </c>
      <c r="Y2666" t="s">
        <v>73</v>
      </c>
      <c r="Z2666">
        <v>2</v>
      </c>
      <c r="AA2666">
        <v>771.06</v>
      </c>
      <c r="AB2666">
        <v>19</v>
      </c>
    </row>
    <row r="2667" spans="1:28" x14ac:dyDescent="0.2">
      <c r="A2667">
        <v>3220</v>
      </c>
      <c r="B2667" s="1">
        <v>45131</v>
      </c>
      <c r="C2667" t="s">
        <v>28</v>
      </c>
      <c r="D2667" t="s">
        <v>85</v>
      </c>
      <c r="E2667" t="s">
        <v>30</v>
      </c>
      <c r="F2667" t="s">
        <v>46</v>
      </c>
      <c r="G2667" t="s">
        <v>45</v>
      </c>
      <c r="H2667" t="s">
        <v>55</v>
      </c>
      <c r="I2667" t="s">
        <v>34</v>
      </c>
      <c r="J2667" t="s">
        <v>70</v>
      </c>
      <c r="K2667" s="2">
        <v>29505</v>
      </c>
      <c r="L2667" t="s">
        <v>36</v>
      </c>
      <c r="M2667" t="s">
        <v>37</v>
      </c>
      <c r="N2667" t="s">
        <v>60</v>
      </c>
      <c r="O2667" t="s">
        <v>77</v>
      </c>
      <c r="P2667" t="s">
        <v>40</v>
      </c>
      <c r="Q2667">
        <v>1</v>
      </c>
      <c r="R2667" s="2">
        <v>44795</v>
      </c>
      <c r="S2667">
        <v>5</v>
      </c>
      <c r="T2667">
        <v>4</v>
      </c>
      <c r="U2667">
        <v>3</v>
      </c>
      <c r="V2667" s="1">
        <v>44876</v>
      </c>
      <c r="W2667" t="s">
        <v>68</v>
      </c>
      <c r="X2667" t="s">
        <v>42</v>
      </c>
      <c r="Y2667" t="s">
        <v>43</v>
      </c>
      <c r="Z2667">
        <v>4</v>
      </c>
      <c r="AA2667">
        <v>839.86</v>
      </c>
      <c r="AB2667">
        <v>43</v>
      </c>
    </row>
    <row r="2668" spans="1:28" x14ac:dyDescent="0.2">
      <c r="A2668">
        <v>3221</v>
      </c>
      <c r="B2668" s="1">
        <v>45112</v>
      </c>
      <c r="C2668" t="s">
        <v>28</v>
      </c>
      <c r="D2668" t="s">
        <v>54</v>
      </c>
      <c r="E2668" t="s">
        <v>30</v>
      </c>
      <c r="F2668" t="s">
        <v>55</v>
      </c>
      <c r="G2668" t="s">
        <v>56</v>
      </c>
      <c r="H2668" t="s">
        <v>33</v>
      </c>
      <c r="I2668" t="s">
        <v>34</v>
      </c>
      <c r="J2668" t="s">
        <v>101</v>
      </c>
      <c r="K2668" s="2">
        <v>16802</v>
      </c>
      <c r="L2668" t="s">
        <v>36</v>
      </c>
      <c r="M2668" t="s">
        <v>48</v>
      </c>
      <c r="N2668" t="s">
        <v>60</v>
      </c>
      <c r="O2668" t="s">
        <v>61</v>
      </c>
      <c r="P2668" t="s">
        <v>40</v>
      </c>
      <c r="Q2668">
        <v>4</v>
      </c>
      <c r="R2668" s="2">
        <v>45017</v>
      </c>
      <c r="S2668">
        <v>1</v>
      </c>
      <c r="T2668">
        <v>3</v>
      </c>
      <c r="U2668">
        <v>5</v>
      </c>
      <c r="V2668" s="1">
        <v>45057</v>
      </c>
      <c r="W2668" t="s">
        <v>92</v>
      </c>
      <c r="X2668" t="s">
        <v>42</v>
      </c>
      <c r="Y2668" t="s">
        <v>43</v>
      </c>
      <c r="Z2668">
        <v>4</v>
      </c>
      <c r="AA2668">
        <v>628.77</v>
      </c>
      <c r="AB2668">
        <v>78</v>
      </c>
    </row>
    <row r="2669" spans="1:28" x14ac:dyDescent="0.2">
      <c r="A2669">
        <v>3222</v>
      </c>
      <c r="B2669" s="1">
        <v>44207</v>
      </c>
      <c r="C2669" t="s">
        <v>28</v>
      </c>
      <c r="D2669" t="s">
        <v>69</v>
      </c>
      <c r="E2669" t="s">
        <v>30</v>
      </c>
      <c r="F2669" t="s">
        <v>31</v>
      </c>
      <c r="G2669" t="s">
        <v>45</v>
      </c>
      <c r="H2669" t="s">
        <v>46</v>
      </c>
      <c r="I2669" t="s">
        <v>34</v>
      </c>
      <c r="J2669" t="s">
        <v>100</v>
      </c>
      <c r="K2669" s="2">
        <v>33099</v>
      </c>
      <c r="L2669" t="s">
        <v>36</v>
      </c>
      <c r="M2669" t="s">
        <v>37</v>
      </c>
      <c r="N2669" t="s">
        <v>49</v>
      </c>
      <c r="O2669" t="s">
        <v>67</v>
      </c>
      <c r="P2669" t="s">
        <v>40</v>
      </c>
      <c r="Q2669">
        <v>2</v>
      </c>
      <c r="R2669" s="2">
        <v>44852</v>
      </c>
      <c r="S2669">
        <v>2</v>
      </c>
      <c r="T2669">
        <v>5</v>
      </c>
      <c r="U2669">
        <v>1</v>
      </c>
      <c r="V2669" s="1">
        <v>44829</v>
      </c>
      <c r="W2669" t="s">
        <v>92</v>
      </c>
      <c r="X2669" t="s">
        <v>42</v>
      </c>
      <c r="Y2669" t="s">
        <v>63</v>
      </c>
      <c r="Z2669">
        <v>3</v>
      </c>
      <c r="AA2669">
        <v>433.67</v>
      </c>
      <c r="AB2669">
        <v>31</v>
      </c>
    </row>
    <row r="2670" spans="1:28" x14ac:dyDescent="0.2">
      <c r="A2670">
        <v>3223</v>
      </c>
      <c r="B2670" s="1">
        <v>44871</v>
      </c>
      <c r="C2670" t="s">
        <v>28</v>
      </c>
      <c r="D2670" t="s">
        <v>29</v>
      </c>
      <c r="E2670" t="s">
        <v>30</v>
      </c>
      <c r="F2670" t="s">
        <v>55</v>
      </c>
      <c r="G2670" t="s">
        <v>45</v>
      </c>
      <c r="H2670" t="s">
        <v>55</v>
      </c>
      <c r="I2670" t="s">
        <v>34</v>
      </c>
      <c r="J2670" t="s">
        <v>89</v>
      </c>
      <c r="K2670" s="2">
        <v>19279</v>
      </c>
      <c r="L2670" t="s">
        <v>36</v>
      </c>
      <c r="M2670" t="s">
        <v>37</v>
      </c>
      <c r="N2670" t="s">
        <v>84</v>
      </c>
      <c r="O2670" t="s">
        <v>61</v>
      </c>
      <c r="P2670" t="s">
        <v>40</v>
      </c>
      <c r="Q2670">
        <v>5</v>
      </c>
      <c r="R2670" s="2">
        <v>44876</v>
      </c>
      <c r="S2670">
        <v>4</v>
      </c>
      <c r="T2670">
        <v>4</v>
      </c>
      <c r="U2670">
        <v>2</v>
      </c>
      <c r="V2670" s="1">
        <v>44999</v>
      </c>
      <c r="W2670" t="s">
        <v>92</v>
      </c>
      <c r="X2670" t="s">
        <v>42</v>
      </c>
      <c r="Y2670" t="s">
        <v>52</v>
      </c>
      <c r="Z2670">
        <v>4</v>
      </c>
      <c r="AA2670">
        <v>158.97</v>
      </c>
      <c r="AB2670">
        <v>70</v>
      </c>
    </row>
    <row r="2671" spans="1:28" x14ac:dyDescent="0.2">
      <c r="A2671">
        <v>3224</v>
      </c>
      <c r="B2671" s="1">
        <v>45019</v>
      </c>
      <c r="C2671" t="s">
        <v>28</v>
      </c>
      <c r="D2671" t="s">
        <v>85</v>
      </c>
      <c r="E2671" t="s">
        <v>30</v>
      </c>
      <c r="F2671" t="s">
        <v>46</v>
      </c>
      <c r="G2671" t="s">
        <v>45</v>
      </c>
      <c r="H2671" t="s">
        <v>46</v>
      </c>
      <c r="I2671" t="s">
        <v>34</v>
      </c>
      <c r="J2671" t="s">
        <v>104</v>
      </c>
      <c r="K2671" s="2">
        <v>25605</v>
      </c>
      <c r="L2671" t="s">
        <v>36</v>
      </c>
      <c r="M2671" t="s">
        <v>37</v>
      </c>
      <c r="N2671" t="s">
        <v>38</v>
      </c>
      <c r="O2671" t="s">
        <v>61</v>
      </c>
      <c r="P2671" t="s">
        <v>40</v>
      </c>
      <c r="Q2671">
        <v>5</v>
      </c>
      <c r="R2671" s="2">
        <v>45045</v>
      </c>
      <c r="S2671">
        <v>2</v>
      </c>
      <c r="T2671">
        <v>4</v>
      </c>
      <c r="U2671">
        <v>5</v>
      </c>
      <c r="V2671" s="1">
        <v>44818</v>
      </c>
      <c r="W2671" t="s">
        <v>62</v>
      </c>
      <c r="X2671" t="s">
        <v>51</v>
      </c>
      <c r="Y2671" t="s">
        <v>63</v>
      </c>
      <c r="Z2671">
        <v>2</v>
      </c>
      <c r="AA2671">
        <v>107.77</v>
      </c>
      <c r="AB2671">
        <v>53</v>
      </c>
    </row>
    <row r="2672" spans="1:28" x14ac:dyDescent="0.2">
      <c r="A2672">
        <v>3225</v>
      </c>
      <c r="B2672" s="1">
        <v>44354</v>
      </c>
      <c r="C2672" t="s">
        <v>28</v>
      </c>
      <c r="D2672" t="s">
        <v>44</v>
      </c>
      <c r="E2672" t="s">
        <v>30</v>
      </c>
      <c r="F2672" t="s">
        <v>31</v>
      </c>
      <c r="G2672" t="s">
        <v>56</v>
      </c>
      <c r="H2672" t="s">
        <v>46</v>
      </c>
      <c r="I2672" t="s">
        <v>34</v>
      </c>
      <c r="J2672" t="s">
        <v>65</v>
      </c>
      <c r="K2672" s="2">
        <v>28335</v>
      </c>
      <c r="L2672" t="s">
        <v>36</v>
      </c>
      <c r="M2672" t="s">
        <v>37</v>
      </c>
      <c r="N2672" t="s">
        <v>38</v>
      </c>
      <c r="O2672" t="s">
        <v>77</v>
      </c>
      <c r="P2672" t="s">
        <v>40</v>
      </c>
      <c r="Q2672">
        <v>3</v>
      </c>
      <c r="R2672" s="2">
        <v>44834</v>
      </c>
      <c r="S2672">
        <v>3</v>
      </c>
      <c r="T2672">
        <v>1</v>
      </c>
      <c r="U2672">
        <v>1</v>
      </c>
      <c r="V2672" s="1">
        <v>45133</v>
      </c>
      <c r="W2672" t="s">
        <v>92</v>
      </c>
      <c r="X2672" t="s">
        <v>42</v>
      </c>
      <c r="Y2672" t="s">
        <v>63</v>
      </c>
      <c r="Z2672">
        <v>1</v>
      </c>
      <c r="AA2672">
        <v>374.1</v>
      </c>
      <c r="AB2672">
        <v>44</v>
      </c>
    </row>
    <row r="2673" spans="1:28" x14ac:dyDescent="0.2">
      <c r="A2673">
        <v>3226</v>
      </c>
      <c r="B2673" s="1">
        <v>43485</v>
      </c>
      <c r="C2673" t="s">
        <v>28</v>
      </c>
      <c r="D2673" t="s">
        <v>87</v>
      </c>
      <c r="E2673" t="s">
        <v>30</v>
      </c>
      <c r="F2673" t="s">
        <v>31</v>
      </c>
      <c r="G2673" t="s">
        <v>56</v>
      </c>
      <c r="H2673" t="s">
        <v>55</v>
      </c>
      <c r="I2673" t="s">
        <v>34</v>
      </c>
      <c r="J2673" t="s">
        <v>75</v>
      </c>
      <c r="K2673" s="2">
        <v>32508</v>
      </c>
      <c r="L2673" t="s">
        <v>36</v>
      </c>
      <c r="M2673" t="s">
        <v>37</v>
      </c>
      <c r="N2673" t="s">
        <v>72</v>
      </c>
      <c r="O2673" t="s">
        <v>67</v>
      </c>
      <c r="P2673" t="s">
        <v>40</v>
      </c>
      <c r="Q2673">
        <v>4</v>
      </c>
      <c r="R2673" s="2">
        <v>44840</v>
      </c>
      <c r="S2673">
        <v>1</v>
      </c>
      <c r="T2673">
        <v>2</v>
      </c>
      <c r="U2673">
        <v>3</v>
      </c>
      <c r="V2673" s="1">
        <v>44986</v>
      </c>
      <c r="W2673" t="s">
        <v>41</v>
      </c>
      <c r="X2673" t="s">
        <v>51</v>
      </c>
      <c r="Y2673" t="s">
        <v>52</v>
      </c>
      <c r="Z2673">
        <v>2</v>
      </c>
      <c r="AA2673">
        <v>471.42</v>
      </c>
      <c r="AB2673">
        <v>31</v>
      </c>
    </row>
    <row r="2674" spans="1:28" x14ac:dyDescent="0.2">
      <c r="A2674">
        <v>3228</v>
      </c>
      <c r="B2674" s="1">
        <v>43612</v>
      </c>
      <c r="C2674" t="s">
        <v>28</v>
      </c>
      <c r="D2674" t="s">
        <v>94</v>
      </c>
      <c r="E2674" t="s">
        <v>108</v>
      </c>
      <c r="F2674" t="s">
        <v>55</v>
      </c>
      <c r="G2674" t="s">
        <v>32</v>
      </c>
      <c r="H2674" t="s">
        <v>33</v>
      </c>
      <c r="I2674" t="s">
        <v>34</v>
      </c>
      <c r="J2674" t="s">
        <v>70</v>
      </c>
      <c r="K2674" s="2">
        <v>16956</v>
      </c>
      <c r="L2674" t="s">
        <v>36</v>
      </c>
      <c r="M2674" t="s">
        <v>48</v>
      </c>
      <c r="N2674" t="s">
        <v>49</v>
      </c>
      <c r="O2674" t="s">
        <v>61</v>
      </c>
      <c r="P2674" t="s">
        <v>40</v>
      </c>
      <c r="Q2674">
        <v>2</v>
      </c>
      <c r="R2674" s="2">
        <v>44878</v>
      </c>
      <c r="S2674">
        <v>3</v>
      </c>
      <c r="T2674">
        <v>5</v>
      </c>
      <c r="U2674">
        <v>3</v>
      </c>
      <c r="V2674" s="1">
        <v>44782</v>
      </c>
      <c r="W2674" t="s">
        <v>50</v>
      </c>
      <c r="X2674" t="s">
        <v>51</v>
      </c>
      <c r="Y2674" t="s">
        <v>73</v>
      </c>
      <c r="Z2674">
        <v>3</v>
      </c>
      <c r="AA2674">
        <v>272.77</v>
      </c>
      <c r="AB2674">
        <v>73</v>
      </c>
    </row>
    <row r="2675" spans="1:28" x14ac:dyDescent="0.2">
      <c r="A2675">
        <v>3229</v>
      </c>
      <c r="B2675" s="1">
        <v>44913</v>
      </c>
      <c r="C2675" t="s">
        <v>28</v>
      </c>
      <c r="D2675" t="s">
        <v>74</v>
      </c>
      <c r="E2675" t="s">
        <v>30</v>
      </c>
      <c r="F2675" t="s">
        <v>31</v>
      </c>
      <c r="G2675" t="s">
        <v>32</v>
      </c>
      <c r="H2675" t="s">
        <v>33</v>
      </c>
      <c r="I2675" t="s">
        <v>34</v>
      </c>
      <c r="J2675" t="s">
        <v>79</v>
      </c>
      <c r="K2675" s="2">
        <v>16789</v>
      </c>
      <c r="L2675" t="s">
        <v>36</v>
      </c>
      <c r="M2675" t="s">
        <v>48</v>
      </c>
      <c r="N2675" t="s">
        <v>60</v>
      </c>
      <c r="O2675" t="s">
        <v>39</v>
      </c>
      <c r="P2675" t="s">
        <v>40</v>
      </c>
      <c r="Q2675">
        <v>1</v>
      </c>
      <c r="R2675" s="2">
        <v>44833</v>
      </c>
      <c r="S2675">
        <v>4</v>
      </c>
      <c r="T2675">
        <v>3</v>
      </c>
      <c r="U2675">
        <v>4</v>
      </c>
      <c r="V2675" s="1">
        <v>44925</v>
      </c>
      <c r="W2675" t="s">
        <v>68</v>
      </c>
      <c r="X2675" t="s">
        <v>42</v>
      </c>
      <c r="Y2675" t="s">
        <v>52</v>
      </c>
      <c r="Z2675">
        <v>3</v>
      </c>
      <c r="AA2675">
        <v>757.48</v>
      </c>
      <c r="AB2675">
        <v>77</v>
      </c>
    </row>
    <row r="2676" spans="1:28" x14ac:dyDescent="0.2">
      <c r="A2676">
        <v>3231</v>
      </c>
      <c r="B2676" s="1">
        <v>44340</v>
      </c>
      <c r="C2676" t="s">
        <v>28</v>
      </c>
      <c r="D2676" t="s">
        <v>54</v>
      </c>
      <c r="E2676" t="s">
        <v>30</v>
      </c>
      <c r="F2676" t="s">
        <v>55</v>
      </c>
      <c r="G2676" t="s">
        <v>32</v>
      </c>
      <c r="H2676" t="s">
        <v>46</v>
      </c>
      <c r="I2676" t="s">
        <v>34</v>
      </c>
      <c r="J2676" t="s">
        <v>100</v>
      </c>
      <c r="K2676" s="2">
        <v>35564</v>
      </c>
      <c r="L2676" t="s">
        <v>36</v>
      </c>
      <c r="M2676" t="s">
        <v>37</v>
      </c>
      <c r="N2676" t="s">
        <v>38</v>
      </c>
      <c r="O2676" t="s">
        <v>77</v>
      </c>
      <c r="P2676" t="s">
        <v>78</v>
      </c>
      <c r="Q2676">
        <v>2</v>
      </c>
      <c r="R2676" s="2">
        <v>44906</v>
      </c>
      <c r="S2676">
        <v>5</v>
      </c>
      <c r="T2676">
        <v>3</v>
      </c>
      <c r="U2676">
        <v>3</v>
      </c>
      <c r="V2676" s="1">
        <v>44858</v>
      </c>
      <c r="W2676" t="s">
        <v>50</v>
      </c>
      <c r="X2676" t="s">
        <v>51</v>
      </c>
      <c r="Y2676" t="s">
        <v>43</v>
      </c>
      <c r="Z2676">
        <v>3</v>
      </c>
      <c r="AA2676">
        <v>668.59</v>
      </c>
      <c r="AB2676">
        <v>24</v>
      </c>
    </row>
    <row r="2677" spans="1:28" x14ac:dyDescent="0.2">
      <c r="A2677">
        <v>3234</v>
      </c>
      <c r="B2677" s="1">
        <v>44431</v>
      </c>
      <c r="C2677" t="s">
        <v>28</v>
      </c>
      <c r="D2677" t="s">
        <v>85</v>
      </c>
      <c r="E2677" t="s">
        <v>30</v>
      </c>
      <c r="F2677" t="s">
        <v>46</v>
      </c>
      <c r="G2677" t="s">
        <v>56</v>
      </c>
      <c r="H2677" t="s">
        <v>33</v>
      </c>
      <c r="I2677" t="s">
        <v>34</v>
      </c>
      <c r="J2677" t="s">
        <v>65</v>
      </c>
      <c r="K2677" s="2">
        <v>21665</v>
      </c>
      <c r="L2677" t="s">
        <v>36</v>
      </c>
      <c r="M2677" t="s">
        <v>48</v>
      </c>
      <c r="N2677" t="s">
        <v>72</v>
      </c>
      <c r="O2677" t="s">
        <v>39</v>
      </c>
      <c r="P2677" t="s">
        <v>40</v>
      </c>
      <c r="Q2677">
        <v>3</v>
      </c>
      <c r="R2677" s="2">
        <v>45025</v>
      </c>
      <c r="S2677">
        <v>1</v>
      </c>
      <c r="T2677">
        <v>3</v>
      </c>
      <c r="U2677">
        <v>4</v>
      </c>
      <c r="V2677" s="1">
        <v>44868</v>
      </c>
      <c r="W2677" t="s">
        <v>41</v>
      </c>
      <c r="X2677" t="s">
        <v>42</v>
      </c>
      <c r="Y2677" t="s">
        <v>63</v>
      </c>
      <c r="Z2677">
        <v>3</v>
      </c>
      <c r="AA2677">
        <v>185.58</v>
      </c>
      <c r="AB2677">
        <v>62</v>
      </c>
    </row>
    <row r="2678" spans="1:28" x14ac:dyDescent="0.2">
      <c r="A2678">
        <v>3235</v>
      </c>
      <c r="B2678" s="1">
        <v>44553</v>
      </c>
      <c r="C2678" t="s">
        <v>28</v>
      </c>
      <c r="D2678" t="s">
        <v>44</v>
      </c>
      <c r="E2678" t="s">
        <v>30</v>
      </c>
      <c r="F2678" t="s">
        <v>31</v>
      </c>
      <c r="G2678" t="s">
        <v>32</v>
      </c>
      <c r="H2678" t="s">
        <v>33</v>
      </c>
      <c r="I2678" t="s">
        <v>34</v>
      </c>
      <c r="J2678" t="s">
        <v>79</v>
      </c>
      <c r="K2678" s="2">
        <v>23224</v>
      </c>
      <c r="L2678" t="s">
        <v>36</v>
      </c>
      <c r="M2678" t="s">
        <v>48</v>
      </c>
      <c r="N2678" t="s">
        <v>49</v>
      </c>
      <c r="O2678" t="s">
        <v>67</v>
      </c>
      <c r="P2678" t="s">
        <v>40</v>
      </c>
      <c r="Q2678">
        <v>2</v>
      </c>
      <c r="R2678" s="2">
        <v>44856</v>
      </c>
      <c r="S2678">
        <v>3</v>
      </c>
      <c r="T2678">
        <v>4</v>
      </c>
      <c r="U2678">
        <v>1</v>
      </c>
      <c r="V2678" s="1">
        <v>44965</v>
      </c>
      <c r="W2678" t="s">
        <v>62</v>
      </c>
      <c r="X2678" t="s">
        <v>42</v>
      </c>
      <c r="Y2678" t="s">
        <v>43</v>
      </c>
      <c r="Z2678">
        <v>3</v>
      </c>
      <c r="AA2678">
        <v>667.23</v>
      </c>
      <c r="AB2678">
        <v>58</v>
      </c>
    </row>
    <row r="2679" spans="1:28" x14ac:dyDescent="0.2">
      <c r="A2679">
        <v>3236</v>
      </c>
      <c r="B2679" s="1">
        <v>44585</v>
      </c>
      <c r="C2679" t="s">
        <v>106</v>
      </c>
      <c r="D2679" t="s">
        <v>81</v>
      </c>
      <c r="E2679" t="s">
        <v>30</v>
      </c>
      <c r="F2679" t="s">
        <v>31</v>
      </c>
      <c r="G2679" t="s">
        <v>32</v>
      </c>
      <c r="H2679" t="s">
        <v>55</v>
      </c>
      <c r="I2679" t="s">
        <v>34</v>
      </c>
      <c r="J2679" t="s">
        <v>104</v>
      </c>
      <c r="K2679" s="2">
        <v>29010</v>
      </c>
      <c r="L2679" t="s">
        <v>36</v>
      </c>
      <c r="M2679" t="s">
        <v>37</v>
      </c>
      <c r="N2679" t="s">
        <v>84</v>
      </c>
      <c r="O2679" t="s">
        <v>67</v>
      </c>
      <c r="P2679" t="s">
        <v>40</v>
      </c>
      <c r="Q2679">
        <v>5</v>
      </c>
      <c r="R2679" s="2">
        <v>45044</v>
      </c>
      <c r="S2679">
        <v>2</v>
      </c>
      <c r="T2679">
        <v>4</v>
      </c>
      <c r="U2679">
        <v>1</v>
      </c>
      <c r="V2679" s="1">
        <v>44912</v>
      </c>
      <c r="W2679" t="s">
        <v>92</v>
      </c>
      <c r="X2679" t="s">
        <v>42</v>
      </c>
      <c r="Y2679" t="s">
        <v>63</v>
      </c>
      <c r="Z2679">
        <v>5</v>
      </c>
      <c r="AA2679">
        <v>209.99</v>
      </c>
      <c r="AB2679">
        <v>43</v>
      </c>
    </row>
    <row r="2680" spans="1:28" x14ac:dyDescent="0.2">
      <c r="A2680">
        <v>3237</v>
      </c>
      <c r="B2680" s="1">
        <v>44886</v>
      </c>
      <c r="C2680" t="s">
        <v>106</v>
      </c>
      <c r="D2680" t="s">
        <v>54</v>
      </c>
      <c r="E2680" t="s">
        <v>30</v>
      </c>
      <c r="F2680" t="s">
        <v>31</v>
      </c>
      <c r="G2680" t="s">
        <v>56</v>
      </c>
      <c r="H2680" t="s">
        <v>33</v>
      </c>
      <c r="I2680" t="s">
        <v>34</v>
      </c>
      <c r="J2680" t="s">
        <v>75</v>
      </c>
      <c r="K2680" s="2">
        <v>32119</v>
      </c>
      <c r="L2680" t="s">
        <v>36</v>
      </c>
      <c r="M2680" t="s">
        <v>48</v>
      </c>
      <c r="N2680" t="s">
        <v>38</v>
      </c>
      <c r="O2680" t="s">
        <v>67</v>
      </c>
      <c r="P2680" t="s">
        <v>40</v>
      </c>
      <c r="Q2680">
        <v>4</v>
      </c>
      <c r="R2680" s="2">
        <v>44967</v>
      </c>
      <c r="S2680">
        <v>5</v>
      </c>
      <c r="T2680">
        <v>1</v>
      </c>
      <c r="U2680">
        <v>2</v>
      </c>
      <c r="V2680" s="1">
        <v>45089</v>
      </c>
      <c r="W2680" t="s">
        <v>41</v>
      </c>
      <c r="X2680" t="s">
        <v>42</v>
      </c>
      <c r="Y2680" t="s">
        <v>43</v>
      </c>
      <c r="Z2680">
        <v>5</v>
      </c>
      <c r="AA2680">
        <v>114.81</v>
      </c>
      <c r="AB2680">
        <v>35</v>
      </c>
    </row>
    <row r="2681" spans="1:28" x14ac:dyDescent="0.2">
      <c r="A2681">
        <v>3238</v>
      </c>
      <c r="B2681" s="1">
        <v>43438</v>
      </c>
      <c r="C2681" t="s">
        <v>106</v>
      </c>
      <c r="D2681" t="s">
        <v>94</v>
      </c>
      <c r="E2681" t="s">
        <v>108</v>
      </c>
      <c r="F2681" t="s">
        <v>31</v>
      </c>
      <c r="G2681" t="s">
        <v>45</v>
      </c>
      <c r="H2681" t="s">
        <v>46</v>
      </c>
      <c r="I2681" t="s">
        <v>34</v>
      </c>
      <c r="J2681" t="s">
        <v>101</v>
      </c>
      <c r="K2681" s="2">
        <v>36773</v>
      </c>
      <c r="L2681" t="s">
        <v>36</v>
      </c>
      <c r="M2681" t="s">
        <v>48</v>
      </c>
      <c r="N2681" t="s">
        <v>60</v>
      </c>
      <c r="O2681" t="s">
        <v>77</v>
      </c>
      <c r="P2681" t="s">
        <v>40</v>
      </c>
      <c r="Q2681">
        <v>4</v>
      </c>
      <c r="R2681" s="2">
        <v>45021</v>
      </c>
      <c r="S2681">
        <v>5</v>
      </c>
      <c r="T2681">
        <v>3</v>
      </c>
      <c r="U2681">
        <v>5</v>
      </c>
      <c r="V2681" s="1">
        <v>44965</v>
      </c>
      <c r="W2681" t="s">
        <v>62</v>
      </c>
      <c r="X2681" t="s">
        <v>51</v>
      </c>
      <c r="Y2681" t="s">
        <v>52</v>
      </c>
      <c r="Z2681">
        <v>2</v>
      </c>
      <c r="AA2681">
        <v>964.12</v>
      </c>
      <c r="AB2681">
        <v>18</v>
      </c>
    </row>
    <row r="2682" spans="1:28" x14ac:dyDescent="0.2">
      <c r="A2682">
        <v>3239</v>
      </c>
      <c r="B2682" s="1">
        <v>43618</v>
      </c>
      <c r="C2682" t="s">
        <v>106</v>
      </c>
      <c r="D2682" t="s">
        <v>85</v>
      </c>
      <c r="E2682" t="s">
        <v>30</v>
      </c>
      <c r="F2682" t="s">
        <v>46</v>
      </c>
      <c r="G2682" t="s">
        <v>32</v>
      </c>
      <c r="H2682" t="s">
        <v>33</v>
      </c>
      <c r="I2682" t="s">
        <v>34</v>
      </c>
      <c r="J2682" t="s">
        <v>70</v>
      </c>
      <c r="K2682" s="2">
        <v>33804</v>
      </c>
      <c r="L2682" t="s">
        <v>36</v>
      </c>
      <c r="M2682" t="s">
        <v>48</v>
      </c>
      <c r="N2682" t="s">
        <v>72</v>
      </c>
      <c r="O2682" t="s">
        <v>61</v>
      </c>
      <c r="P2682" t="s">
        <v>40</v>
      </c>
      <c r="Q2682">
        <v>3</v>
      </c>
      <c r="R2682" s="2">
        <v>45090</v>
      </c>
      <c r="S2682">
        <v>5</v>
      </c>
      <c r="T2682">
        <v>2</v>
      </c>
      <c r="U2682">
        <v>5</v>
      </c>
      <c r="V2682" s="1">
        <v>44849</v>
      </c>
      <c r="W2682" t="s">
        <v>41</v>
      </c>
      <c r="X2682" t="s">
        <v>51</v>
      </c>
      <c r="Y2682" t="s">
        <v>73</v>
      </c>
      <c r="Z2682">
        <v>1</v>
      </c>
      <c r="AA2682">
        <v>818.77</v>
      </c>
      <c r="AB2682">
        <v>27</v>
      </c>
    </row>
    <row r="2683" spans="1:28" x14ac:dyDescent="0.2">
      <c r="A2683">
        <v>3240</v>
      </c>
      <c r="B2683" s="1">
        <v>43324</v>
      </c>
      <c r="C2683" t="s">
        <v>106</v>
      </c>
      <c r="D2683" t="s">
        <v>64</v>
      </c>
      <c r="E2683" t="s">
        <v>108</v>
      </c>
      <c r="F2683" t="s">
        <v>55</v>
      </c>
      <c r="G2683" t="s">
        <v>32</v>
      </c>
      <c r="H2683" t="s">
        <v>33</v>
      </c>
      <c r="I2683" t="s">
        <v>34</v>
      </c>
      <c r="J2683" t="s">
        <v>100</v>
      </c>
      <c r="K2683" s="2">
        <v>29285</v>
      </c>
      <c r="L2683" t="s">
        <v>36</v>
      </c>
      <c r="M2683" t="s">
        <v>37</v>
      </c>
      <c r="N2683" t="s">
        <v>84</v>
      </c>
      <c r="O2683" t="s">
        <v>67</v>
      </c>
      <c r="P2683" t="s">
        <v>40</v>
      </c>
      <c r="Q2683">
        <v>2</v>
      </c>
      <c r="R2683" s="2">
        <v>44795</v>
      </c>
      <c r="S2683">
        <v>2</v>
      </c>
      <c r="T2683">
        <v>5</v>
      </c>
      <c r="U2683">
        <v>4</v>
      </c>
      <c r="V2683" s="1">
        <v>44849</v>
      </c>
      <c r="W2683" t="s">
        <v>62</v>
      </c>
      <c r="X2683" t="s">
        <v>51</v>
      </c>
      <c r="Y2683" t="s">
        <v>73</v>
      </c>
      <c r="Z2683">
        <v>3</v>
      </c>
      <c r="AA2683">
        <v>801.31</v>
      </c>
      <c r="AB2683">
        <v>38</v>
      </c>
    </row>
    <row r="2684" spans="1:28" x14ac:dyDescent="0.2">
      <c r="A2684">
        <v>3241</v>
      </c>
      <c r="B2684" s="1">
        <v>44696</v>
      </c>
      <c r="C2684" t="s">
        <v>106</v>
      </c>
      <c r="D2684" t="s">
        <v>74</v>
      </c>
      <c r="E2684" t="s">
        <v>30</v>
      </c>
      <c r="F2684" t="s">
        <v>46</v>
      </c>
      <c r="G2684" t="s">
        <v>56</v>
      </c>
      <c r="H2684" t="s">
        <v>55</v>
      </c>
      <c r="I2684" t="s">
        <v>34</v>
      </c>
      <c r="J2684" t="s">
        <v>58</v>
      </c>
      <c r="K2684" s="2">
        <v>17512</v>
      </c>
      <c r="L2684" t="s">
        <v>36</v>
      </c>
      <c r="M2684" t="s">
        <v>37</v>
      </c>
      <c r="N2684" t="s">
        <v>38</v>
      </c>
      <c r="O2684" t="s">
        <v>77</v>
      </c>
      <c r="P2684" t="s">
        <v>40</v>
      </c>
      <c r="Q2684">
        <v>1</v>
      </c>
      <c r="R2684" s="2">
        <v>45080</v>
      </c>
      <c r="S2684">
        <v>1</v>
      </c>
      <c r="T2684">
        <v>5</v>
      </c>
      <c r="U2684">
        <v>3</v>
      </c>
      <c r="V2684" s="1">
        <v>44848</v>
      </c>
      <c r="W2684" t="s">
        <v>92</v>
      </c>
      <c r="X2684" t="s">
        <v>42</v>
      </c>
      <c r="Y2684" t="s">
        <v>63</v>
      </c>
      <c r="Z2684">
        <v>5</v>
      </c>
      <c r="AA2684">
        <v>674.84</v>
      </c>
      <c r="AB2684">
        <v>75</v>
      </c>
    </row>
    <row r="2685" spans="1:28" x14ac:dyDescent="0.2">
      <c r="A2685">
        <v>3242</v>
      </c>
      <c r="B2685" s="1">
        <v>44523</v>
      </c>
      <c r="C2685" t="s">
        <v>28</v>
      </c>
      <c r="D2685" t="s">
        <v>81</v>
      </c>
      <c r="E2685" t="s">
        <v>108</v>
      </c>
      <c r="F2685" t="s">
        <v>31</v>
      </c>
      <c r="G2685" t="s">
        <v>32</v>
      </c>
      <c r="H2685" t="s">
        <v>55</v>
      </c>
      <c r="I2685" t="s">
        <v>34</v>
      </c>
      <c r="J2685" t="s">
        <v>47</v>
      </c>
      <c r="K2685" s="2">
        <v>20192</v>
      </c>
      <c r="L2685" t="s">
        <v>36</v>
      </c>
      <c r="M2685" t="s">
        <v>48</v>
      </c>
      <c r="N2685" t="s">
        <v>49</v>
      </c>
      <c r="O2685" t="s">
        <v>61</v>
      </c>
      <c r="P2685" t="s">
        <v>40</v>
      </c>
      <c r="Q2685">
        <v>3</v>
      </c>
      <c r="R2685" s="2">
        <v>45086</v>
      </c>
      <c r="S2685">
        <v>3</v>
      </c>
      <c r="T2685">
        <v>3</v>
      </c>
      <c r="U2685">
        <v>1</v>
      </c>
      <c r="V2685" s="1">
        <v>44859</v>
      </c>
      <c r="W2685" t="s">
        <v>92</v>
      </c>
      <c r="X2685" t="s">
        <v>42</v>
      </c>
      <c r="Y2685" t="s">
        <v>52</v>
      </c>
      <c r="Z2685">
        <v>2</v>
      </c>
      <c r="AA2685">
        <v>364.55</v>
      </c>
      <c r="AB2685">
        <v>66</v>
      </c>
    </row>
    <row r="2686" spans="1:28" x14ac:dyDescent="0.2">
      <c r="A2686">
        <v>3243</v>
      </c>
      <c r="B2686" s="1">
        <v>44178</v>
      </c>
      <c r="C2686" t="s">
        <v>28</v>
      </c>
      <c r="D2686" t="s">
        <v>54</v>
      </c>
      <c r="E2686" t="s">
        <v>30</v>
      </c>
      <c r="F2686" t="s">
        <v>55</v>
      </c>
      <c r="G2686" t="s">
        <v>32</v>
      </c>
      <c r="H2686" t="s">
        <v>55</v>
      </c>
      <c r="I2686" t="s">
        <v>34</v>
      </c>
      <c r="J2686" t="s">
        <v>89</v>
      </c>
      <c r="K2686" s="2">
        <v>20128</v>
      </c>
      <c r="L2686" t="s">
        <v>36</v>
      </c>
      <c r="M2686" t="s">
        <v>48</v>
      </c>
      <c r="N2686" t="s">
        <v>49</v>
      </c>
      <c r="O2686" t="s">
        <v>67</v>
      </c>
      <c r="P2686" t="s">
        <v>40</v>
      </c>
      <c r="Q2686">
        <v>2</v>
      </c>
      <c r="R2686" s="2">
        <v>44890</v>
      </c>
      <c r="S2686">
        <v>2</v>
      </c>
      <c r="T2686">
        <v>3</v>
      </c>
      <c r="U2686">
        <v>1</v>
      </c>
      <c r="V2686" s="1">
        <v>44824</v>
      </c>
      <c r="W2686" t="s">
        <v>68</v>
      </c>
      <c r="X2686" t="s">
        <v>42</v>
      </c>
      <c r="Y2686" t="s">
        <v>63</v>
      </c>
      <c r="Z2686">
        <v>1</v>
      </c>
      <c r="AA2686">
        <v>174.03</v>
      </c>
      <c r="AB2686">
        <v>65</v>
      </c>
    </row>
    <row r="2687" spans="1:28" x14ac:dyDescent="0.2">
      <c r="A2687">
        <v>3244</v>
      </c>
      <c r="B2687" s="1">
        <v>44405</v>
      </c>
      <c r="C2687" t="s">
        <v>28</v>
      </c>
      <c r="D2687" t="s">
        <v>69</v>
      </c>
      <c r="E2687" t="s">
        <v>30</v>
      </c>
      <c r="F2687" t="s">
        <v>46</v>
      </c>
      <c r="G2687" t="s">
        <v>32</v>
      </c>
      <c r="H2687" t="s">
        <v>33</v>
      </c>
      <c r="I2687" t="s">
        <v>34</v>
      </c>
      <c r="J2687" t="s">
        <v>100</v>
      </c>
      <c r="K2687" s="2">
        <v>17884</v>
      </c>
      <c r="L2687" t="s">
        <v>36</v>
      </c>
      <c r="M2687" t="s">
        <v>37</v>
      </c>
      <c r="N2687" t="s">
        <v>72</v>
      </c>
      <c r="O2687" t="s">
        <v>77</v>
      </c>
      <c r="P2687" t="s">
        <v>40</v>
      </c>
      <c r="Q2687">
        <v>2</v>
      </c>
      <c r="R2687" s="2">
        <v>45010</v>
      </c>
      <c r="S2687">
        <v>2</v>
      </c>
      <c r="T2687">
        <v>1</v>
      </c>
      <c r="U2687">
        <v>1</v>
      </c>
      <c r="V2687" s="1">
        <v>44896</v>
      </c>
      <c r="W2687" t="s">
        <v>92</v>
      </c>
      <c r="X2687" t="s">
        <v>42</v>
      </c>
      <c r="Y2687" t="s">
        <v>43</v>
      </c>
      <c r="Z2687">
        <v>4</v>
      </c>
      <c r="AA2687">
        <v>816.37</v>
      </c>
      <c r="AB2687">
        <v>73</v>
      </c>
    </row>
    <row r="2688" spans="1:28" x14ac:dyDescent="0.2">
      <c r="A2688">
        <v>3245</v>
      </c>
      <c r="B2688" s="1">
        <v>43623</v>
      </c>
      <c r="C2688" t="s">
        <v>28</v>
      </c>
      <c r="D2688" t="s">
        <v>29</v>
      </c>
      <c r="E2688" t="s">
        <v>108</v>
      </c>
      <c r="F2688" t="s">
        <v>55</v>
      </c>
      <c r="G2688" t="s">
        <v>45</v>
      </c>
      <c r="H2688" t="s">
        <v>55</v>
      </c>
      <c r="I2688" t="s">
        <v>34</v>
      </c>
      <c r="J2688" t="s">
        <v>70</v>
      </c>
      <c r="K2688" s="2">
        <v>17633</v>
      </c>
      <c r="L2688" t="s">
        <v>36</v>
      </c>
      <c r="M2688" t="s">
        <v>37</v>
      </c>
      <c r="N2688" t="s">
        <v>72</v>
      </c>
      <c r="O2688" t="s">
        <v>67</v>
      </c>
      <c r="P2688" t="s">
        <v>40</v>
      </c>
      <c r="Q2688">
        <v>1</v>
      </c>
      <c r="R2688" s="2">
        <v>44883</v>
      </c>
      <c r="S2688">
        <v>3</v>
      </c>
      <c r="T2688">
        <v>5</v>
      </c>
      <c r="U2688">
        <v>2</v>
      </c>
      <c r="V2688" s="1">
        <v>45045</v>
      </c>
      <c r="W2688" t="s">
        <v>62</v>
      </c>
      <c r="X2688" t="s">
        <v>51</v>
      </c>
      <c r="Y2688" t="s">
        <v>52</v>
      </c>
      <c r="Z2688">
        <v>1</v>
      </c>
      <c r="AA2688">
        <v>163.79</v>
      </c>
      <c r="AB2688">
        <v>71</v>
      </c>
    </row>
    <row r="2689" spans="1:28" x14ac:dyDescent="0.2">
      <c r="A2689">
        <v>3246</v>
      </c>
      <c r="B2689" s="1">
        <v>43628</v>
      </c>
      <c r="C2689" t="s">
        <v>28</v>
      </c>
      <c r="D2689" t="s">
        <v>85</v>
      </c>
      <c r="E2689" t="s">
        <v>108</v>
      </c>
      <c r="F2689" t="s">
        <v>46</v>
      </c>
      <c r="G2689" t="s">
        <v>32</v>
      </c>
      <c r="H2689" t="s">
        <v>46</v>
      </c>
      <c r="I2689" t="s">
        <v>34</v>
      </c>
      <c r="J2689" t="s">
        <v>135</v>
      </c>
      <c r="K2689" s="2">
        <v>32248</v>
      </c>
      <c r="L2689" t="s">
        <v>36</v>
      </c>
      <c r="M2689" t="s">
        <v>37</v>
      </c>
      <c r="N2689" t="s">
        <v>38</v>
      </c>
      <c r="O2689" t="s">
        <v>67</v>
      </c>
      <c r="P2689" t="s">
        <v>40</v>
      </c>
      <c r="Q2689">
        <v>4</v>
      </c>
      <c r="R2689" s="2">
        <v>45049</v>
      </c>
      <c r="S2689">
        <v>1</v>
      </c>
      <c r="T2689">
        <v>1</v>
      </c>
      <c r="U2689">
        <v>4</v>
      </c>
      <c r="V2689" s="1">
        <v>44957</v>
      </c>
      <c r="W2689" t="s">
        <v>68</v>
      </c>
      <c r="X2689" t="s">
        <v>42</v>
      </c>
      <c r="Y2689" t="s">
        <v>43</v>
      </c>
      <c r="Z2689">
        <v>1</v>
      </c>
      <c r="AA2689">
        <v>325.19</v>
      </c>
      <c r="AB2689">
        <v>31</v>
      </c>
    </row>
    <row r="2690" spans="1:28" x14ac:dyDescent="0.2">
      <c r="A2690">
        <v>3247</v>
      </c>
      <c r="B2690" s="1">
        <v>45036</v>
      </c>
      <c r="C2690" t="s">
        <v>28</v>
      </c>
      <c r="D2690" t="s">
        <v>44</v>
      </c>
      <c r="E2690" t="s">
        <v>30</v>
      </c>
      <c r="F2690" t="s">
        <v>55</v>
      </c>
      <c r="G2690" t="s">
        <v>32</v>
      </c>
      <c r="H2690" t="s">
        <v>46</v>
      </c>
      <c r="I2690" t="s">
        <v>34</v>
      </c>
      <c r="J2690" t="s">
        <v>65</v>
      </c>
      <c r="K2690" s="2">
        <v>15905</v>
      </c>
      <c r="L2690" t="s">
        <v>36</v>
      </c>
      <c r="M2690" t="s">
        <v>37</v>
      </c>
      <c r="N2690" t="s">
        <v>72</v>
      </c>
      <c r="O2690" t="s">
        <v>61</v>
      </c>
      <c r="P2690" t="s">
        <v>40</v>
      </c>
      <c r="Q2690">
        <v>3</v>
      </c>
      <c r="R2690" s="2">
        <v>45103</v>
      </c>
      <c r="S2690">
        <v>2</v>
      </c>
      <c r="T2690">
        <v>5</v>
      </c>
      <c r="U2690">
        <v>4</v>
      </c>
      <c r="V2690" s="1">
        <v>44983</v>
      </c>
      <c r="W2690" t="s">
        <v>92</v>
      </c>
      <c r="X2690" t="s">
        <v>42</v>
      </c>
      <c r="Y2690" t="s">
        <v>63</v>
      </c>
      <c r="Z2690">
        <v>1</v>
      </c>
      <c r="AA2690">
        <v>834.12</v>
      </c>
      <c r="AB2690">
        <v>80</v>
      </c>
    </row>
    <row r="2691" spans="1:28" x14ac:dyDescent="0.2">
      <c r="A2691">
        <v>3248</v>
      </c>
      <c r="B2691" s="1">
        <v>43319</v>
      </c>
      <c r="C2691" t="s">
        <v>28</v>
      </c>
      <c r="D2691" t="s">
        <v>87</v>
      </c>
      <c r="E2691" t="s">
        <v>30</v>
      </c>
      <c r="F2691" t="s">
        <v>31</v>
      </c>
      <c r="G2691" t="s">
        <v>56</v>
      </c>
      <c r="H2691" t="s">
        <v>46</v>
      </c>
      <c r="I2691" t="s">
        <v>34</v>
      </c>
      <c r="J2691" t="s">
        <v>65</v>
      </c>
      <c r="K2691" s="2">
        <v>24549</v>
      </c>
      <c r="L2691" t="s">
        <v>36</v>
      </c>
      <c r="M2691" t="s">
        <v>37</v>
      </c>
      <c r="N2691" t="s">
        <v>49</v>
      </c>
      <c r="O2691" t="s">
        <v>61</v>
      </c>
      <c r="P2691" t="s">
        <v>40</v>
      </c>
      <c r="Q2691">
        <v>5</v>
      </c>
      <c r="R2691" s="2">
        <v>44869</v>
      </c>
      <c r="S2691">
        <v>4</v>
      </c>
      <c r="T2691">
        <v>3</v>
      </c>
      <c r="U2691">
        <v>3</v>
      </c>
      <c r="V2691" s="1">
        <v>44954</v>
      </c>
      <c r="W2691" t="s">
        <v>50</v>
      </c>
      <c r="X2691" t="s">
        <v>51</v>
      </c>
      <c r="Y2691" t="s">
        <v>63</v>
      </c>
      <c r="Z2691">
        <v>2</v>
      </c>
      <c r="AA2691">
        <v>222.11</v>
      </c>
      <c r="AB2691">
        <v>51</v>
      </c>
    </row>
    <row r="2692" spans="1:28" x14ac:dyDescent="0.2">
      <c r="A2692">
        <v>3249</v>
      </c>
      <c r="B2692" s="1">
        <v>43440</v>
      </c>
      <c r="C2692" t="s">
        <v>28</v>
      </c>
      <c r="D2692" t="s">
        <v>64</v>
      </c>
      <c r="E2692" t="s">
        <v>30</v>
      </c>
      <c r="F2692" t="s">
        <v>31</v>
      </c>
      <c r="G2692" t="s">
        <v>32</v>
      </c>
      <c r="H2692" t="s">
        <v>46</v>
      </c>
      <c r="I2692" t="s">
        <v>34</v>
      </c>
      <c r="J2692" t="s">
        <v>111</v>
      </c>
      <c r="K2692" s="2">
        <v>17550</v>
      </c>
      <c r="L2692" t="s">
        <v>36</v>
      </c>
      <c r="M2692" t="s">
        <v>48</v>
      </c>
      <c r="N2692" t="s">
        <v>72</v>
      </c>
      <c r="O2692" t="s">
        <v>61</v>
      </c>
      <c r="P2692" t="s">
        <v>40</v>
      </c>
      <c r="Q2692">
        <v>3</v>
      </c>
      <c r="R2692" s="2">
        <v>44960</v>
      </c>
      <c r="S2692">
        <v>3</v>
      </c>
      <c r="T2692">
        <v>2</v>
      </c>
      <c r="U2692">
        <v>5</v>
      </c>
      <c r="V2692" s="1">
        <v>44993</v>
      </c>
      <c r="W2692" t="s">
        <v>92</v>
      </c>
      <c r="X2692" t="s">
        <v>42</v>
      </c>
      <c r="Y2692" t="s">
        <v>43</v>
      </c>
      <c r="Z2692">
        <v>4</v>
      </c>
      <c r="AA2692">
        <v>875.83</v>
      </c>
      <c r="AB2692">
        <v>70</v>
      </c>
    </row>
    <row r="2693" spans="1:28" x14ac:dyDescent="0.2">
      <c r="A2693">
        <v>3250</v>
      </c>
      <c r="B2693" s="1">
        <v>44280</v>
      </c>
      <c r="C2693" t="s">
        <v>28</v>
      </c>
      <c r="D2693" t="s">
        <v>94</v>
      </c>
      <c r="E2693" t="s">
        <v>30</v>
      </c>
      <c r="F2693" t="s">
        <v>55</v>
      </c>
      <c r="G2693" t="s">
        <v>56</v>
      </c>
      <c r="H2693" t="s">
        <v>55</v>
      </c>
      <c r="I2693" t="s">
        <v>34</v>
      </c>
      <c r="J2693" t="s">
        <v>96</v>
      </c>
      <c r="K2693" s="2">
        <v>35592</v>
      </c>
      <c r="L2693" t="s">
        <v>36</v>
      </c>
      <c r="M2693" t="s">
        <v>48</v>
      </c>
      <c r="N2693" t="s">
        <v>84</v>
      </c>
      <c r="O2693" t="s">
        <v>67</v>
      </c>
      <c r="P2693" t="s">
        <v>40</v>
      </c>
      <c r="Q2693">
        <v>2</v>
      </c>
      <c r="R2693" s="2">
        <v>44880</v>
      </c>
      <c r="S2693">
        <v>1</v>
      </c>
      <c r="T2693">
        <v>1</v>
      </c>
      <c r="U2693">
        <v>3</v>
      </c>
      <c r="V2693" s="1">
        <v>44963</v>
      </c>
      <c r="W2693" t="s">
        <v>92</v>
      </c>
      <c r="X2693" t="s">
        <v>51</v>
      </c>
      <c r="Y2693" t="s">
        <v>63</v>
      </c>
      <c r="Z2693">
        <v>1</v>
      </c>
      <c r="AA2693">
        <v>232.39</v>
      </c>
      <c r="AB2693">
        <v>24</v>
      </c>
    </row>
    <row r="2694" spans="1:28" x14ac:dyDescent="0.2">
      <c r="A2694">
        <v>3251</v>
      </c>
      <c r="B2694" s="1">
        <v>43511</v>
      </c>
      <c r="C2694" t="s">
        <v>28</v>
      </c>
      <c r="D2694" t="s">
        <v>74</v>
      </c>
      <c r="E2694" t="s">
        <v>108</v>
      </c>
      <c r="F2694" t="s">
        <v>31</v>
      </c>
      <c r="G2694" t="s">
        <v>45</v>
      </c>
      <c r="H2694" t="s">
        <v>46</v>
      </c>
      <c r="I2694" t="s">
        <v>34</v>
      </c>
      <c r="J2694" t="s">
        <v>70</v>
      </c>
      <c r="K2694" s="2">
        <v>20557</v>
      </c>
      <c r="L2694" t="s">
        <v>36</v>
      </c>
      <c r="M2694" t="s">
        <v>48</v>
      </c>
      <c r="N2694" t="s">
        <v>38</v>
      </c>
      <c r="O2694" t="s">
        <v>77</v>
      </c>
      <c r="P2694" t="s">
        <v>40</v>
      </c>
      <c r="Q2694">
        <v>5</v>
      </c>
      <c r="R2694" s="2">
        <v>45025</v>
      </c>
      <c r="S2694">
        <v>5</v>
      </c>
      <c r="T2694">
        <v>1</v>
      </c>
      <c r="U2694">
        <v>2</v>
      </c>
      <c r="V2694" s="1">
        <v>44890</v>
      </c>
      <c r="W2694" t="s">
        <v>41</v>
      </c>
      <c r="X2694" t="s">
        <v>42</v>
      </c>
      <c r="Y2694" t="s">
        <v>63</v>
      </c>
      <c r="Z2694">
        <v>4</v>
      </c>
      <c r="AA2694">
        <v>719.24</v>
      </c>
      <c r="AB2694">
        <v>63</v>
      </c>
    </row>
    <row r="2695" spans="1:28" x14ac:dyDescent="0.2">
      <c r="A2695">
        <v>3252</v>
      </c>
      <c r="B2695" s="1">
        <v>44999</v>
      </c>
      <c r="C2695" t="s">
        <v>28</v>
      </c>
      <c r="D2695" t="s">
        <v>81</v>
      </c>
      <c r="E2695" t="s">
        <v>30</v>
      </c>
      <c r="F2695" t="s">
        <v>55</v>
      </c>
      <c r="G2695" t="s">
        <v>45</v>
      </c>
      <c r="H2695" t="s">
        <v>46</v>
      </c>
      <c r="I2695" t="s">
        <v>34</v>
      </c>
      <c r="J2695" t="s">
        <v>100</v>
      </c>
      <c r="K2695" s="2">
        <v>34275</v>
      </c>
      <c r="L2695" t="s">
        <v>36</v>
      </c>
      <c r="M2695" t="s">
        <v>37</v>
      </c>
      <c r="N2695" t="s">
        <v>72</v>
      </c>
      <c r="O2695" t="s">
        <v>77</v>
      </c>
      <c r="P2695" t="s">
        <v>107</v>
      </c>
      <c r="Q2695">
        <v>4</v>
      </c>
      <c r="R2695" s="2">
        <v>45143</v>
      </c>
      <c r="S2695">
        <v>1</v>
      </c>
      <c r="T2695">
        <v>3</v>
      </c>
      <c r="U2695">
        <v>1</v>
      </c>
      <c r="V2695" s="1">
        <v>44873</v>
      </c>
      <c r="W2695" t="s">
        <v>92</v>
      </c>
      <c r="X2695" t="s">
        <v>42</v>
      </c>
      <c r="Y2695" t="s">
        <v>52</v>
      </c>
      <c r="Z2695">
        <v>5</v>
      </c>
      <c r="AA2695">
        <v>102.7</v>
      </c>
      <c r="AB2695">
        <v>30</v>
      </c>
    </row>
    <row r="2696" spans="1:28" x14ac:dyDescent="0.2">
      <c r="A2696">
        <v>3255</v>
      </c>
      <c r="B2696" s="1">
        <v>45007</v>
      </c>
      <c r="C2696" t="s">
        <v>28</v>
      </c>
      <c r="D2696" t="s">
        <v>29</v>
      </c>
      <c r="E2696" t="s">
        <v>30</v>
      </c>
      <c r="F2696" t="s">
        <v>31</v>
      </c>
      <c r="G2696" t="s">
        <v>32</v>
      </c>
      <c r="H2696" t="s">
        <v>46</v>
      </c>
      <c r="I2696" t="s">
        <v>34</v>
      </c>
      <c r="J2696" t="s">
        <v>105</v>
      </c>
      <c r="K2696" s="2">
        <v>22407</v>
      </c>
      <c r="L2696" t="s">
        <v>36</v>
      </c>
      <c r="M2696" t="s">
        <v>48</v>
      </c>
      <c r="N2696" t="s">
        <v>60</v>
      </c>
      <c r="O2696" t="s">
        <v>39</v>
      </c>
      <c r="P2696" t="s">
        <v>40</v>
      </c>
      <c r="Q2696">
        <v>3</v>
      </c>
      <c r="R2696" s="2">
        <v>44974</v>
      </c>
      <c r="S2696">
        <v>1</v>
      </c>
      <c r="T2696">
        <v>4</v>
      </c>
      <c r="U2696">
        <v>1</v>
      </c>
      <c r="V2696" s="1">
        <v>44780</v>
      </c>
      <c r="W2696" t="s">
        <v>41</v>
      </c>
      <c r="X2696" t="s">
        <v>51</v>
      </c>
      <c r="Y2696" t="s">
        <v>52</v>
      </c>
      <c r="Z2696">
        <v>3</v>
      </c>
      <c r="AA2696">
        <v>975.75</v>
      </c>
      <c r="AB2696">
        <v>62</v>
      </c>
    </row>
    <row r="2697" spans="1:28" x14ac:dyDescent="0.2">
      <c r="A2697">
        <v>3256</v>
      </c>
      <c r="B2697" s="1">
        <v>43489</v>
      </c>
      <c r="C2697" t="s">
        <v>28</v>
      </c>
      <c r="D2697" t="s">
        <v>85</v>
      </c>
      <c r="E2697" t="s">
        <v>30</v>
      </c>
      <c r="F2697" t="s">
        <v>46</v>
      </c>
      <c r="G2697" t="s">
        <v>56</v>
      </c>
      <c r="H2697" t="s">
        <v>46</v>
      </c>
      <c r="I2697" t="s">
        <v>34</v>
      </c>
      <c r="J2697" t="s">
        <v>65</v>
      </c>
      <c r="K2697" s="2">
        <v>20043</v>
      </c>
      <c r="L2697" t="s">
        <v>36</v>
      </c>
      <c r="M2697" t="s">
        <v>48</v>
      </c>
      <c r="N2697" t="s">
        <v>72</v>
      </c>
      <c r="O2697" t="s">
        <v>77</v>
      </c>
      <c r="P2697" t="s">
        <v>40</v>
      </c>
      <c r="Q2697">
        <v>5</v>
      </c>
      <c r="R2697" s="2">
        <v>45111</v>
      </c>
      <c r="S2697">
        <v>4</v>
      </c>
      <c r="T2697">
        <v>1</v>
      </c>
      <c r="U2697">
        <v>4</v>
      </c>
      <c r="V2697" s="1">
        <v>45017</v>
      </c>
      <c r="W2697" t="s">
        <v>50</v>
      </c>
      <c r="X2697" t="s">
        <v>51</v>
      </c>
      <c r="Y2697" t="s">
        <v>43</v>
      </c>
      <c r="Z2697">
        <v>4</v>
      </c>
      <c r="AA2697">
        <v>202.81</v>
      </c>
      <c r="AB2697">
        <v>65</v>
      </c>
    </row>
    <row r="2698" spans="1:28" x14ac:dyDescent="0.2">
      <c r="A2698">
        <v>3257</v>
      </c>
      <c r="B2698" s="1">
        <v>44154</v>
      </c>
      <c r="C2698" t="s">
        <v>106</v>
      </c>
      <c r="D2698" t="s">
        <v>54</v>
      </c>
      <c r="E2698" t="s">
        <v>30</v>
      </c>
      <c r="F2698" t="s">
        <v>55</v>
      </c>
      <c r="G2698" t="s">
        <v>45</v>
      </c>
      <c r="H2698" t="s">
        <v>55</v>
      </c>
      <c r="I2698" t="s">
        <v>34</v>
      </c>
      <c r="J2698" t="s">
        <v>101</v>
      </c>
      <c r="K2698" s="2">
        <v>31512</v>
      </c>
      <c r="L2698" t="s">
        <v>36</v>
      </c>
      <c r="M2698" t="s">
        <v>37</v>
      </c>
      <c r="N2698" t="s">
        <v>60</v>
      </c>
      <c r="O2698" t="s">
        <v>61</v>
      </c>
      <c r="P2698" t="s">
        <v>40</v>
      </c>
      <c r="Q2698">
        <v>3</v>
      </c>
      <c r="R2698" s="2">
        <v>44843</v>
      </c>
      <c r="S2698">
        <v>1</v>
      </c>
      <c r="T2698">
        <v>3</v>
      </c>
      <c r="U2698">
        <v>5</v>
      </c>
      <c r="V2698" s="1">
        <v>45101</v>
      </c>
      <c r="W2698" t="s">
        <v>62</v>
      </c>
      <c r="X2698" t="s">
        <v>51</v>
      </c>
      <c r="Y2698" t="s">
        <v>63</v>
      </c>
      <c r="Z2698">
        <v>3</v>
      </c>
      <c r="AA2698">
        <v>309.86</v>
      </c>
      <c r="AB2698">
        <v>34</v>
      </c>
    </row>
    <row r="2699" spans="1:28" x14ac:dyDescent="0.2">
      <c r="A2699">
        <v>3258</v>
      </c>
      <c r="B2699" s="1">
        <v>44972</v>
      </c>
      <c r="C2699" t="s">
        <v>106</v>
      </c>
      <c r="D2699" t="s">
        <v>69</v>
      </c>
      <c r="E2699" t="s">
        <v>30</v>
      </c>
      <c r="F2699" t="s">
        <v>46</v>
      </c>
      <c r="G2699" t="s">
        <v>56</v>
      </c>
      <c r="H2699" t="s">
        <v>33</v>
      </c>
      <c r="I2699" t="s">
        <v>34</v>
      </c>
      <c r="J2699" t="s">
        <v>47</v>
      </c>
      <c r="K2699" s="2">
        <v>26076</v>
      </c>
      <c r="L2699" t="s">
        <v>36</v>
      </c>
      <c r="M2699" t="s">
        <v>48</v>
      </c>
      <c r="N2699" t="s">
        <v>38</v>
      </c>
      <c r="O2699" t="s">
        <v>61</v>
      </c>
      <c r="P2699" t="s">
        <v>40</v>
      </c>
      <c r="Q2699">
        <v>2</v>
      </c>
      <c r="R2699" s="2">
        <v>44850</v>
      </c>
      <c r="S2699">
        <v>4</v>
      </c>
      <c r="T2699">
        <v>4</v>
      </c>
      <c r="U2699">
        <v>3</v>
      </c>
      <c r="V2699" s="1">
        <v>45123</v>
      </c>
      <c r="W2699" t="s">
        <v>41</v>
      </c>
      <c r="X2699" t="s">
        <v>42</v>
      </c>
      <c r="Y2699" t="s">
        <v>63</v>
      </c>
      <c r="Z2699">
        <v>2</v>
      </c>
      <c r="AA2699">
        <v>909.73</v>
      </c>
      <c r="AB2699">
        <v>52</v>
      </c>
    </row>
    <row r="2700" spans="1:28" x14ac:dyDescent="0.2">
      <c r="A2700">
        <v>3259</v>
      </c>
      <c r="B2700" s="1">
        <v>44690</v>
      </c>
      <c r="C2700" t="s">
        <v>106</v>
      </c>
      <c r="D2700" t="s">
        <v>29</v>
      </c>
      <c r="E2700" t="s">
        <v>108</v>
      </c>
      <c r="F2700" t="s">
        <v>55</v>
      </c>
      <c r="G2700" t="s">
        <v>56</v>
      </c>
      <c r="H2700" t="s">
        <v>55</v>
      </c>
      <c r="I2700" t="s">
        <v>34</v>
      </c>
      <c r="J2700" t="s">
        <v>70</v>
      </c>
      <c r="K2700" s="2">
        <v>17131</v>
      </c>
      <c r="L2700" t="s">
        <v>36</v>
      </c>
      <c r="M2700" t="s">
        <v>48</v>
      </c>
      <c r="N2700" t="s">
        <v>49</v>
      </c>
      <c r="O2700" t="s">
        <v>61</v>
      </c>
      <c r="P2700" t="s">
        <v>40</v>
      </c>
      <c r="Q2700">
        <v>2</v>
      </c>
      <c r="R2700" s="2">
        <v>44872</v>
      </c>
      <c r="S2700">
        <v>5</v>
      </c>
      <c r="T2700">
        <v>2</v>
      </c>
      <c r="U2700">
        <v>1</v>
      </c>
      <c r="V2700" s="1">
        <v>44937</v>
      </c>
      <c r="W2700" t="s">
        <v>62</v>
      </c>
      <c r="X2700" t="s">
        <v>42</v>
      </c>
      <c r="Y2700" t="s">
        <v>43</v>
      </c>
      <c r="Z2700">
        <v>5</v>
      </c>
      <c r="AA2700">
        <v>577.84</v>
      </c>
      <c r="AB2700">
        <v>76</v>
      </c>
    </row>
    <row r="2701" spans="1:28" x14ac:dyDescent="0.2">
      <c r="A2701">
        <v>3260</v>
      </c>
      <c r="B2701" s="1">
        <v>44475</v>
      </c>
      <c r="C2701" t="s">
        <v>106</v>
      </c>
      <c r="D2701" t="s">
        <v>85</v>
      </c>
      <c r="E2701" t="s">
        <v>30</v>
      </c>
      <c r="F2701" t="s">
        <v>31</v>
      </c>
      <c r="G2701" t="s">
        <v>56</v>
      </c>
      <c r="H2701" t="s">
        <v>33</v>
      </c>
      <c r="I2701" t="s">
        <v>34</v>
      </c>
      <c r="J2701" t="s">
        <v>65</v>
      </c>
      <c r="K2701" s="2">
        <v>33772</v>
      </c>
      <c r="L2701" t="s">
        <v>36</v>
      </c>
      <c r="M2701" t="s">
        <v>48</v>
      </c>
      <c r="N2701" t="s">
        <v>49</v>
      </c>
      <c r="O2701" t="s">
        <v>61</v>
      </c>
      <c r="P2701" t="s">
        <v>40</v>
      </c>
      <c r="Q2701">
        <v>3</v>
      </c>
      <c r="R2701" s="2">
        <v>44861</v>
      </c>
      <c r="S2701">
        <v>5</v>
      </c>
      <c r="T2701">
        <v>2</v>
      </c>
      <c r="U2701">
        <v>1</v>
      </c>
      <c r="V2701" s="1">
        <v>44898</v>
      </c>
      <c r="W2701" t="s">
        <v>50</v>
      </c>
      <c r="X2701" t="s">
        <v>51</v>
      </c>
      <c r="Y2701" t="s">
        <v>43</v>
      </c>
      <c r="Z2701">
        <v>2</v>
      </c>
      <c r="AA2701">
        <v>681.18</v>
      </c>
      <c r="AB2701">
        <v>29</v>
      </c>
    </row>
    <row r="2702" spans="1:28" x14ac:dyDescent="0.2">
      <c r="A2702">
        <v>3262</v>
      </c>
      <c r="B2702" s="1">
        <v>44642</v>
      </c>
      <c r="C2702" t="s">
        <v>106</v>
      </c>
      <c r="D2702" t="s">
        <v>87</v>
      </c>
      <c r="E2702" t="s">
        <v>30</v>
      </c>
      <c r="F2702" t="s">
        <v>55</v>
      </c>
      <c r="G2702" t="s">
        <v>45</v>
      </c>
      <c r="H2702" t="s">
        <v>55</v>
      </c>
      <c r="I2702" t="s">
        <v>34</v>
      </c>
      <c r="J2702" t="s">
        <v>102</v>
      </c>
      <c r="K2702" s="2">
        <v>30708</v>
      </c>
      <c r="L2702" t="s">
        <v>36</v>
      </c>
      <c r="M2702" t="s">
        <v>37</v>
      </c>
      <c r="N2702" t="s">
        <v>72</v>
      </c>
      <c r="O2702" t="s">
        <v>77</v>
      </c>
      <c r="P2702" t="s">
        <v>107</v>
      </c>
      <c r="Q2702">
        <v>4</v>
      </c>
      <c r="R2702" s="2">
        <v>44840</v>
      </c>
      <c r="S2702">
        <v>4</v>
      </c>
      <c r="T2702">
        <v>3</v>
      </c>
      <c r="U2702">
        <v>3</v>
      </c>
      <c r="V2702" s="1">
        <v>45056</v>
      </c>
      <c r="W2702" t="s">
        <v>92</v>
      </c>
      <c r="X2702" t="s">
        <v>42</v>
      </c>
      <c r="Y2702" t="s">
        <v>73</v>
      </c>
      <c r="Z2702">
        <v>4</v>
      </c>
      <c r="AA2702">
        <v>959.73</v>
      </c>
      <c r="AB2702">
        <v>38</v>
      </c>
    </row>
    <row r="2703" spans="1:28" x14ac:dyDescent="0.2">
      <c r="A2703">
        <v>3263</v>
      </c>
      <c r="B2703" s="1">
        <v>44671</v>
      </c>
      <c r="C2703" t="s">
        <v>28</v>
      </c>
      <c r="D2703" t="s">
        <v>81</v>
      </c>
      <c r="E2703" t="s">
        <v>108</v>
      </c>
      <c r="F2703" t="s">
        <v>55</v>
      </c>
      <c r="G2703" t="s">
        <v>45</v>
      </c>
      <c r="H2703" t="s">
        <v>46</v>
      </c>
      <c r="I2703" t="s">
        <v>34</v>
      </c>
      <c r="J2703" t="s">
        <v>79</v>
      </c>
      <c r="K2703" s="2">
        <v>32977</v>
      </c>
      <c r="L2703" t="s">
        <v>36</v>
      </c>
      <c r="M2703" t="s">
        <v>48</v>
      </c>
      <c r="N2703" t="s">
        <v>84</v>
      </c>
      <c r="O2703" t="s">
        <v>61</v>
      </c>
      <c r="P2703" t="s">
        <v>107</v>
      </c>
      <c r="Q2703">
        <v>2</v>
      </c>
      <c r="R2703" s="2">
        <v>45095</v>
      </c>
      <c r="S2703">
        <v>1</v>
      </c>
      <c r="T2703">
        <v>3</v>
      </c>
      <c r="U2703">
        <v>2</v>
      </c>
      <c r="V2703" s="1">
        <v>45027</v>
      </c>
      <c r="W2703" t="s">
        <v>62</v>
      </c>
      <c r="X2703" t="s">
        <v>42</v>
      </c>
      <c r="Y2703" t="s">
        <v>73</v>
      </c>
      <c r="Z2703">
        <v>5</v>
      </c>
      <c r="AA2703">
        <v>320.26</v>
      </c>
      <c r="AB2703">
        <v>32</v>
      </c>
    </row>
    <row r="2704" spans="1:28" x14ac:dyDescent="0.2">
      <c r="A2704">
        <v>3264</v>
      </c>
      <c r="B2704" s="1">
        <v>44561</v>
      </c>
      <c r="C2704" t="s">
        <v>28</v>
      </c>
      <c r="D2704" t="s">
        <v>54</v>
      </c>
      <c r="E2704" t="s">
        <v>108</v>
      </c>
      <c r="F2704" t="s">
        <v>46</v>
      </c>
      <c r="G2704" t="s">
        <v>32</v>
      </c>
      <c r="H2704" t="s">
        <v>46</v>
      </c>
      <c r="I2704" t="s">
        <v>34</v>
      </c>
      <c r="J2704" t="s">
        <v>75</v>
      </c>
      <c r="K2704" s="2">
        <v>18423</v>
      </c>
      <c r="L2704" t="s">
        <v>36</v>
      </c>
      <c r="M2704" t="s">
        <v>48</v>
      </c>
      <c r="N2704" t="s">
        <v>84</v>
      </c>
      <c r="O2704" t="s">
        <v>67</v>
      </c>
      <c r="P2704" t="s">
        <v>40</v>
      </c>
      <c r="Q2704">
        <v>5</v>
      </c>
      <c r="R2704" s="2">
        <v>45126</v>
      </c>
      <c r="S2704">
        <v>1</v>
      </c>
      <c r="T2704">
        <v>4</v>
      </c>
      <c r="U2704">
        <v>3</v>
      </c>
      <c r="V2704" s="1">
        <v>44805</v>
      </c>
      <c r="W2704" t="s">
        <v>41</v>
      </c>
      <c r="X2704" t="s">
        <v>42</v>
      </c>
      <c r="Y2704" t="s">
        <v>43</v>
      </c>
      <c r="Z2704">
        <v>4</v>
      </c>
      <c r="AA2704">
        <v>506.18</v>
      </c>
      <c r="AB2704">
        <v>71</v>
      </c>
    </row>
    <row r="2705" spans="1:28" x14ac:dyDescent="0.2">
      <c r="A2705">
        <v>3265</v>
      </c>
      <c r="B2705" s="1">
        <v>43404</v>
      </c>
      <c r="C2705" t="s">
        <v>28</v>
      </c>
      <c r="D2705" t="s">
        <v>69</v>
      </c>
      <c r="E2705" t="s">
        <v>30</v>
      </c>
      <c r="F2705" t="s">
        <v>46</v>
      </c>
      <c r="G2705" t="s">
        <v>32</v>
      </c>
      <c r="H2705" t="s">
        <v>55</v>
      </c>
      <c r="I2705" t="s">
        <v>34</v>
      </c>
      <c r="J2705" t="s">
        <v>47</v>
      </c>
      <c r="K2705" s="2">
        <v>33992</v>
      </c>
      <c r="L2705" t="s">
        <v>36</v>
      </c>
      <c r="M2705" t="s">
        <v>37</v>
      </c>
      <c r="N2705" t="s">
        <v>84</v>
      </c>
      <c r="O2705" t="s">
        <v>61</v>
      </c>
      <c r="P2705" t="s">
        <v>40</v>
      </c>
      <c r="Q2705">
        <v>1</v>
      </c>
      <c r="R2705" s="2">
        <v>44814</v>
      </c>
      <c r="S2705">
        <v>4</v>
      </c>
      <c r="T2705">
        <v>3</v>
      </c>
      <c r="U2705">
        <v>2</v>
      </c>
      <c r="V2705" s="1">
        <v>44902</v>
      </c>
      <c r="W2705" t="s">
        <v>50</v>
      </c>
      <c r="X2705" t="s">
        <v>51</v>
      </c>
      <c r="Y2705" t="s">
        <v>43</v>
      </c>
      <c r="Z2705">
        <v>1</v>
      </c>
      <c r="AA2705">
        <v>721.96</v>
      </c>
      <c r="AB2705">
        <v>25</v>
      </c>
    </row>
    <row r="2706" spans="1:28" x14ac:dyDescent="0.2">
      <c r="A2706">
        <v>3266</v>
      </c>
      <c r="B2706" s="1">
        <v>44036</v>
      </c>
      <c r="C2706" t="s">
        <v>28</v>
      </c>
      <c r="D2706" t="s">
        <v>29</v>
      </c>
      <c r="E2706" t="s">
        <v>30</v>
      </c>
      <c r="F2706" t="s">
        <v>31</v>
      </c>
      <c r="G2706" t="s">
        <v>45</v>
      </c>
      <c r="H2706" t="s">
        <v>55</v>
      </c>
      <c r="I2706" t="s">
        <v>34</v>
      </c>
      <c r="J2706" t="s">
        <v>101</v>
      </c>
      <c r="K2706" s="2">
        <v>35300</v>
      </c>
      <c r="L2706" t="s">
        <v>36</v>
      </c>
      <c r="M2706" t="s">
        <v>37</v>
      </c>
      <c r="N2706" t="s">
        <v>72</v>
      </c>
      <c r="O2706" t="s">
        <v>67</v>
      </c>
      <c r="P2706" t="s">
        <v>40</v>
      </c>
      <c r="Q2706">
        <v>2</v>
      </c>
      <c r="R2706" s="2">
        <v>44943</v>
      </c>
      <c r="S2706">
        <v>1</v>
      </c>
      <c r="T2706">
        <v>2</v>
      </c>
      <c r="U2706">
        <v>3</v>
      </c>
      <c r="V2706" s="1">
        <v>44882</v>
      </c>
      <c r="W2706" t="s">
        <v>62</v>
      </c>
      <c r="X2706" t="s">
        <v>51</v>
      </c>
      <c r="Y2706" t="s">
        <v>52</v>
      </c>
      <c r="Z2706">
        <v>5</v>
      </c>
      <c r="AA2706">
        <v>157.85</v>
      </c>
      <c r="AB2706">
        <v>24</v>
      </c>
    </row>
    <row r="2707" spans="1:28" x14ac:dyDescent="0.2">
      <c r="A2707">
        <v>3267</v>
      </c>
      <c r="B2707" s="1">
        <v>43811</v>
      </c>
      <c r="C2707" t="s">
        <v>28</v>
      </c>
      <c r="D2707" t="s">
        <v>85</v>
      </c>
      <c r="E2707" t="s">
        <v>30</v>
      </c>
      <c r="F2707" t="s">
        <v>31</v>
      </c>
      <c r="G2707" t="s">
        <v>32</v>
      </c>
      <c r="H2707" t="s">
        <v>46</v>
      </c>
      <c r="I2707" t="s">
        <v>34</v>
      </c>
      <c r="J2707" t="s">
        <v>89</v>
      </c>
      <c r="K2707" s="2">
        <v>23322</v>
      </c>
      <c r="L2707" t="s">
        <v>36</v>
      </c>
      <c r="M2707" t="s">
        <v>37</v>
      </c>
      <c r="N2707" t="s">
        <v>60</v>
      </c>
      <c r="O2707" t="s">
        <v>61</v>
      </c>
      <c r="P2707" t="s">
        <v>40</v>
      </c>
      <c r="Q2707">
        <v>5</v>
      </c>
      <c r="R2707" s="2">
        <v>45091</v>
      </c>
      <c r="S2707">
        <v>1</v>
      </c>
      <c r="T2707">
        <v>5</v>
      </c>
      <c r="U2707">
        <v>2</v>
      </c>
      <c r="V2707" s="1">
        <v>44861</v>
      </c>
      <c r="W2707" t="s">
        <v>92</v>
      </c>
      <c r="X2707" t="s">
        <v>51</v>
      </c>
      <c r="Y2707" t="s">
        <v>52</v>
      </c>
      <c r="Z2707">
        <v>1</v>
      </c>
      <c r="AA2707">
        <v>980.78</v>
      </c>
      <c r="AB2707">
        <v>56</v>
      </c>
    </row>
    <row r="2708" spans="1:28" x14ac:dyDescent="0.2">
      <c r="A2708">
        <v>3268</v>
      </c>
      <c r="B2708" s="1">
        <v>45099</v>
      </c>
      <c r="C2708" t="s">
        <v>28</v>
      </c>
      <c r="D2708" t="s">
        <v>44</v>
      </c>
      <c r="E2708" t="s">
        <v>30</v>
      </c>
      <c r="F2708" t="s">
        <v>31</v>
      </c>
      <c r="G2708" t="s">
        <v>45</v>
      </c>
      <c r="H2708" t="s">
        <v>33</v>
      </c>
      <c r="I2708" t="s">
        <v>34</v>
      </c>
      <c r="J2708" t="s">
        <v>70</v>
      </c>
      <c r="K2708" s="2">
        <v>22879</v>
      </c>
      <c r="L2708" t="s">
        <v>36</v>
      </c>
      <c r="M2708" t="s">
        <v>37</v>
      </c>
      <c r="N2708" t="s">
        <v>84</v>
      </c>
      <c r="O2708" t="s">
        <v>61</v>
      </c>
      <c r="P2708" t="s">
        <v>40</v>
      </c>
      <c r="Q2708">
        <v>2</v>
      </c>
      <c r="R2708" s="2">
        <v>45107</v>
      </c>
      <c r="S2708">
        <v>1</v>
      </c>
      <c r="T2708">
        <v>5</v>
      </c>
      <c r="U2708">
        <v>4</v>
      </c>
      <c r="V2708" s="1">
        <v>45101</v>
      </c>
      <c r="W2708" t="s">
        <v>62</v>
      </c>
      <c r="X2708" t="s">
        <v>42</v>
      </c>
      <c r="Y2708" t="s">
        <v>43</v>
      </c>
      <c r="Z2708">
        <v>5</v>
      </c>
      <c r="AA2708">
        <v>988.08</v>
      </c>
      <c r="AB2708">
        <v>61</v>
      </c>
    </row>
    <row r="2709" spans="1:28" x14ac:dyDescent="0.2">
      <c r="A2709">
        <v>3269</v>
      </c>
      <c r="B2709" s="1">
        <v>44367</v>
      </c>
      <c r="C2709" t="s">
        <v>28</v>
      </c>
      <c r="D2709" t="s">
        <v>87</v>
      </c>
      <c r="E2709" t="s">
        <v>30</v>
      </c>
      <c r="F2709" t="s">
        <v>55</v>
      </c>
      <c r="G2709" t="s">
        <v>32</v>
      </c>
      <c r="H2709" t="s">
        <v>33</v>
      </c>
      <c r="I2709" t="s">
        <v>34</v>
      </c>
      <c r="J2709" t="s">
        <v>70</v>
      </c>
      <c r="K2709" s="2">
        <v>36624</v>
      </c>
      <c r="L2709" t="s">
        <v>36</v>
      </c>
      <c r="M2709" t="s">
        <v>48</v>
      </c>
      <c r="N2709" t="s">
        <v>84</v>
      </c>
      <c r="O2709" t="s">
        <v>67</v>
      </c>
      <c r="P2709" t="s">
        <v>40</v>
      </c>
      <c r="Q2709">
        <v>1</v>
      </c>
      <c r="R2709" s="2">
        <v>44895</v>
      </c>
      <c r="S2709">
        <v>1</v>
      </c>
      <c r="T2709">
        <v>5</v>
      </c>
      <c r="U2709">
        <v>2</v>
      </c>
      <c r="V2709" s="1">
        <v>45027</v>
      </c>
      <c r="W2709" t="s">
        <v>50</v>
      </c>
      <c r="X2709" t="s">
        <v>42</v>
      </c>
      <c r="Y2709" t="s">
        <v>73</v>
      </c>
      <c r="Z2709">
        <v>1</v>
      </c>
      <c r="AA2709">
        <v>322.45</v>
      </c>
      <c r="AB2709">
        <v>21</v>
      </c>
    </row>
    <row r="2710" spans="1:28" x14ac:dyDescent="0.2">
      <c r="A2710">
        <v>3270</v>
      </c>
      <c r="B2710" s="1">
        <v>43769</v>
      </c>
      <c r="C2710" t="s">
        <v>28</v>
      </c>
      <c r="D2710" t="s">
        <v>64</v>
      </c>
      <c r="E2710" t="s">
        <v>30</v>
      </c>
      <c r="F2710" t="s">
        <v>55</v>
      </c>
      <c r="G2710" t="s">
        <v>56</v>
      </c>
      <c r="H2710" t="s">
        <v>55</v>
      </c>
      <c r="I2710" t="s">
        <v>34</v>
      </c>
      <c r="J2710" t="s">
        <v>89</v>
      </c>
      <c r="K2710" s="2">
        <v>21284</v>
      </c>
      <c r="L2710" t="s">
        <v>36</v>
      </c>
      <c r="M2710" t="s">
        <v>48</v>
      </c>
      <c r="N2710" t="s">
        <v>84</v>
      </c>
      <c r="O2710" t="s">
        <v>61</v>
      </c>
      <c r="P2710" t="s">
        <v>40</v>
      </c>
      <c r="Q2710">
        <v>2</v>
      </c>
      <c r="R2710" s="2">
        <v>44830</v>
      </c>
      <c r="S2710">
        <v>5</v>
      </c>
      <c r="T2710">
        <v>5</v>
      </c>
      <c r="U2710">
        <v>4</v>
      </c>
      <c r="V2710" s="1">
        <v>44847</v>
      </c>
      <c r="W2710" t="s">
        <v>41</v>
      </c>
      <c r="X2710" t="s">
        <v>51</v>
      </c>
      <c r="Y2710" t="s">
        <v>73</v>
      </c>
      <c r="Z2710">
        <v>1</v>
      </c>
      <c r="AA2710">
        <v>147.59</v>
      </c>
      <c r="AB2710">
        <v>61</v>
      </c>
    </row>
    <row r="2711" spans="1:28" x14ac:dyDescent="0.2">
      <c r="A2711">
        <v>3271</v>
      </c>
      <c r="B2711" s="1">
        <v>43648</v>
      </c>
      <c r="C2711" t="s">
        <v>28</v>
      </c>
      <c r="D2711" t="s">
        <v>94</v>
      </c>
      <c r="E2711" t="s">
        <v>108</v>
      </c>
      <c r="F2711" t="s">
        <v>31</v>
      </c>
      <c r="G2711" t="s">
        <v>56</v>
      </c>
      <c r="H2711" t="s">
        <v>46</v>
      </c>
      <c r="I2711" t="s">
        <v>34</v>
      </c>
      <c r="J2711" t="s">
        <v>79</v>
      </c>
      <c r="K2711" s="2">
        <v>25687</v>
      </c>
      <c r="L2711" t="s">
        <v>36</v>
      </c>
      <c r="M2711" t="s">
        <v>48</v>
      </c>
      <c r="N2711" t="s">
        <v>84</v>
      </c>
      <c r="O2711" t="s">
        <v>77</v>
      </c>
      <c r="P2711" t="s">
        <v>40</v>
      </c>
      <c r="Q2711">
        <v>3</v>
      </c>
      <c r="R2711" s="2">
        <v>44997</v>
      </c>
      <c r="S2711">
        <v>1</v>
      </c>
      <c r="T2711">
        <v>5</v>
      </c>
      <c r="U2711">
        <v>1</v>
      </c>
      <c r="V2711" s="1">
        <v>45000</v>
      </c>
      <c r="W2711" t="s">
        <v>68</v>
      </c>
      <c r="X2711" t="s">
        <v>51</v>
      </c>
      <c r="Y2711" t="s">
        <v>73</v>
      </c>
      <c r="Z2711">
        <v>3</v>
      </c>
      <c r="AA2711">
        <v>747.02</v>
      </c>
      <c r="AB2711">
        <v>49</v>
      </c>
    </row>
    <row r="2712" spans="1:28" x14ac:dyDescent="0.2">
      <c r="A2712">
        <v>3272</v>
      </c>
      <c r="B2712" s="1">
        <v>44967</v>
      </c>
      <c r="C2712" t="s">
        <v>28</v>
      </c>
      <c r="D2712" t="s">
        <v>74</v>
      </c>
      <c r="E2712" t="s">
        <v>30</v>
      </c>
      <c r="F2712" t="s">
        <v>31</v>
      </c>
      <c r="G2712" t="s">
        <v>32</v>
      </c>
      <c r="H2712" t="s">
        <v>46</v>
      </c>
      <c r="I2712" t="s">
        <v>34</v>
      </c>
      <c r="J2712" t="s">
        <v>47</v>
      </c>
      <c r="K2712" s="2">
        <v>21784</v>
      </c>
      <c r="L2712" t="s">
        <v>36</v>
      </c>
      <c r="M2712" t="s">
        <v>48</v>
      </c>
      <c r="N2712" t="s">
        <v>60</v>
      </c>
      <c r="O2712" t="s">
        <v>39</v>
      </c>
      <c r="P2712" t="s">
        <v>40</v>
      </c>
      <c r="Q2712">
        <v>3</v>
      </c>
      <c r="R2712" s="2">
        <v>44987</v>
      </c>
      <c r="S2712">
        <v>5</v>
      </c>
      <c r="T2712">
        <v>5</v>
      </c>
      <c r="U2712">
        <v>2</v>
      </c>
      <c r="V2712" s="1">
        <v>44956</v>
      </c>
      <c r="W2712" t="s">
        <v>41</v>
      </c>
      <c r="X2712" t="s">
        <v>51</v>
      </c>
      <c r="Y2712" t="s">
        <v>73</v>
      </c>
      <c r="Z2712">
        <v>2</v>
      </c>
      <c r="AA2712">
        <v>419.09</v>
      </c>
      <c r="AB2712">
        <v>64</v>
      </c>
    </row>
    <row r="2713" spans="1:28" x14ac:dyDescent="0.2">
      <c r="A2713">
        <v>3273</v>
      </c>
      <c r="B2713" s="1">
        <v>44820</v>
      </c>
      <c r="C2713" t="s">
        <v>28</v>
      </c>
      <c r="D2713" t="s">
        <v>81</v>
      </c>
      <c r="E2713" t="s">
        <v>30</v>
      </c>
      <c r="F2713" t="s">
        <v>55</v>
      </c>
      <c r="G2713" t="s">
        <v>45</v>
      </c>
      <c r="H2713" t="s">
        <v>33</v>
      </c>
      <c r="I2713" t="s">
        <v>34</v>
      </c>
      <c r="J2713" t="s">
        <v>104</v>
      </c>
      <c r="K2713" s="2">
        <v>36137</v>
      </c>
      <c r="L2713" t="s">
        <v>36</v>
      </c>
      <c r="M2713" t="s">
        <v>37</v>
      </c>
      <c r="N2713" t="s">
        <v>84</v>
      </c>
      <c r="O2713" t="s">
        <v>77</v>
      </c>
      <c r="P2713" t="s">
        <v>40</v>
      </c>
      <c r="Q2713">
        <v>4</v>
      </c>
      <c r="R2713" s="2">
        <v>45051</v>
      </c>
      <c r="S2713">
        <v>4</v>
      </c>
      <c r="T2713">
        <v>5</v>
      </c>
      <c r="U2713">
        <v>4</v>
      </c>
      <c r="V2713" s="1">
        <v>44869</v>
      </c>
      <c r="W2713" t="s">
        <v>68</v>
      </c>
      <c r="X2713" t="s">
        <v>42</v>
      </c>
      <c r="Y2713" t="s">
        <v>73</v>
      </c>
      <c r="Z2713">
        <v>3</v>
      </c>
      <c r="AA2713">
        <v>484.19</v>
      </c>
      <c r="AB2713">
        <v>24</v>
      </c>
    </row>
    <row r="2714" spans="1:28" x14ac:dyDescent="0.2">
      <c r="A2714">
        <v>3275</v>
      </c>
      <c r="B2714" s="1">
        <v>44881</v>
      </c>
      <c r="C2714" t="s">
        <v>28</v>
      </c>
      <c r="D2714" t="s">
        <v>69</v>
      </c>
      <c r="E2714" t="s">
        <v>30</v>
      </c>
      <c r="F2714" t="s">
        <v>46</v>
      </c>
      <c r="G2714" t="s">
        <v>56</v>
      </c>
      <c r="H2714" t="s">
        <v>33</v>
      </c>
      <c r="I2714" t="s">
        <v>34</v>
      </c>
      <c r="J2714" t="s">
        <v>65</v>
      </c>
      <c r="K2714" s="2">
        <v>33603</v>
      </c>
      <c r="L2714" t="s">
        <v>36</v>
      </c>
      <c r="M2714" t="s">
        <v>48</v>
      </c>
      <c r="N2714" t="s">
        <v>60</v>
      </c>
      <c r="O2714" t="s">
        <v>77</v>
      </c>
      <c r="P2714" t="s">
        <v>107</v>
      </c>
      <c r="Q2714">
        <v>3</v>
      </c>
      <c r="R2714" s="2">
        <v>45102</v>
      </c>
      <c r="S2714">
        <v>1</v>
      </c>
      <c r="T2714">
        <v>2</v>
      </c>
      <c r="U2714">
        <v>3</v>
      </c>
      <c r="V2714" s="1">
        <v>44893</v>
      </c>
      <c r="W2714" t="s">
        <v>68</v>
      </c>
      <c r="X2714" t="s">
        <v>42</v>
      </c>
      <c r="Y2714" t="s">
        <v>52</v>
      </c>
      <c r="Z2714">
        <v>3</v>
      </c>
      <c r="AA2714">
        <v>942.66</v>
      </c>
      <c r="AB2714">
        <v>31</v>
      </c>
    </row>
    <row r="2715" spans="1:28" x14ac:dyDescent="0.2">
      <c r="A2715">
        <v>3276</v>
      </c>
      <c r="B2715" s="1">
        <v>44221</v>
      </c>
      <c r="C2715" t="s">
        <v>28</v>
      </c>
      <c r="D2715" t="s">
        <v>29</v>
      </c>
      <c r="E2715" t="s">
        <v>30</v>
      </c>
      <c r="F2715" t="s">
        <v>31</v>
      </c>
      <c r="G2715" t="s">
        <v>45</v>
      </c>
      <c r="H2715" t="s">
        <v>33</v>
      </c>
      <c r="I2715" t="s">
        <v>34</v>
      </c>
      <c r="J2715" t="s">
        <v>79</v>
      </c>
      <c r="K2715" s="2">
        <v>35389</v>
      </c>
      <c r="L2715" t="s">
        <v>36</v>
      </c>
      <c r="M2715" t="s">
        <v>48</v>
      </c>
      <c r="N2715" t="s">
        <v>84</v>
      </c>
      <c r="O2715" t="s">
        <v>77</v>
      </c>
      <c r="P2715" t="s">
        <v>40</v>
      </c>
      <c r="Q2715">
        <v>2</v>
      </c>
      <c r="R2715" s="2">
        <v>45005</v>
      </c>
      <c r="S2715">
        <v>2</v>
      </c>
      <c r="T2715">
        <v>2</v>
      </c>
      <c r="U2715">
        <v>4</v>
      </c>
      <c r="V2715" s="1">
        <v>44788</v>
      </c>
      <c r="W2715" t="s">
        <v>62</v>
      </c>
      <c r="X2715" t="s">
        <v>51</v>
      </c>
      <c r="Y2715" t="s">
        <v>63</v>
      </c>
      <c r="Z2715">
        <v>3</v>
      </c>
      <c r="AA2715">
        <v>826.54</v>
      </c>
      <c r="AB2715">
        <v>25</v>
      </c>
    </row>
    <row r="2716" spans="1:28" x14ac:dyDescent="0.2">
      <c r="A2716">
        <v>3277</v>
      </c>
      <c r="B2716" s="1">
        <v>45093</v>
      </c>
      <c r="C2716" t="s">
        <v>106</v>
      </c>
      <c r="D2716" t="s">
        <v>81</v>
      </c>
      <c r="E2716" t="s">
        <v>30</v>
      </c>
      <c r="F2716" t="s">
        <v>46</v>
      </c>
      <c r="G2716" t="s">
        <v>56</v>
      </c>
      <c r="H2716" t="s">
        <v>33</v>
      </c>
      <c r="I2716" t="s">
        <v>34</v>
      </c>
      <c r="J2716" t="s">
        <v>47</v>
      </c>
      <c r="K2716" s="2">
        <v>29362</v>
      </c>
      <c r="L2716" t="s">
        <v>36</v>
      </c>
      <c r="M2716" t="s">
        <v>37</v>
      </c>
      <c r="N2716" t="s">
        <v>49</v>
      </c>
      <c r="O2716" t="s">
        <v>67</v>
      </c>
      <c r="P2716" t="s">
        <v>40</v>
      </c>
      <c r="Q2716">
        <v>5</v>
      </c>
      <c r="R2716" s="2">
        <v>44933</v>
      </c>
      <c r="S2716">
        <v>3</v>
      </c>
      <c r="T2716">
        <v>2</v>
      </c>
      <c r="U2716">
        <v>3</v>
      </c>
      <c r="V2716" s="1">
        <v>44999</v>
      </c>
      <c r="W2716" t="s">
        <v>62</v>
      </c>
      <c r="X2716" t="s">
        <v>42</v>
      </c>
      <c r="Y2716" t="s">
        <v>73</v>
      </c>
      <c r="Z2716">
        <v>1</v>
      </c>
      <c r="AA2716">
        <v>997.87</v>
      </c>
      <c r="AB2716">
        <v>43</v>
      </c>
    </row>
    <row r="2717" spans="1:28" x14ac:dyDescent="0.2">
      <c r="A2717">
        <v>3278</v>
      </c>
      <c r="B2717" s="1">
        <v>44082</v>
      </c>
      <c r="C2717" t="s">
        <v>106</v>
      </c>
      <c r="D2717" t="s">
        <v>54</v>
      </c>
      <c r="E2717" t="s">
        <v>30</v>
      </c>
      <c r="F2717" t="s">
        <v>31</v>
      </c>
      <c r="G2717" t="s">
        <v>45</v>
      </c>
      <c r="H2717" t="s">
        <v>46</v>
      </c>
      <c r="I2717" t="s">
        <v>34</v>
      </c>
      <c r="J2717" t="s">
        <v>70</v>
      </c>
      <c r="K2717" s="2">
        <v>16391</v>
      </c>
      <c r="L2717" t="s">
        <v>36</v>
      </c>
      <c r="M2717" t="s">
        <v>37</v>
      </c>
      <c r="N2717" t="s">
        <v>72</v>
      </c>
      <c r="O2717" t="s">
        <v>67</v>
      </c>
      <c r="P2717" t="s">
        <v>40</v>
      </c>
      <c r="Q2717">
        <v>4</v>
      </c>
      <c r="R2717" s="2">
        <v>44848</v>
      </c>
      <c r="S2717">
        <v>1</v>
      </c>
      <c r="T2717">
        <v>4</v>
      </c>
      <c r="U2717">
        <v>4</v>
      </c>
      <c r="V2717" s="1">
        <v>45000</v>
      </c>
      <c r="W2717" t="s">
        <v>41</v>
      </c>
      <c r="X2717" t="s">
        <v>42</v>
      </c>
      <c r="Y2717" t="s">
        <v>43</v>
      </c>
      <c r="Z2717">
        <v>3</v>
      </c>
      <c r="AA2717">
        <v>855.9</v>
      </c>
      <c r="AB2717">
        <v>76</v>
      </c>
    </row>
    <row r="2718" spans="1:28" x14ac:dyDescent="0.2">
      <c r="A2718">
        <v>3279</v>
      </c>
      <c r="B2718" s="1">
        <v>43488</v>
      </c>
      <c r="C2718" t="s">
        <v>106</v>
      </c>
      <c r="D2718" t="s">
        <v>69</v>
      </c>
      <c r="E2718" t="s">
        <v>30</v>
      </c>
      <c r="F2718" t="s">
        <v>55</v>
      </c>
      <c r="G2718" t="s">
        <v>45</v>
      </c>
      <c r="H2718" t="s">
        <v>55</v>
      </c>
      <c r="I2718" t="s">
        <v>34</v>
      </c>
      <c r="J2718" t="s">
        <v>79</v>
      </c>
      <c r="K2718" s="2">
        <v>34365</v>
      </c>
      <c r="L2718" t="s">
        <v>36</v>
      </c>
      <c r="M2718" t="s">
        <v>48</v>
      </c>
      <c r="N2718" t="s">
        <v>72</v>
      </c>
      <c r="O2718" t="s">
        <v>67</v>
      </c>
      <c r="P2718" t="s">
        <v>40</v>
      </c>
      <c r="Q2718">
        <v>5</v>
      </c>
      <c r="R2718" s="2">
        <v>45017</v>
      </c>
      <c r="S2718">
        <v>5</v>
      </c>
      <c r="T2718">
        <v>2</v>
      </c>
      <c r="U2718">
        <v>1</v>
      </c>
      <c r="V2718" s="1">
        <v>44864</v>
      </c>
      <c r="W2718" t="s">
        <v>68</v>
      </c>
      <c r="X2718" t="s">
        <v>42</v>
      </c>
      <c r="Y2718" t="s">
        <v>52</v>
      </c>
      <c r="Z2718">
        <v>4</v>
      </c>
      <c r="AA2718">
        <v>518.24</v>
      </c>
      <c r="AB2718">
        <v>25</v>
      </c>
    </row>
    <row r="2719" spans="1:28" x14ac:dyDescent="0.2">
      <c r="A2719">
        <v>3280</v>
      </c>
      <c r="B2719" s="1">
        <v>45075</v>
      </c>
      <c r="C2719" t="s">
        <v>106</v>
      </c>
      <c r="D2719" t="s">
        <v>29</v>
      </c>
      <c r="E2719" t="s">
        <v>108</v>
      </c>
      <c r="F2719" t="s">
        <v>46</v>
      </c>
      <c r="G2719" t="s">
        <v>45</v>
      </c>
      <c r="H2719" t="s">
        <v>33</v>
      </c>
      <c r="I2719" t="s">
        <v>34</v>
      </c>
      <c r="J2719" t="s">
        <v>96</v>
      </c>
      <c r="K2719" s="2">
        <v>30506</v>
      </c>
      <c r="L2719" t="s">
        <v>36</v>
      </c>
      <c r="M2719" t="s">
        <v>48</v>
      </c>
      <c r="N2719" t="s">
        <v>60</v>
      </c>
      <c r="O2719" t="s">
        <v>77</v>
      </c>
      <c r="P2719" t="s">
        <v>40</v>
      </c>
      <c r="Q2719">
        <v>5</v>
      </c>
      <c r="R2719" s="2">
        <v>45141</v>
      </c>
      <c r="S2719">
        <v>4</v>
      </c>
      <c r="T2719">
        <v>5</v>
      </c>
      <c r="U2719">
        <v>4</v>
      </c>
      <c r="V2719" s="1">
        <v>44828</v>
      </c>
      <c r="W2719" t="s">
        <v>62</v>
      </c>
      <c r="X2719" t="s">
        <v>51</v>
      </c>
      <c r="Y2719" t="s">
        <v>52</v>
      </c>
      <c r="Z2719">
        <v>3</v>
      </c>
      <c r="AA2719">
        <v>580.09</v>
      </c>
      <c r="AB2719">
        <v>40</v>
      </c>
    </row>
    <row r="2720" spans="1:28" x14ac:dyDescent="0.2">
      <c r="A2720">
        <v>3281</v>
      </c>
      <c r="B2720" s="1">
        <v>43693</v>
      </c>
      <c r="C2720" t="s">
        <v>106</v>
      </c>
      <c r="D2720" t="s">
        <v>85</v>
      </c>
      <c r="E2720" t="s">
        <v>30</v>
      </c>
      <c r="F2720" t="s">
        <v>31</v>
      </c>
      <c r="G2720" t="s">
        <v>56</v>
      </c>
      <c r="H2720" t="s">
        <v>55</v>
      </c>
      <c r="I2720" t="s">
        <v>34</v>
      </c>
      <c r="J2720" t="s">
        <v>65</v>
      </c>
      <c r="K2720" s="2">
        <v>19928</v>
      </c>
      <c r="L2720" t="s">
        <v>36</v>
      </c>
      <c r="M2720" t="s">
        <v>48</v>
      </c>
      <c r="N2720" t="s">
        <v>49</v>
      </c>
      <c r="O2720" t="s">
        <v>77</v>
      </c>
      <c r="P2720" t="s">
        <v>40</v>
      </c>
      <c r="Q2720">
        <v>5</v>
      </c>
      <c r="R2720" s="2">
        <v>44984</v>
      </c>
      <c r="S2720">
        <v>4</v>
      </c>
      <c r="T2720">
        <v>4</v>
      </c>
      <c r="U2720">
        <v>4</v>
      </c>
      <c r="V2720" s="1">
        <v>44949</v>
      </c>
      <c r="W2720" t="s">
        <v>62</v>
      </c>
      <c r="X2720" t="s">
        <v>42</v>
      </c>
      <c r="Y2720" t="s">
        <v>73</v>
      </c>
      <c r="Z2720">
        <v>3</v>
      </c>
      <c r="AA2720">
        <v>104.8</v>
      </c>
      <c r="AB2720">
        <v>65</v>
      </c>
    </row>
    <row r="2721" spans="1:28" x14ac:dyDescent="0.2">
      <c r="A2721">
        <v>3282</v>
      </c>
      <c r="B2721" s="1">
        <v>43986</v>
      </c>
      <c r="C2721" t="s">
        <v>106</v>
      </c>
      <c r="D2721" t="s">
        <v>44</v>
      </c>
      <c r="E2721" t="s">
        <v>30</v>
      </c>
      <c r="F2721" t="s">
        <v>55</v>
      </c>
      <c r="G2721" t="s">
        <v>56</v>
      </c>
      <c r="H2721" t="s">
        <v>55</v>
      </c>
      <c r="I2721" t="s">
        <v>34</v>
      </c>
      <c r="J2721" t="s">
        <v>101</v>
      </c>
      <c r="K2721" s="2">
        <v>28664</v>
      </c>
      <c r="L2721" t="s">
        <v>36</v>
      </c>
      <c r="M2721" t="s">
        <v>37</v>
      </c>
      <c r="N2721" t="s">
        <v>84</v>
      </c>
      <c r="O2721" t="s">
        <v>67</v>
      </c>
      <c r="P2721" t="s">
        <v>40</v>
      </c>
      <c r="Q2721">
        <v>3</v>
      </c>
      <c r="R2721" s="2">
        <v>45046</v>
      </c>
      <c r="S2721">
        <v>5</v>
      </c>
      <c r="T2721">
        <v>1</v>
      </c>
      <c r="U2721">
        <v>1</v>
      </c>
      <c r="V2721" s="1">
        <v>45055</v>
      </c>
      <c r="W2721" t="s">
        <v>62</v>
      </c>
      <c r="X2721" t="s">
        <v>51</v>
      </c>
      <c r="Y2721" t="s">
        <v>43</v>
      </c>
      <c r="Z2721">
        <v>2</v>
      </c>
      <c r="AA2721">
        <v>939.86</v>
      </c>
      <c r="AB2721">
        <v>42</v>
      </c>
    </row>
    <row r="2722" spans="1:28" x14ac:dyDescent="0.2">
      <c r="A2722">
        <v>3283</v>
      </c>
      <c r="B2722" s="1">
        <v>44033</v>
      </c>
      <c r="C2722" t="s">
        <v>106</v>
      </c>
      <c r="D2722" t="s">
        <v>87</v>
      </c>
      <c r="E2722" t="s">
        <v>30</v>
      </c>
      <c r="F2722" t="s">
        <v>31</v>
      </c>
      <c r="G2722" t="s">
        <v>56</v>
      </c>
      <c r="H2722" t="s">
        <v>46</v>
      </c>
      <c r="I2722" t="s">
        <v>34</v>
      </c>
      <c r="J2722" t="s">
        <v>101</v>
      </c>
      <c r="K2722" s="2">
        <v>32368</v>
      </c>
      <c r="L2722" t="s">
        <v>36</v>
      </c>
      <c r="M2722" t="s">
        <v>37</v>
      </c>
      <c r="N2722" t="s">
        <v>49</v>
      </c>
      <c r="O2722" t="s">
        <v>67</v>
      </c>
      <c r="P2722" t="s">
        <v>40</v>
      </c>
      <c r="Q2722">
        <v>3</v>
      </c>
      <c r="R2722" s="2">
        <v>44853</v>
      </c>
      <c r="S2722">
        <v>1</v>
      </c>
      <c r="T2722">
        <v>3</v>
      </c>
      <c r="U2722">
        <v>3</v>
      </c>
      <c r="V2722" s="1">
        <v>44988</v>
      </c>
      <c r="W2722" t="s">
        <v>92</v>
      </c>
      <c r="X2722" t="s">
        <v>42</v>
      </c>
      <c r="Y2722" t="s">
        <v>52</v>
      </c>
      <c r="Z2722">
        <v>2</v>
      </c>
      <c r="AA2722">
        <v>353.7</v>
      </c>
      <c r="AB2722">
        <v>32</v>
      </c>
    </row>
    <row r="2723" spans="1:28" x14ac:dyDescent="0.2">
      <c r="A2723">
        <v>3284</v>
      </c>
      <c r="B2723" s="1">
        <v>44794</v>
      </c>
      <c r="C2723" t="s">
        <v>28</v>
      </c>
      <c r="D2723" t="s">
        <v>44</v>
      </c>
      <c r="E2723" t="s">
        <v>108</v>
      </c>
      <c r="F2723" t="s">
        <v>31</v>
      </c>
      <c r="G2723" t="s">
        <v>45</v>
      </c>
      <c r="H2723" t="s">
        <v>46</v>
      </c>
      <c r="I2723" t="s">
        <v>34</v>
      </c>
      <c r="J2723" t="s">
        <v>97</v>
      </c>
      <c r="K2723" s="2">
        <v>17823</v>
      </c>
      <c r="L2723" t="s">
        <v>36</v>
      </c>
      <c r="M2723" t="s">
        <v>48</v>
      </c>
      <c r="N2723" t="s">
        <v>60</v>
      </c>
      <c r="O2723" t="s">
        <v>77</v>
      </c>
      <c r="P2723" t="s">
        <v>40</v>
      </c>
      <c r="Q2723">
        <v>2</v>
      </c>
      <c r="R2723" s="2">
        <v>44904</v>
      </c>
      <c r="S2723">
        <v>2</v>
      </c>
      <c r="T2723">
        <v>4</v>
      </c>
      <c r="U2723">
        <v>1</v>
      </c>
      <c r="V2723" s="1">
        <v>44854</v>
      </c>
      <c r="W2723" t="s">
        <v>68</v>
      </c>
      <c r="X2723" t="s">
        <v>51</v>
      </c>
      <c r="Y2723" t="s">
        <v>52</v>
      </c>
      <c r="Z2723">
        <v>5</v>
      </c>
      <c r="AA2723">
        <v>538.22</v>
      </c>
      <c r="AB2723">
        <v>74</v>
      </c>
    </row>
    <row r="2724" spans="1:28" x14ac:dyDescent="0.2">
      <c r="A2724">
        <v>3285</v>
      </c>
      <c r="B2724" s="1">
        <v>44393</v>
      </c>
      <c r="C2724" t="s">
        <v>28</v>
      </c>
      <c r="D2724" t="s">
        <v>87</v>
      </c>
      <c r="E2724" t="s">
        <v>108</v>
      </c>
      <c r="F2724" t="s">
        <v>31</v>
      </c>
      <c r="G2724" t="s">
        <v>56</v>
      </c>
      <c r="H2724" t="s">
        <v>46</v>
      </c>
      <c r="I2724" t="s">
        <v>34</v>
      </c>
      <c r="J2724" t="s">
        <v>101</v>
      </c>
      <c r="K2724" s="2">
        <v>19739</v>
      </c>
      <c r="L2724" t="s">
        <v>36</v>
      </c>
      <c r="M2724" t="s">
        <v>48</v>
      </c>
      <c r="N2724" t="s">
        <v>60</v>
      </c>
      <c r="O2724" t="s">
        <v>61</v>
      </c>
      <c r="P2724" t="s">
        <v>107</v>
      </c>
      <c r="Q2724">
        <v>4</v>
      </c>
      <c r="R2724" s="2">
        <v>45075</v>
      </c>
      <c r="S2724">
        <v>3</v>
      </c>
      <c r="T2724">
        <v>3</v>
      </c>
      <c r="U2724">
        <v>3</v>
      </c>
      <c r="V2724" s="1">
        <v>45053</v>
      </c>
      <c r="W2724" t="s">
        <v>62</v>
      </c>
      <c r="X2724" t="s">
        <v>51</v>
      </c>
      <c r="Y2724" t="s">
        <v>52</v>
      </c>
      <c r="Z2724">
        <v>2</v>
      </c>
      <c r="AA2724">
        <v>698.54</v>
      </c>
      <c r="AB2724">
        <v>67</v>
      </c>
    </row>
    <row r="2725" spans="1:28" x14ac:dyDescent="0.2">
      <c r="A2725">
        <v>3286</v>
      </c>
      <c r="B2725" s="1">
        <v>43775</v>
      </c>
      <c r="C2725" t="s">
        <v>28</v>
      </c>
      <c r="D2725" t="s">
        <v>81</v>
      </c>
      <c r="E2725" t="s">
        <v>30</v>
      </c>
      <c r="F2725" t="s">
        <v>55</v>
      </c>
      <c r="G2725" t="s">
        <v>32</v>
      </c>
      <c r="H2725" t="s">
        <v>33</v>
      </c>
      <c r="I2725" t="s">
        <v>34</v>
      </c>
      <c r="J2725" t="s">
        <v>96</v>
      </c>
      <c r="K2725" s="2">
        <v>25795</v>
      </c>
      <c r="L2725" t="s">
        <v>36</v>
      </c>
      <c r="M2725" t="s">
        <v>37</v>
      </c>
      <c r="N2725" t="s">
        <v>38</v>
      </c>
      <c r="O2725" t="s">
        <v>77</v>
      </c>
      <c r="P2725" t="s">
        <v>107</v>
      </c>
      <c r="Q2725">
        <v>3</v>
      </c>
      <c r="R2725" s="2">
        <v>45041</v>
      </c>
      <c r="S2725">
        <v>3</v>
      </c>
      <c r="T2725">
        <v>1</v>
      </c>
      <c r="U2725">
        <v>4</v>
      </c>
      <c r="V2725" s="1">
        <v>45062</v>
      </c>
      <c r="W2725" t="s">
        <v>62</v>
      </c>
      <c r="X2725" t="s">
        <v>51</v>
      </c>
      <c r="Y2725" t="s">
        <v>63</v>
      </c>
      <c r="Z2725">
        <v>1</v>
      </c>
      <c r="AA2725">
        <v>692.96</v>
      </c>
      <c r="AB2725">
        <v>49</v>
      </c>
    </row>
    <row r="2726" spans="1:28" x14ac:dyDescent="0.2">
      <c r="A2726">
        <v>3287</v>
      </c>
      <c r="B2726" s="1">
        <v>44197</v>
      </c>
      <c r="C2726" t="s">
        <v>28</v>
      </c>
      <c r="D2726" t="s">
        <v>54</v>
      </c>
      <c r="E2726" t="s">
        <v>30</v>
      </c>
      <c r="F2726" t="s">
        <v>46</v>
      </c>
      <c r="G2726" t="s">
        <v>45</v>
      </c>
      <c r="H2726" t="s">
        <v>33</v>
      </c>
      <c r="I2726" t="s">
        <v>34</v>
      </c>
      <c r="J2726" t="s">
        <v>65</v>
      </c>
      <c r="K2726" s="2">
        <v>29016</v>
      </c>
      <c r="L2726" t="s">
        <v>36</v>
      </c>
      <c r="M2726" t="s">
        <v>37</v>
      </c>
      <c r="N2726" t="s">
        <v>84</v>
      </c>
      <c r="O2726" t="s">
        <v>77</v>
      </c>
      <c r="P2726" t="s">
        <v>40</v>
      </c>
      <c r="Q2726">
        <v>1</v>
      </c>
      <c r="R2726" s="2">
        <v>45016</v>
      </c>
      <c r="S2726">
        <v>5</v>
      </c>
      <c r="T2726">
        <v>1</v>
      </c>
      <c r="U2726">
        <v>2</v>
      </c>
      <c r="V2726" s="1">
        <v>44791</v>
      </c>
      <c r="W2726" t="s">
        <v>62</v>
      </c>
      <c r="X2726" t="s">
        <v>42</v>
      </c>
      <c r="Y2726" t="s">
        <v>52</v>
      </c>
      <c r="Z2726">
        <v>3</v>
      </c>
      <c r="AA2726">
        <v>997.37</v>
      </c>
      <c r="AB2726">
        <v>42</v>
      </c>
    </row>
    <row r="2727" spans="1:28" x14ac:dyDescent="0.2">
      <c r="A2727">
        <v>3288</v>
      </c>
      <c r="B2727" s="1">
        <v>43732</v>
      </c>
      <c r="C2727" t="s">
        <v>28</v>
      </c>
      <c r="D2727" t="s">
        <v>94</v>
      </c>
      <c r="E2727" t="s">
        <v>30</v>
      </c>
      <c r="F2727" t="s">
        <v>55</v>
      </c>
      <c r="G2727" t="s">
        <v>45</v>
      </c>
      <c r="H2727" t="s">
        <v>33</v>
      </c>
      <c r="I2727" t="s">
        <v>34</v>
      </c>
      <c r="J2727" t="s">
        <v>70</v>
      </c>
      <c r="K2727" s="2">
        <v>24822</v>
      </c>
      <c r="L2727" t="s">
        <v>36</v>
      </c>
      <c r="M2727" t="s">
        <v>37</v>
      </c>
      <c r="N2727" t="s">
        <v>38</v>
      </c>
      <c r="O2727" t="s">
        <v>77</v>
      </c>
      <c r="P2727" t="s">
        <v>40</v>
      </c>
      <c r="Q2727">
        <v>2</v>
      </c>
      <c r="R2727" s="2">
        <v>45016</v>
      </c>
      <c r="S2727">
        <v>1</v>
      </c>
      <c r="T2727">
        <v>5</v>
      </c>
      <c r="U2727">
        <v>2</v>
      </c>
      <c r="V2727" s="1">
        <v>44910</v>
      </c>
      <c r="W2727" t="s">
        <v>50</v>
      </c>
      <c r="X2727" t="s">
        <v>42</v>
      </c>
      <c r="Y2727" t="s">
        <v>43</v>
      </c>
      <c r="Z2727">
        <v>1</v>
      </c>
      <c r="AA2727">
        <v>523.79</v>
      </c>
      <c r="AB2727">
        <v>52</v>
      </c>
    </row>
    <row r="2728" spans="1:28" x14ac:dyDescent="0.2">
      <c r="A2728">
        <v>3289</v>
      </c>
      <c r="B2728" s="1">
        <v>43968</v>
      </c>
      <c r="C2728" t="s">
        <v>28</v>
      </c>
      <c r="D2728" t="s">
        <v>85</v>
      </c>
      <c r="E2728" t="s">
        <v>30</v>
      </c>
      <c r="F2728" t="s">
        <v>31</v>
      </c>
      <c r="G2728" t="s">
        <v>45</v>
      </c>
      <c r="H2728" t="s">
        <v>55</v>
      </c>
      <c r="I2728" t="s">
        <v>34</v>
      </c>
      <c r="J2728" t="s">
        <v>65</v>
      </c>
      <c r="K2728" s="2">
        <v>29531</v>
      </c>
      <c r="L2728" t="s">
        <v>36</v>
      </c>
      <c r="M2728" t="s">
        <v>37</v>
      </c>
      <c r="N2728" t="s">
        <v>38</v>
      </c>
      <c r="O2728" t="s">
        <v>77</v>
      </c>
      <c r="P2728" t="s">
        <v>40</v>
      </c>
      <c r="Q2728">
        <v>4</v>
      </c>
      <c r="R2728" s="2">
        <v>45090</v>
      </c>
      <c r="S2728">
        <v>3</v>
      </c>
      <c r="T2728">
        <v>5</v>
      </c>
      <c r="U2728">
        <v>1</v>
      </c>
      <c r="V2728" s="1">
        <v>45016</v>
      </c>
      <c r="W2728" t="s">
        <v>50</v>
      </c>
      <c r="X2728" t="s">
        <v>42</v>
      </c>
      <c r="Y2728" t="s">
        <v>63</v>
      </c>
      <c r="Z2728">
        <v>5</v>
      </c>
      <c r="AA2728">
        <v>923.23</v>
      </c>
      <c r="AB2728">
        <v>40</v>
      </c>
    </row>
    <row r="2729" spans="1:28" x14ac:dyDescent="0.2">
      <c r="A2729">
        <v>3290</v>
      </c>
      <c r="B2729" s="1">
        <v>43319</v>
      </c>
      <c r="C2729" t="s">
        <v>28</v>
      </c>
      <c r="D2729" t="s">
        <v>64</v>
      </c>
      <c r="E2729" t="s">
        <v>30</v>
      </c>
      <c r="F2729" t="s">
        <v>46</v>
      </c>
      <c r="G2729" t="s">
        <v>45</v>
      </c>
      <c r="H2729" t="s">
        <v>55</v>
      </c>
      <c r="I2729" t="s">
        <v>34</v>
      </c>
      <c r="J2729" t="s">
        <v>70</v>
      </c>
      <c r="K2729" s="2">
        <v>35040</v>
      </c>
      <c r="L2729" t="s">
        <v>36</v>
      </c>
      <c r="M2729" t="s">
        <v>48</v>
      </c>
      <c r="N2729" t="s">
        <v>60</v>
      </c>
      <c r="O2729" t="s">
        <v>61</v>
      </c>
      <c r="P2729" t="s">
        <v>40</v>
      </c>
      <c r="Q2729">
        <v>3</v>
      </c>
      <c r="R2729" s="2">
        <v>45121</v>
      </c>
      <c r="S2729">
        <v>1</v>
      </c>
      <c r="T2729">
        <v>1</v>
      </c>
      <c r="U2729">
        <v>2</v>
      </c>
      <c r="V2729" s="1">
        <v>44950</v>
      </c>
      <c r="W2729" t="s">
        <v>50</v>
      </c>
      <c r="X2729" t="s">
        <v>51</v>
      </c>
      <c r="Y2729" t="s">
        <v>63</v>
      </c>
      <c r="Z2729">
        <v>5</v>
      </c>
      <c r="AA2729">
        <v>406.19</v>
      </c>
      <c r="AB2729">
        <v>23</v>
      </c>
    </row>
    <row r="2730" spans="1:28" x14ac:dyDescent="0.2">
      <c r="A2730">
        <v>3291</v>
      </c>
      <c r="B2730" s="1">
        <v>45139</v>
      </c>
      <c r="C2730" t="s">
        <v>28</v>
      </c>
      <c r="D2730" t="s">
        <v>74</v>
      </c>
      <c r="E2730" t="s">
        <v>30</v>
      </c>
      <c r="F2730" t="s">
        <v>31</v>
      </c>
      <c r="G2730" t="s">
        <v>32</v>
      </c>
      <c r="H2730" t="s">
        <v>55</v>
      </c>
      <c r="I2730" t="s">
        <v>34</v>
      </c>
      <c r="J2730" t="s">
        <v>65</v>
      </c>
      <c r="K2730" s="2">
        <v>21041</v>
      </c>
      <c r="L2730" t="s">
        <v>36</v>
      </c>
      <c r="M2730" t="s">
        <v>48</v>
      </c>
      <c r="N2730" t="s">
        <v>49</v>
      </c>
      <c r="O2730" t="s">
        <v>67</v>
      </c>
      <c r="P2730" t="s">
        <v>40</v>
      </c>
      <c r="Q2730">
        <v>2</v>
      </c>
      <c r="R2730" s="2">
        <v>45105</v>
      </c>
      <c r="S2730">
        <v>1</v>
      </c>
      <c r="T2730">
        <v>1</v>
      </c>
      <c r="U2730">
        <v>3</v>
      </c>
      <c r="V2730" s="1">
        <v>44836</v>
      </c>
      <c r="W2730" t="s">
        <v>68</v>
      </c>
      <c r="X2730" t="s">
        <v>42</v>
      </c>
      <c r="Y2730" t="s">
        <v>63</v>
      </c>
      <c r="Z2730">
        <v>2</v>
      </c>
      <c r="AA2730">
        <v>394.74</v>
      </c>
      <c r="AB2730">
        <v>66</v>
      </c>
    </row>
    <row r="2731" spans="1:28" x14ac:dyDescent="0.2">
      <c r="A2731">
        <v>3292</v>
      </c>
      <c r="B2731" s="1">
        <v>43477</v>
      </c>
      <c r="C2731" t="s">
        <v>28</v>
      </c>
      <c r="D2731" t="s">
        <v>94</v>
      </c>
      <c r="E2731" t="s">
        <v>108</v>
      </c>
      <c r="F2731" t="s">
        <v>46</v>
      </c>
      <c r="G2731" t="s">
        <v>32</v>
      </c>
      <c r="H2731" t="s">
        <v>46</v>
      </c>
      <c r="I2731" t="s">
        <v>34</v>
      </c>
      <c r="J2731" t="s">
        <v>70</v>
      </c>
      <c r="K2731" s="2">
        <v>16935</v>
      </c>
      <c r="L2731" t="s">
        <v>36</v>
      </c>
      <c r="M2731" t="s">
        <v>48</v>
      </c>
      <c r="N2731" t="s">
        <v>84</v>
      </c>
      <c r="O2731" t="s">
        <v>61</v>
      </c>
      <c r="P2731" t="s">
        <v>40</v>
      </c>
      <c r="Q2731">
        <v>4</v>
      </c>
      <c r="R2731" s="2">
        <v>44787</v>
      </c>
      <c r="S2731">
        <v>5</v>
      </c>
      <c r="T2731">
        <v>4</v>
      </c>
      <c r="U2731">
        <v>3</v>
      </c>
      <c r="V2731" s="1">
        <v>44929</v>
      </c>
      <c r="W2731" t="s">
        <v>41</v>
      </c>
      <c r="X2731" t="s">
        <v>42</v>
      </c>
      <c r="Y2731" t="s">
        <v>73</v>
      </c>
      <c r="Z2731">
        <v>5</v>
      </c>
      <c r="AA2731">
        <v>237.3</v>
      </c>
      <c r="AB2731">
        <v>73</v>
      </c>
    </row>
    <row r="2732" spans="1:28" x14ac:dyDescent="0.2">
      <c r="A2732">
        <v>3293</v>
      </c>
      <c r="B2732" s="1">
        <v>44295</v>
      </c>
      <c r="C2732" t="s">
        <v>28</v>
      </c>
      <c r="D2732" t="s">
        <v>74</v>
      </c>
      <c r="E2732" t="s">
        <v>108</v>
      </c>
      <c r="F2732" t="s">
        <v>31</v>
      </c>
      <c r="G2732" t="s">
        <v>32</v>
      </c>
      <c r="H2732" t="s">
        <v>55</v>
      </c>
      <c r="I2732" t="s">
        <v>34</v>
      </c>
      <c r="J2732" t="s">
        <v>65</v>
      </c>
      <c r="K2732" s="2">
        <v>24716</v>
      </c>
      <c r="L2732" t="s">
        <v>36</v>
      </c>
      <c r="M2732" t="s">
        <v>37</v>
      </c>
      <c r="N2732" t="s">
        <v>72</v>
      </c>
      <c r="O2732" t="s">
        <v>67</v>
      </c>
      <c r="P2732" t="s">
        <v>40</v>
      </c>
      <c r="Q2732">
        <v>3</v>
      </c>
      <c r="R2732" s="2">
        <v>45106</v>
      </c>
      <c r="S2732">
        <v>5</v>
      </c>
      <c r="T2732">
        <v>3</v>
      </c>
      <c r="U2732">
        <v>4</v>
      </c>
      <c r="V2732" s="1">
        <v>44945</v>
      </c>
      <c r="W2732" t="s">
        <v>41</v>
      </c>
      <c r="X2732" t="s">
        <v>42</v>
      </c>
      <c r="Y2732" t="s">
        <v>52</v>
      </c>
      <c r="Z2732">
        <v>2</v>
      </c>
      <c r="AA2732">
        <v>261.25</v>
      </c>
      <c r="AB2732">
        <v>54</v>
      </c>
    </row>
    <row r="2733" spans="1:28" x14ac:dyDescent="0.2">
      <c r="A2733">
        <v>3295</v>
      </c>
      <c r="B2733" s="1">
        <v>43616</v>
      </c>
      <c r="C2733" t="s">
        <v>28</v>
      </c>
      <c r="D2733" t="s">
        <v>54</v>
      </c>
      <c r="E2733" t="s">
        <v>30</v>
      </c>
      <c r="F2733" t="s">
        <v>46</v>
      </c>
      <c r="G2733" t="s">
        <v>32</v>
      </c>
      <c r="H2733" t="s">
        <v>55</v>
      </c>
      <c r="I2733" t="s">
        <v>34</v>
      </c>
      <c r="J2733" t="s">
        <v>47</v>
      </c>
      <c r="K2733" s="2">
        <v>20046</v>
      </c>
      <c r="L2733" t="s">
        <v>36</v>
      </c>
      <c r="M2733" t="s">
        <v>37</v>
      </c>
      <c r="N2733" t="s">
        <v>72</v>
      </c>
      <c r="O2733" t="s">
        <v>77</v>
      </c>
      <c r="P2733" t="s">
        <v>40</v>
      </c>
      <c r="Q2733">
        <v>5</v>
      </c>
      <c r="R2733" s="2">
        <v>44784</v>
      </c>
      <c r="S2733">
        <v>1</v>
      </c>
      <c r="T2733">
        <v>2</v>
      </c>
      <c r="U2733">
        <v>1</v>
      </c>
      <c r="V2733" s="1">
        <v>44838</v>
      </c>
      <c r="W2733" t="s">
        <v>41</v>
      </c>
      <c r="X2733" t="s">
        <v>42</v>
      </c>
      <c r="Y2733" t="s">
        <v>73</v>
      </c>
      <c r="Z2733">
        <v>4</v>
      </c>
      <c r="AA2733">
        <v>286.88</v>
      </c>
      <c r="AB2733">
        <v>65</v>
      </c>
    </row>
    <row r="2734" spans="1:28" x14ac:dyDescent="0.2">
      <c r="A2734">
        <v>3298</v>
      </c>
      <c r="B2734" s="1">
        <v>44154</v>
      </c>
      <c r="C2734" t="s">
        <v>106</v>
      </c>
      <c r="D2734" t="s">
        <v>44</v>
      </c>
      <c r="E2734" t="s">
        <v>30</v>
      </c>
      <c r="F2734" t="s">
        <v>55</v>
      </c>
      <c r="G2734" t="s">
        <v>45</v>
      </c>
      <c r="H2734" t="s">
        <v>55</v>
      </c>
      <c r="I2734" t="s">
        <v>34</v>
      </c>
      <c r="J2734" t="s">
        <v>70</v>
      </c>
      <c r="K2734" s="2">
        <v>35134</v>
      </c>
      <c r="L2734" t="s">
        <v>36</v>
      </c>
      <c r="M2734" t="s">
        <v>37</v>
      </c>
      <c r="N2734" t="s">
        <v>49</v>
      </c>
      <c r="O2734" t="s">
        <v>39</v>
      </c>
      <c r="P2734" t="s">
        <v>40</v>
      </c>
      <c r="Q2734">
        <v>5</v>
      </c>
      <c r="R2734" s="2">
        <v>44907</v>
      </c>
      <c r="S2734">
        <v>3</v>
      </c>
      <c r="T2734">
        <v>4</v>
      </c>
      <c r="U2734">
        <v>4</v>
      </c>
      <c r="V2734" s="1">
        <v>45031</v>
      </c>
      <c r="W2734" t="s">
        <v>50</v>
      </c>
      <c r="X2734" t="s">
        <v>42</v>
      </c>
      <c r="Y2734" t="s">
        <v>63</v>
      </c>
      <c r="Z2734">
        <v>1</v>
      </c>
      <c r="AA2734">
        <v>549.55999999999995</v>
      </c>
      <c r="AB2734">
        <v>24</v>
      </c>
    </row>
    <row r="2735" spans="1:28" x14ac:dyDescent="0.2">
      <c r="A2735">
        <v>3299</v>
      </c>
      <c r="B2735" s="1">
        <v>44875</v>
      </c>
      <c r="C2735" t="s">
        <v>106</v>
      </c>
      <c r="D2735" t="s">
        <v>87</v>
      </c>
      <c r="E2735" t="s">
        <v>30</v>
      </c>
      <c r="F2735" t="s">
        <v>46</v>
      </c>
      <c r="G2735" t="s">
        <v>45</v>
      </c>
      <c r="H2735" t="s">
        <v>55</v>
      </c>
      <c r="I2735" t="s">
        <v>34</v>
      </c>
      <c r="J2735" t="s">
        <v>101</v>
      </c>
      <c r="K2735" s="2">
        <v>27555</v>
      </c>
      <c r="L2735" t="s">
        <v>36</v>
      </c>
      <c r="M2735" t="s">
        <v>48</v>
      </c>
      <c r="N2735" t="s">
        <v>38</v>
      </c>
      <c r="O2735" t="s">
        <v>39</v>
      </c>
      <c r="P2735" t="s">
        <v>40</v>
      </c>
      <c r="Q2735">
        <v>4</v>
      </c>
      <c r="R2735" s="2">
        <v>44957</v>
      </c>
      <c r="S2735">
        <v>4</v>
      </c>
      <c r="T2735">
        <v>1</v>
      </c>
      <c r="U2735">
        <v>2</v>
      </c>
      <c r="V2735" s="1">
        <v>45018</v>
      </c>
      <c r="W2735" t="s">
        <v>41</v>
      </c>
      <c r="X2735" t="s">
        <v>42</v>
      </c>
      <c r="Y2735" t="s">
        <v>52</v>
      </c>
      <c r="Z2735">
        <v>4</v>
      </c>
      <c r="AA2735">
        <v>721.03</v>
      </c>
      <c r="AB2735">
        <v>47</v>
      </c>
    </row>
    <row r="2736" spans="1:28" x14ac:dyDescent="0.2">
      <c r="A2736">
        <v>3300</v>
      </c>
      <c r="B2736" s="1">
        <v>44280</v>
      </c>
      <c r="C2736" t="s">
        <v>106</v>
      </c>
      <c r="D2736" t="s">
        <v>81</v>
      </c>
      <c r="E2736" t="s">
        <v>30</v>
      </c>
      <c r="F2736" t="s">
        <v>55</v>
      </c>
      <c r="G2736" t="s">
        <v>56</v>
      </c>
      <c r="H2736" t="s">
        <v>46</v>
      </c>
      <c r="I2736" t="s">
        <v>34</v>
      </c>
      <c r="J2736" t="s">
        <v>70</v>
      </c>
      <c r="K2736" s="2">
        <v>17133</v>
      </c>
      <c r="L2736" t="s">
        <v>36</v>
      </c>
      <c r="M2736" t="s">
        <v>48</v>
      </c>
      <c r="N2736" t="s">
        <v>38</v>
      </c>
      <c r="O2736" t="s">
        <v>67</v>
      </c>
      <c r="P2736" t="s">
        <v>40</v>
      </c>
      <c r="Q2736">
        <v>2</v>
      </c>
      <c r="R2736" s="2">
        <v>44966</v>
      </c>
      <c r="S2736">
        <v>1</v>
      </c>
      <c r="T2736">
        <v>1</v>
      </c>
      <c r="U2736">
        <v>3</v>
      </c>
      <c r="V2736" s="1">
        <v>45040</v>
      </c>
      <c r="W2736" t="s">
        <v>41</v>
      </c>
      <c r="X2736" t="s">
        <v>51</v>
      </c>
      <c r="Y2736" t="s">
        <v>52</v>
      </c>
      <c r="Z2736">
        <v>2</v>
      </c>
      <c r="AA2736">
        <v>897.32</v>
      </c>
      <c r="AB2736">
        <v>75</v>
      </c>
    </row>
    <row r="2737" spans="1:28" x14ac:dyDescent="0.2">
      <c r="A2737">
        <v>3301</v>
      </c>
      <c r="B2737" s="1">
        <v>43598</v>
      </c>
      <c r="C2737" t="s">
        <v>106</v>
      </c>
      <c r="D2737" t="s">
        <v>54</v>
      </c>
      <c r="E2737" t="s">
        <v>108</v>
      </c>
      <c r="F2737" t="s">
        <v>31</v>
      </c>
      <c r="G2737" t="s">
        <v>56</v>
      </c>
      <c r="H2737" t="s">
        <v>55</v>
      </c>
      <c r="I2737" t="s">
        <v>34</v>
      </c>
      <c r="J2737" t="s">
        <v>70</v>
      </c>
      <c r="K2737" s="2">
        <v>35669</v>
      </c>
      <c r="L2737" t="s">
        <v>36</v>
      </c>
      <c r="M2737" t="s">
        <v>48</v>
      </c>
      <c r="N2737" t="s">
        <v>72</v>
      </c>
      <c r="O2737" t="s">
        <v>77</v>
      </c>
      <c r="P2737" t="s">
        <v>40</v>
      </c>
      <c r="Q2737">
        <v>1</v>
      </c>
      <c r="R2737" s="2">
        <v>44875</v>
      </c>
      <c r="S2737">
        <v>2</v>
      </c>
      <c r="T2737">
        <v>2</v>
      </c>
      <c r="U2737">
        <v>2</v>
      </c>
      <c r="V2737" s="1">
        <v>44960</v>
      </c>
      <c r="W2737" t="s">
        <v>50</v>
      </c>
      <c r="X2737" t="s">
        <v>42</v>
      </c>
      <c r="Y2737" t="s">
        <v>52</v>
      </c>
      <c r="Z2737">
        <v>1</v>
      </c>
      <c r="AA2737">
        <v>443.13</v>
      </c>
      <c r="AB2737">
        <v>22</v>
      </c>
    </row>
    <row r="2738" spans="1:28" x14ac:dyDescent="0.2">
      <c r="A2738">
        <v>3303</v>
      </c>
      <c r="B2738" s="1">
        <v>44975</v>
      </c>
      <c r="C2738" t="s">
        <v>106</v>
      </c>
      <c r="D2738" t="s">
        <v>85</v>
      </c>
      <c r="E2738" t="s">
        <v>30</v>
      </c>
      <c r="F2738" t="s">
        <v>55</v>
      </c>
      <c r="G2738" t="s">
        <v>45</v>
      </c>
      <c r="H2738" t="s">
        <v>46</v>
      </c>
      <c r="I2738" t="s">
        <v>34</v>
      </c>
      <c r="J2738" t="s">
        <v>70</v>
      </c>
      <c r="K2738" s="2">
        <v>29901</v>
      </c>
      <c r="L2738" t="s">
        <v>36</v>
      </c>
      <c r="M2738" t="s">
        <v>37</v>
      </c>
      <c r="N2738" t="s">
        <v>72</v>
      </c>
      <c r="O2738" t="s">
        <v>61</v>
      </c>
      <c r="P2738" t="s">
        <v>40</v>
      </c>
      <c r="Q2738">
        <v>3</v>
      </c>
      <c r="R2738" s="2">
        <v>44993</v>
      </c>
      <c r="S2738">
        <v>1</v>
      </c>
      <c r="T2738">
        <v>2</v>
      </c>
      <c r="U2738">
        <v>1</v>
      </c>
      <c r="V2738" s="1">
        <v>45126</v>
      </c>
      <c r="W2738" t="s">
        <v>50</v>
      </c>
      <c r="X2738" t="s">
        <v>42</v>
      </c>
      <c r="Y2738" t="s">
        <v>52</v>
      </c>
      <c r="Z2738">
        <v>2</v>
      </c>
      <c r="AA2738">
        <v>249.76</v>
      </c>
      <c r="AB2738">
        <v>42</v>
      </c>
    </row>
    <row r="2739" spans="1:28" x14ac:dyDescent="0.2">
      <c r="A2739">
        <v>3304</v>
      </c>
      <c r="B2739" s="1">
        <v>43557</v>
      </c>
      <c r="C2739" t="s">
        <v>106</v>
      </c>
      <c r="D2739" t="s">
        <v>64</v>
      </c>
      <c r="E2739" t="s">
        <v>30</v>
      </c>
      <c r="F2739" t="s">
        <v>46</v>
      </c>
      <c r="G2739" t="s">
        <v>45</v>
      </c>
      <c r="H2739" t="s">
        <v>33</v>
      </c>
      <c r="I2739" t="s">
        <v>34</v>
      </c>
      <c r="J2739" t="s">
        <v>101</v>
      </c>
      <c r="K2739" s="2">
        <v>31023</v>
      </c>
      <c r="L2739" t="s">
        <v>36</v>
      </c>
      <c r="M2739" t="s">
        <v>37</v>
      </c>
      <c r="N2739" t="s">
        <v>60</v>
      </c>
      <c r="O2739" t="s">
        <v>61</v>
      </c>
      <c r="P2739" t="s">
        <v>40</v>
      </c>
      <c r="Q2739">
        <v>4</v>
      </c>
      <c r="R2739" s="2">
        <v>45092</v>
      </c>
      <c r="S2739">
        <v>2</v>
      </c>
      <c r="T2739">
        <v>4</v>
      </c>
      <c r="U2739">
        <v>2</v>
      </c>
      <c r="V2739" s="1">
        <v>45092</v>
      </c>
      <c r="W2739" t="s">
        <v>92</v>
      </c>
      <c r="X2739" t="s">
        <v>51</v>
      </c>
      <c r="Y2739" t="s">
        <v>52</v>
      </c>
      <c r="Z2739">
        <v>2</v>
      </c>
      <c r="AA2739">
        <v>123.32</v>
      </c>
      <c r="AB2739">
        <v>35</v>
      </c>
    </row>
    <row r="2740" spans="1:28" x14ac:dyDescent="0.2">
      <c r="A2740">
        <v>3305</v>
      </c>
      <c r="B2740" s="1">
        <v>44165</v>
      </c>
      <c r="C2740" t="s">
        <v>28</v>
      </c>
      <c r="D2740" t="s">
        <v>74</v>
      </c>
      <c r="E2740" t="s">
        <v>108</v>
      </c>
      <c r="F2740" t="s">
        <v>31</v>
      </c>
      <c r="G2740" t="s">
        <v>32</v>
      </c>
      <c r="H2740" t="s">
        <v>46</v>
      </c>
      <c r="I2740" t="s">
        <v>34</v>
      </c>
      <c r="J2740" t="s">
        <v>96</v>
      </c>
      <c r="K2740" s="2">
        <v>33794</v>
      </c>
      <c r="L2740" t="s">
        <v>36</v>
      </c>
      <c r="M2740" t="s">
        <v>37</v>
      </c>
      <c r="N2740" t="s">
        <v>60</v>
      </c>
      <c r="O2740" t="s">
        <v>39</v>
      </c>
      <c r="P2740" t="s">
        <v>40</v>
      </c>
      <c r="Q2740">
        <v>4</v>
      </c>
      <c r="R2740" s="2">
        <v>44781</v>
      </c>
      <c r="S2740">
        <v>5</v>
      </c>
      <c r="T2740">
        <v>4</v>
      </c>
      <c r="U2740">
        <v>5</v>
      </c>
      <c r="V2740" s="1">
        <v>44896</v>
      </c>
      <c r="W2740" t="s">
        <v>62</v>
      </c>
      <c r="X2740" t="s">
        <v>42</v>
      </c>
      <c r="Y2740" t="s">
        <v>63</v>
      </c>
      <c r="Z2740">
        <v>1</v>
      </c>
      <c r="AA2740">
        <v>149.24</v>
      </c>
      <c r="AB2740">
        <v>28</v>
      </c>
    </row>
    <row r="2741" spans="1:28" x14ac:dyDescent="0.2">
      <c r="A2741">
        <v>3306</v>
      </c>
      <c r="B2741" s="1">
        <v>44828</v>
      </c>
      <c r="C2741" t="s">
        <v>28</v>
      </c>
      <c r="D2741" t="s">
        <v>81</v>
      </c>
      <c r="E2741" t="s">
        <v>108</v>
      </c>
      <c r="F2741" t="s">
        <v>55</v>
      </c>
      <c r="G2741" t="s">
        <v>45</v>
      </c>
      <c r="H2741" t="s">
        <v>33</v>
      </c>
      <c r="I2741" t="s">
        <v>34</v>
      </c>
      <c r="J2741" t="s">
        <v>70</v>
      </c>
      <c r="K2741" s="2">
        <v>33694</v>
      </c>
      <c r="L2741" t="s">
        <v>36</v>
      </c>
      <c r="M2741" t="s">
        <v>48</v>
      </c>
      <c r="N2741" t="s">
        <v>38</v>
      </c>
      <c r="O2741" t="s">
        <v>67</v>
      </c>
      <c r="P2741" t="s">
        <v>107</v>
      </c>
      <c r="Q2741">
        <v>4</v>
      </c>
      <c r="R2741" s="2">
        <v>44912</v>
      </c>
      <c r="S2741">
        <v>3</v>
      </c>
      <c r="T2741">
        <v>5</v>
      </c>
      <c r="U2741">
        <v>1</v>
      </c>
      <c r="V2741" s="1">
        <v>44939</v>
      </c>
      <c r="W2741" t="s">
        <v>62</v>
      </c>
      <c r="X2741" t="s">
        <v>51</v>
      </c>
      <c r="Y2741" t="s">
        <v>52</v>
      </c>
      <c r="Z2741">
        <v>3</v>
      </c>
      <c r="AA2741">
        <v>267.72000000000003</v>
      </c>
      <c r="AB2741">
        <v>30</v>
      </c>
    </row>
    <row r="2742" spans="1:28" x14ac:dyDescent="0.2">
      <c r="A2742">
        <v>3307</v>
      </c>
      <c r="B2742" s="1">
        <v>43637</v>
      </c>
      <c r="C2742" t="s">
        <v>28</v>
      </c>
      <c r="D2742" t="s">
        <v>54</v>
      </c>
      <c r="E2742" t="s">
        <v>30</v>
      </c>
      <c r="F2742" t="s">
        <v>55</v>
      </c>
      <c r="G2742" t="s">
        <v>32</v>
      </c>
      <c r="H2742" t="s">
        <v>55</v>
      </c>
      <c r="I2742" t="s">
        <v>34</v>
      </c>
      <c r="J2742" t="s">
        <v>82</v>
      </c>
      <c r="K2742" s="2">
        <v>28781</v>
      </c>
      <c r="L2742" t="s">
        <v>36</v>
      </c>
      <c r="M2742" t="s">
        <v>48</v>
      </c>
      <c r="N2742" t="s">
        <v>84</v>
      </c>
      <c r="O2742" t="s">
        <v>67</v>
      </c>
      <c r="P2742" t="s">
        <v>40</v>
      </c>
      <c r="Q2742">
        <v>4</v>
      </c>
      <c r="R2742" s="2">
        <v>44857</v>
      </c>
      <c r="S2742">
        <v>2</v>
      </c>
      <c r="T2742">
        <v>4</v>
      </c>
      <c r="U2742">
        <v>1</v>
      </c>
      <c r="V2742" s="1">
        <v>44954</v>
      </c>
      <c r="W2742" t="s">
        <v>41</v>
      </c>
      <c r="X2742" t="s">
        <v>42</v>
      </c>
      <c r="Y2742" t="s">
        <v>73</v>
      </c>
      <c r="Z2742">
        <v>5</v>
      </c>
      <c r="AA2742">
        <v>837.16</v>
      </c>
      <c r="AB2742">
        <v>41</v>
      </c>
    </row>
    <row r="2743" spans="1:28" x14ac:dyDescent="0.2">
      <c r="A2743">
        <v>3308</v>
      </c>
      <c r="B2743" s="1">
        <v>44722</v>
      </c>
      <c r="C2743" t="s">
        <v>28</v>
      </c>
      <c r="D2743" t="s">
        <v>69</v>
      </c>
      <c r="E2743" t="s">
        <v>30</v>
      </c>
      <c r="F2743" t="s">
        <v>31</v>
      </c>
      <c r="G2743" t="s">
        <v>32</v>
      </c>
      <c r="H2743" t="s">
        <v>33</v>
      </c>
      <c r="I2743" t="s">
        <v>34</v>
      </c>
      <c r="J2743" t="s">
        <v>58</v>
      </c>
      <c r="K2743" s="2">
        <v>36121</v>
      </c>
      <c r="L2743" t="s">
        <v>36</v>
      </c>
      <c r="M2743" t="s">
        <v>37</v>
      </c>
      <c r="N2743" t="s">
        <v>72</v>
      </c>
      <c r="O2743" t="s">
        <v>67</v>
      </c>
      <c r="P2743" t="s">
        <v>40</v>
      </c>
      <c r="Q2743">
        <v>3</v>
      </c>
      <c r="R2743" s="2">
        <v>44931</v>
      </c>
      <c r="S2743">
        <v>1</v>
      </c>
      <c r="T2743">
        <v>3</v>
      </c>
      <c r="U2743">
        <v>2</v>
      </c>
      <c r="V2743" s="1">
        <v>45021</v>
      </c>
      <c r="W2743" t="s">
        <v>62</v>
      </c>
      <c r="X2743" t="s">
        <v>42</v>
      </c>
      <c r="Y2743" t="s">
        <v>73</v>
      </c>
      <c r="Z2743">
        <v>4</v>
      </c>
      <c r="AA2743">
        <v>864.47</v>
      </c>
      <c r="AB2743">
        <v>24</v>
      </c>
    </row>
    <row r="2744" spans="1:28" x14ac:dyDescent="0.2">
      <c r="A2744">
        <v>3309</v>
      </c>
      <c r="B2744" s="1">
        <v>44122</v>
      </c>
      <c r="C2744" t="s">
        <v>28</v>
      </c>
      <c r="D2744" t="s">
        <v>29</v>
      </c>
      <c r="E2744" t="s">
        <v>30</v>
      </c>
      <c r="F2744" t="s">
        <v>46</v>
      </c>
      <c r="G2744" t="s">
        <v>56</v>
      </c>
      <c r="H2744" t="s">
        <v>46</v>
      </c>
      <c r="I2744" t="s">
        <v>34</v>
      </c>
      <c r="J2744" t="s">
        <v>35</v>
      </c>
      <c r="K2744" s="2">
        <v>36633</v>
      </c>
      <c r="L2744" t="s">
        <v>36</v>
      </c>
      <c r="M2744" t="s">
        <v>37</v>
      </c>
      <c r="N2744" t="s">
        <v>38</v>
      </c>
      <c r="O2744" t="s">
        <v>61</v>
      </c>
      <c r="P2744" t="s">
        <v>40</v>
      </c>
      <c r="Q2744">
        <v>1</v>
      </c>
      <c r="R2744" s="2">
        <v>45077</v>
      </c>
      <c r="S2744">
        <v>2</v>
      </c>
      <c r="T2744">
        <v>3</v>
      </c>
      <c r="U2744">
        <v>5</v>
      </c>
      <c r="V2744" s="1">
        <v>44819</v>
      </c>
      <c r="W2744" t="s">
        <v>50</v>
      </c>
      <c r="X2744" t="s">
        <v>51</v>
      </c>
      <c r="Y2744" t="s">
        <v>63</v>
      </c>
      <c r="Z2744">
        <v>3</v>
      </c>
      <c r="AA2744">
        <v>547.86</v>
      </c>
      <c r="AB2744">
        <v>20</v>
      </c>
    </row>
    <row r="2745" spans="1:28" x14ac:dyDescent="0.2">
      <c r="A2745">
        <v>3310</v>
      </c>
      <c r="B2745" s="1">
        <v>44594</v>
      </c>
      <c r="C2745" t="s">
        <v>28</v>
      </c>
      <c r="D2745" t="s">
        <v>85</v>
      </c>
      <c r="E2745" t="s">
        <v>30</v>
      </c>
      <c r="F2745" t="s">
        <v>46</v>
      </c>
      <c r="G2745" t="s">
        <v>56</v>
      </c>
      <c r="H2745" t="s">
        <v>46</v>
      </c>
      <c r="I2745" t="s">
        <v>34</v>
      </c>
      <c r="J2745" t="s">
        <v>82</v>
      </c>
      <c r="K2745" s="2">
        <v>27600</v>
      </c>
      <c r="L2745" t="s">
        <v>36</v>
      </c>
      <c r="M2745" t="s">
        <v>37</v>
      </c>
      <c r="N2745" t="s">
        <v>84</v>
      </c>
      <c r="O2745" t="s">
        <v>67</v>
      </c>
      <c r="P2745" t="s">
        <v>40</v>
      </c>
      <c r="Q2745">
        <v>3</v>
      </c>
      <c r="R2745" s="2">
        <v>44869</v>
      </c>
      <c r="S2745">
        <v>4</v>
      </c>
      <c r="T2745">
        <v>5</v>
      </c>
      <c r="U2745">
        <v>5</v>
      </c>
      <c r="V2745" s="1">
        <v>45129</v>
      </c>
      <c r="W2745" t="s">
        <v>62</v>
      </c>
      <c r="X2745" t="s">
        <v>51</v>
      </c>
      <c r="Y2745" t="s">
        <v>52</v>
      </c>
      <c r="Z2745">
        <v>3</v>
      </c>
      <c r="AA2745">
        <v>514.23</v>
      </c>
      <c r="AB2745">
        <v>47</v>
      </c>
    </row>
    <row r="2746" spans="1:28" x14ac:dyDescent="0.2">
      <c r="A2746">
        <v>3311</v>
      </c>
      <c r="B2746" s="1">
        <v>44364</v>
      </c>
      <c r="C2746" t="s">
        <v>28</v>
      </c>
      <c r="D2746" t="s">
        <v>44</v>
      </c>
      <c r="E2746" t="s">
        <v>30</v>
      </c>
      <c r="F2746" t="s">
        <v>31</v>
      </c>
      <c r="G2746" t="s">
        <v>45</v>
      </c>
      <c r="H2746" t="s">
        <v>33</v>
      </c>
      <c r="I2746" t="s">
        <v>34</v>
      </c>
      <c r="J2746" t="s">
        <v>70</v>
      </c>
      <c r="K2746" s="2">
        <v>27100</v>
      </c>
      <c r="L2746" t="s">
        <v>36</v>
      </c>
      <c r="M2746" t="s">
        <v>37</v>
      </c>
      <c r="N2746" t="s">
        <v>72</v>
      </c>
      <c r="O2746" t="s">
        <v>39</v>
      </c>
      <c r="P2746" t="s">
        <v>40</v>
      </c>
      <c r="Q2746">
        <v>4</v>
      </c>
      <c r="R2746" s="2">
        <v>45138</v>
      </c>
      <c r="S2746">
        <v>5</v>
      </c>
      <c r="T2746">
        <v>2</v>
      </c>
      <c r="U2746">
        <v>1</v>
      </c>
      <c r="V2746" s="1">
        <v>44905</v>
      </c>
      <c r="W2746" t="s">
        <v>92</v>
      </c>
      <c r="X2746" t="s">
        <v>42</v>
      </c>
      <c r="Y2746" t="s">
        <v>73</v>
      </c>
      <c r="Z2746">
        <v>3</v>
      </c>
      <c r="AA2746">
        <v>773.82</v>
      </c>
      <c r="AB2746">
        <v>47</v>
      </c>
    </row>
    <row r="2747" spans="1:28" x14ac:dyDescent="0.2">
      <c r="A2747">
        <v>3312</v>
      </c>
      <c r="B2747" s="1">
        <v>43435</v>
      </c>
      <c r="C2747" t="s">
        <v>28</v>
      </c>
      <c r="D2747" t="s">
        <v>87</v>
      </c>
      <c r="E2747" t="s">
        <v>30</v>
      </c>
      <c r="F2747" t="s">
        <v>46</v>
      </c>
      <c r="G2747" t="s">
        <v>32</v>
      </c>
      <c r="H2747" t="s">
        <v>33</v>
      </c>
      <c r="I2747" t="s">
        <v>34</v>
      </c>
      <c r="J2747" t="s">
        <v>79</v>
      </c>
      <c r="K2747" s="2">
        <v>16922</v>
      </c>
      <c r="L2747" t="s">
        <v>36</v>
      </c>
      <c r="M2747" t="s">
        <v>48</v>
      </c>
      <c r="N2747" t="s">
        <v>49</v>
      </c>
      <c r="O2747" t="s">
        <v>67</v>
      </c>
      <c r="P2747" t="s">
        <v>40</v>
      </c>
      <c r="Q2747">
        <v>4</v>
      </c>
      <c r="R2747" s="2">
        <v>45091</v>
      </c>
      <c r="S2747">
        <v>3</v>
      </c>
      <c r="T2747">
        <v>1</v>
      </c>
      <c r="U2747">
        <v>4</v>
      </c>
      <c r="V2747" s="1">
        <v>44876</v>
      </c>
      <c r="W2747" t="s">
        <v>92</v>
      </c>
      <c r="X2747" t="s">
        <v>42</v>
      </c>
      <c r="Y2747" t="s">
        <v>43</v>
      </c>
      <c r="Z2747">
        <v>4</v>
      </c>
      <c r="AA2747">
        <v>760.81</v>
      </c>
      <c r="AB2747">
        <v>72</v>
      </c>
    </row>
    <row r="2748" spans="1:28" x14ac:dyDescent="0.2">
      <c r="A2748">
        <v>3313</v>
      </c>
      <c r="B2748" s="1">
        <v>44325</v>
      </c>
      <c r="C2748" t="s">
        <v>28</v>
      </c>
      <c r="D2748" t="s">
        <v>64</v>
      </c>
      <c r="E2748" t="s">
        <v>30</v>
      </c>
      <c r="F2748" t="s">
        <v>55</v>
      </c>
      <c r="G2748" t="s">
        <v>56</v>
      </c>
      <c r="H2748" t="s">
        <v>55</v>
      </c>
      <c r="I2748" t="s">
        <v>34</v>
      </c>
      <c r="J2748" t="s">
        <v>101</v>
      </c>
      <c r="K2748" s="2">
        <v>27806</v>
      </c>
      <c r="L2748" t="s">
        <v>36</v>
      </c>
      <c r="M2748" t="s">
        <v>48</v>
      </c>
      <c r="N2748" t="s">
        <v>49</v>
      </c>
      <c r="O2748" t="s">
        <v>67</v>
      </c>
      <c r="P2748" t="s">
        <v>40</v>
      </c>
      <c r="Q2748">
        <v>3</v>
      </c>
      <c r="R2748" s="2">
        <v>45077</v>
      </c>
      <c r="S2748">
        <v>1</v>
      </c>
      <c r="T2748">
        <v>2</v>
      </c>
      <c r="U2748">
        <v>2</v>
      </c>
      <c r="V2748" s="1">
        <v>45015</v>
      </c>
      <c r="W2748" t="s">
        <v>68</v>
      </c>
      <c r="X2748" t="s">
        <v>42</v>
      </c>
      <c r="Y2748" t="s">
        <v>43</v>
      </c>
      <c r="Z2748">
        <v>1</v>
      </c>
      <c r="AA2748">
        <v>705.95</v>
      </c>
      <c r="AB2748">
        <v>45</v>
      </c>
    </row>
    <row r="2749" spans="1:28" x14ac:dyDescent="0.2">
      <c r="A2749">
        <v>3314</v>
      </c>
      <c r="B2749" s="1">
        <v>43466</v>
      </c>
      <c r="C2749" t="s">
        <v>28</v>
      </c>
      <c r="D2749" t="s">
        <v>94</v>
      </c>
      <c r="E2749" t="s">
        <v>30</v>
      </c>
      <c r="F2749" t="s">
        <v>46</v>
      </c>
      <c r="G2749" t="s">
        <v>45</v>
      </c>
      <c r="H2749" t="s">
        <v>33</v>
      </c>
      <c r="I2749" t="s">
        <v>34</v>
      </c>
      <c r="J2749" t="s">
        <v>75</v>
      </c>
      <c r="K2749" s="2">
        <v>20356</v>
      </c>
      <c r="L2749" t="s">
        <v>36</v>
      </c>
      <c r="M2749" t="s">
        <v>48</v>
      </c>
      <c r="N2749" t="s">
        <v>60</v>
      </c>
      <c r="O2749" t="s">
        <v>39</v>
      </c>
      <c r="P2749" t="s">
        <v>40</v>
      </c>
      <c r="Q2749">
        <v>4</v>
      </c>
      <c r="R2749" s="2">
        <v>44956</v>
      </c>
      <c r="S2749">
        <v>1</v>
      </c>
      <c r="T2749">
        <v>4</v>
      </c>
      <c r="U2749">
        <v>1</v>
      </c>
      <c r="V2749" s="1">
        <v>45087</v>
      </c>
      <c r="W2749" t="s">
        <v>50</v>
      </c>
      <c r="X2749" t="s">
        <v>51</v>
      </c>
      <c r="Y2749" t="s">
        <v>52</v>
      </c>
      <c r="Z2749">
        <v>2</v>
      </c>
      <c r="AA2749">
        <v>651.52</v>
      </c>
      <c r="AB2749">
        <v>64</v>
      </c>
    </row>
    <row r="2750" spans="1:28" x14ac:dyDescent="0.2">
      <c r="A2750">
        <v>3315</v>
      </c>
      <c r="B2750" s="1">
        <v>43386</v>
      </c>
      <c r="C2750" t="s">
        <v>28</v>
      </c>
      <c r="D2750" t="s">
        <v>74</v>
      </c>
      <c r="E2750" t="s">
        <v>108</v>
      </c>
      <c r="F2750" t="s">
        <v>55</v>
      </c>
      <c r="G2750" t="s">
        <v>32</v>
      </c>
      <c r="H2750" t="s">
        <v>33</v>
      </c>
      <c r="I2750" t="s">
        <v>34</v>
      </c>
      <c r="J2750" t="s">
        <v>70</v>
      </c>
      <c r="K2750" s="2">
        <v>20925</v>
      </c>
      <c r="L2750" t="s">
        <v>36</v>
      </c>
      <c r="M2750" t="s">
        <v>37</v>
      </c>
      <c r="N2750" t="s">
        <v>60</v>
      </c>
      <c r="O2750" t="s">
        <v>39</v>
      </c>
      <c r="P2750" t="s">
        <v>40</v>
      </c>
      <c r="Q2750">
        <v>3</v>
      </c>
      <c r="R2750" s="2">
        <v>45097</v>
      </c>
      <c r="S2750">
        <v>5</v>
      </c>
      <c r="T2750">
        <v>3</v>
      </c>
      <c r="U2750">
        <v>4</v>
      </c>
      <c r="V2750" s="1">
        <v>44960</v>
      </c>
      <c r="W2750" t="s">
        <v>41</v>
      </c>
      <c r="X2750" t="s">
        <v>42</v>
      </c>
      <c r="Y2750" t="s">
        <v>52</v>
      </c>
      <c r="Z2750">
        <v>1</v>
      </c>
      <c r="AA2750">
        <v>976.59</v>
      </c>
      <c r="AB2750">
        <v>61</v>
      </c>
    </row>
    <row r="2751" spans="1:28" x14ac:dyDescent="0.2">
      <c r="A2751">
        <v>3317</v>
      </c>
      <c r="B2751" s="1">
        <v>44637</v>
      </c>
      <c r="C2751" t="s">
        <v>28</v>
      </c>
      <c r="D2751" t="s">
        <v>54</v>
      </c>
      <c r="E2751" t="s">
        <v>30</v>
      </c>
      <c r="F2751" t="s">
        <v>46</v>
      </c>
      <c r="G2751" t="s">
        <v>32</v>
      </c>
      <c r="H2751" t="s">
        <v>55</v>
      </c>
      <c r="I2751" t="s">
        <v>34</v>
      </c>
      <c r="J2751" t="s">
        <v>35</v>
      </c>
      <c r="K2751" s="2">
        <v>30414</v>
      </c>
      <c r="L2751" t="s">
        <v>36</v>
      </c>
      <c r="M2751" t="s">
        <v>37</v>
      </c>
      <c r="N2751" t="s">
        <v>60</v>
      </c>
      <c r="O2751" t="s">
        <v>61</v>
      </c>
      <c r="P2751" t="s">
        <v>40</v>
      </c>
      <c r="Q2751">
        <v>3</v>
      </c>
      <c r="R2751" s="2">
        <v>44996</v>
      </c>
      <c r="S2751">
        <v>1</v>
      </c>
      <c r="T2751">
        <v>5</v>
      </c>
      <c r="U2751">
        <v>5</v>
      </c>
      <c r="V2751" s="1">
        <v>44915</v>
      </c>
      <c r="W2751" t="s">
        <v>50</v>
      </c>
      <c r="X2751" t="s">
        <v>51</v>
      </c>
      <c r="Y2751" t="s">
        <v>73</v>
      </c>
      <c r="Z2751">
        <v>1</v>
      </c>
      <c r="AA2751">
        <v>870.15</v>
      </c>
      <c r="AB2751">
        <v>39</v>
      </c>
    </row>
    <row r="2752" spans="1:28" x14ac:dyDescent="0.2">
      <c r="A2752">
        <v>3319</v>
      </c>
      <c r="B2752" s="1">
        <v>43747</v>
      </c>
      <c r="C2752" t="s">
        <v>106</v>
      </c>
      <c r="D2752" t="s">
        <v>81</v>
      </c>
      <c r="E2752" t="s">
        <v>30</v>
      </c>
      <c r="F2752" t="s">
        <v>55</v>
      </c>
      <c r="G2752" t="s">
        <v>56</v>
      </c>
      <c r="H2752" t="s">
        <v>33</v>
      </c>
      <c r="I2752" t="s">
        <v>34</v>
      </c>
      <c r="J2752" t="s">
        <v>70</v>
      </c>
      <c r="K2752" s="2">
        <v>23036</v>
      </c>
      <c r="L2752" t="s">
        <v>36</v>
      </c>
      <c r="M2752" t="s">
        <v>37</v>
      </c>
      <c r="N2752" t="s">
        <v>49</v>
      </c>
      <c r="O2752" t="s">
        <v>67</v>
      </c>
      <c r="P2752" t="s">
        <v>40</v>
      </c>
      <c r="Q2752">
        <v>3</v>
      </c>
      <c r="R2752" s="2">
        <v>44778</v>
      </c>
      <c r="S2752">
        <v>5</v>
      </c>
      <c r="T2752">
        <v>3</v>
      </c>
      <c r="U2752">
        <v>4</v>
      </c>
      <c r="V2752" s="1">
        <v>45104</v>
      </c>
      <c r="W2752" t="s">
        <v>68</v>
      </c>
      <c r="X2752" t="s">
        <v>42</v>
      </c>
      <c r="Y2752" t="s">
        <v>63</v>
      </c>
      <c r="Z2752">
        <v>2</v>
      </c>
      <c r="AA2752">
        <v>141.88</v>
      </c>
      <c r="AB2752">
        <v>56</v>
      </c>
    </row>
    <row r="2753" spans="1:28" x14ac:dyDescent="0.2">
      <c r="A2753">
        <v>3320</v>
      </c>
      <c r="B2753" s="1">
        <v>43969</v>
      </c>
      <c r="C2753" t="s">
        <v>106</v>
      </c>
      <c r="D2753" t="s">
        <v>54</v>
      </c>
      <c r="E2753" t="s">
        <v>30</v>
      </c>
      <c r="F2753" t="s">
        <v>46</v>
      </c>
      <c r="G2753" t="s">
        <v>45</v>
      </c>
      <c r="H2753" t="s">
        <v>46</v>
      </c>
      <c r="I2753" t="s">
        <v>34</v>
      </c>
      <c r="J2753" t="s">
        <v>65</v>
      </c>
      <c r="K2753" s="2">
        <v>25390</v>
      </c>
      <c r="L2753" t="s">
        <v>36</v>
      </c>
      <c r="M2753" t="s">
        <v>48</v>
      </c>
      <c r="N2753" t="s">
        <v>60</v>
      </c>
      <c r="O2753" t="s">
        <v>77</v>
      </c>
      <c r="P2753" t="s">
        <v>40</v>
      </c>
      <c r="Q2753">
        <v>5</v>
      </c>
      <c r="R2753" s="2">
        <v>44936</v>
      </c>
      <c r="S2753">
        <v>1</v>
      </c>
      <c r="T2753">
        <v>4</v>
      </c>
      <c r="U2753">
        <v>4</v>
      </c>
      <c r="V2753" s="1">
        <v>44850</v>
      </c>
      <c r="W2753" t="s">
        <v>62</v>
      </c>
      <c r="X2753" t="s">
        <v>42</v>
      </c>
      <c r="Y2753" t="s">
        <v>63</v>
      </c>
      <c r="Z2753">
        <v>3</v>
      </c>
      <c r="AA2753">
        <v>678.77</v>
      </c>
      <c r="AB2753">
        <v>51</v>
      </c>
    </row>
    <row r="2754" spans="1:28" x14ac:dyDescent="0.2">
      <c r="A2754">
        <v>3321</v>
      </c>
      <c r="B2754" s="1">
        <v>43513</v>
      </c>
      <c r="C2754" t="s">
        <v>106</v>
      </c>
      <c r="D2754" t="s">
        <v>69</v>
      </c>
      <c r="E2754" t="s">
        <v>30</v>
      </c>
      <c r="F2754" t="s">
        <v>31</v>
      </c>
      <c r="G2754" t="s">
        <v>56</v>
      </c>
      <c r="H2754" t="s">
        <v>55</v>
      </c>
      <c r="I2754" t="s">
        <v>34</v>
      </c>
      <c r="J2754" t="s">
        <v>79</v>
      </c>
      <c r="K2754" s="2">
        <v>31423</v>
      </c>
      <c r="L2754" t="s">
        <v>36</v>
      </c>
      <c r="M2754" t="s">
        <v>48</v>
      </c>
      <c r="N2754" t="s">
        <v>38</v>
      </c>
      <c r="O2754" t="s">
        <v>61</v>
      </c>
      <c r="P2754" t="s">
        <v>40</v>
      </c>
      <c r="Q2754">
        <v>2</v>
      </c>
      <c r="R2754" s="2">
        <v>44931</v>
      </c>
      <c r="S2754">
        <v>4</v>
      </c>
      <c r="T2754">
        <v>1</v>
      </c>
      <c r="U2754">
        <v>3</v>
      </c>
      <c r="V2754" s="1">
        <v>44796</v>
      </c>
      <c r="W2754" t="s">
        <v>62</v>
      </c>
      <c r="X2754" t="s">
        <v>42</v>
      </c>
      <c r="Y2754" t="s">
        <v>73</v>
      </c>
      <c r="Z2754">
        <v>1</v>
      </c>
      <c r="AA2754">
        <v>134.05000000000001</v>
      </c>
      <c r="AB2754">
        <v>33</v>
      </c>
    </row>
    <row r="2755" spans="1:28" x14ac:dyDescent="0.2">
      <c r="A2755">
        <v>3322</v>
      </c>
      <c r="B2755" s="1">
        <v>44043</v>
      </c>
      <c r="C2755" t="s">
        <v>106</v>
      </c>
      <c r="D2755" t="s">
        <v>29</v>
      </c>
      <c r="E2755" t="s">
        <v>108</v>
      </c>
      <c r="F2755" t="s">
        <v>46</v>
      </c>
      <c r="G2755" t="s">
        <v>56</v>
      </c>
      <c r="H2755" t="s">
        <v>55</v>
      </c>
      <c r="I2755" t="s">
        <v>34</v>
      </c>
      <c r="J2755" t="s">
        <v>47</v>
      </c>
      <c r="K2755" s="2">
        <v>15988</v>
      </c>
      <c r="L2755" t="s">
        <v>36</v>
      </c>
      <c r="M2755" t="s">
        <v>48</v>
      </c>
      <c r="N2755" t="s">
        <v>38</v>
      </c>
      <c r="O2755" t="s">
        <v>61</v>
      </c>
      <c r="P2755" t="s">
        <v>40</v>
      </c>
      <c r="Q2755">
        <v>4</v>
      </c>
      <c r="R2755" s="2">
        <v>44892</v>
      </c>
      <c r="S2755">
        <v>2</v>
      </c>
      <c r="T2755">
        <v>5</v>
      </c>
      <c r="U2755">
        <v>4</v>
      </c>
      <c r="V2755" s="1">
        <v>45057</v>
      </c>
      <c r="W2755" t="s">
        <v>92</v>
      </c>
      <c r="X2755" t="s">
        <v>51</v>
      </c>
      <c r="Y2755" t="s">
        <v>43</v>
      </c>
      <c r="Z2755">
        <v>5</v>
      </c>
      <c r="AA2755">
        <v>371.76</v>
      </c>
      <c r="AB2755">
        <v>77</v>
      </c>
    </row>
    <row r="2756" spans="1:28" x14ac:dyDescent="0.2">
      <c r="A2756">
        <v>3325</v>
      </c>
      <c r="B2756" s="1">
        <v>44390</v>
      </c>
      <c r="C2756" t="s">
        <v>106</v>
      </c>
      <c r="D2756" t="s">
        <v>87</v>
      </c>
      <c r="E2756" t="s">
        <v>108</v>
      </c>
      <c r="F2756" t="s">
        <v>31</v>
      </c>
      <c r="G2756" t="s">
        <v>45</v>
      </c>
      <c r="H2756" t="s">
        <v>46</v>
      </c>
      <c r="I2756" t="s">
        <v>34</v>
      </c>
      <c r="J2756" t="s">
        <v>70</v>
      </c>
      <c r="K2756" s="2">
        <v>34256</v>
      </c>
      <c r="L2756" t="s">
        <v>36</v>
      </c>
      <c r="M2756" t="s">
        <v>37</v>
      </c>
      <c r="N2756" t="s">
        <v>38</v>
      </c>
      <c r="O2756" t="s">
        <v>61</v>
      </c>
      <c r="P2756" t="s">
        <v>40</v>
      </c>
      <c r="Q2756">
        <v>3</v>
      </c>
      <c r="R2756" s="2">
        <v>45005</v>
      </c>
      <c r="S2756">
        <v>4</v>
      </c>
      <c r="T2756">
        <v>5</v>
      </c>
      <c r="U2756">
        <v>5</v>
      </c>
      <c r="V2756" s="1">
        <v>45033</v>
      </c>
      <c r="W2756" t="s">
        <v>68</v>
      </c>
      <c r="X2756" t="s">
        <v>51</v>
      </c>
      <c r="Y2756" t="s">
        <v>63</v>
      </c>
      <c r="Z2756">
        <v>4</v>
      </c>
      <c r="AA2756">
        <v>747.42</v>
      </c>
      <c r="AB2756">
        <v>28</v>
      </c>
    </row>
    <row r="2757" spans="1:28" x14ac:dyDescent="0.2">
      <c r="A2757">
        <v>3326</v>
      </c>
      <c r="B2757" s="1">
        <v>44575</v>
      </c>
      <c r="C2757" t="s">
        <v>28</v>
      </c>
      <c r="D2757" t="s">
        <v>94</v>
      </c>
      <c r="E2757" t="s">
        <v>30</v>
      </c>
      <c r="F2757" t="s">
        <v>31</v>
      </c>
      <c r="G2757" t="s">
        <v>45</v>
      </c>
      <c r="H2757" t="s">
        <v>33</v>
      </c>
      <c r="I2757" t="s">
        <v>34</v>
      </c>
      <c r="J2757" t="s">
        <v>65</v>
      </c>
      <c r="K2757" s="2">
        <v>15222</v>
      </c>
      <c r="L2757" t="s">
        <v>36</v>
      </c>
      <c r="M2757" t="s">
        <v>48</v>
      </c>
      <c r="N2757" t="s">
        <v>49</v>
      </c>
      <c r="O2757" t="s">
        <v>77</v>
      </c>
      <c r="P2757" t="s">
        <v>40</v>
      </c>
      <c r="Q2757">
        <v>3</v>
      </c>
      <c r="R2757" s="2">
        <v>45101</v>
      </c>
      <c r="S2757">
        <v>4</v>
      </c>
      <c r="T2757">
        <v>1</v>
      </c>
      <c r="U2757">
        <v>3</v>
      </c>
      <c r="V2757" s="1">
        <v>44871</v>
      </c>
      <c r="W2757" t="s">
        <v>62</v>
      </c>
      <c r="X2757" t="s">
        <v>42</v>
      </c>
      <c r="Y2757" t="s">
        <v>63</v>
      </c>
      <c r="Z2757">
        <v>3</v>
      </c>
      <c r="AA2757">
        <v>115.27</v>
      </c>
      <c r="AB2757">
        <v>81</v>
      </c>
    </row>
    <row r="2758" spans="1:28" x14ac:dyDescent="0.2">
      <c r="A2758">
        <v>3327</v>
      </c>
      <c r="B2758" s="1">
        <v>43831</v>
      </c>
      <c r="C2758" t="s">
        <v>28</v>
      </c>
      <c r="D2758" t="s">
        <v>74</v>
      </c>
      <c r="E2758" t="s">
        <v>30</v>
      </c>
      <c r="F2758" t="s">
        <v>31</v>
      </c>
      <c r="G2758" t="s">
        <v>32</v>
      </c>
      <c r="H2758" t="s">
        <v>55</v>
      </c>
      <c r="I2758" t="s">
        <v>34</v>
      </c>
      <c r="J2758" t="s">
        <v>97</v>
      </c>
      <c r="K2758" s="2">
        <v>28972</v>
      </c>
      <c r="L2758" t="s">
        <v>36</v>
      </c>
      <c r="M2758" t="s">
        <v>37</v>
      </c>
      <c r="N2758" t="s">
        <v>49</v>
      </c>
      <c r="O2758" t="s">
        <v>39</v>
      </c>
      <c r="P2758" t="s">
        <v>40</v>
      </c>
      <c r="Q2758">
        <v>1</v>
      </c>
      <c r="R2758" s="2">
        <v>44908</v>
      </c>
      <c r="S2758">
        <v>5</v>
      </c>
      <c r="T2758">
        <v>1</v>
      </c>
      <c r="U2758">
        <v>1</v>
      </c>
      <c r="V2758" s="1">
        <v>45081</v>
      </c>
      <c r="W2758" t="s">
        <v>50</v>
      </c>
      <c r="X2758" t="s">
        <v>42</v>
      </c>
      <c r="Y2758" t="s">
        <v>52</v>
      </c>
      <c r="Z2758">
        <v>3</v>
      </c>
      <c r="AA2758">
        <v>454.55</v>
      </c>
      <c r="AB2758">
        <v>41</v>
      </c>
    </row>
    <row r="2759" spans="1:28" x14ac:dyDescent="0.2">
      <c r="A2759">
        <v>3328</v>
      </c>
      <c r="B2759" s="1">
        <v>44128</v>
      </c>
      <c r="C2759" t="s">
        <v>28</v>
      </c>
      <c r="D2759" t="s">
        <v>81</v>
      </c>
      <c r="E2759" t="s">
        <v>108</v>
      </c>
      <c r="F2759" t="s">
        <v>46</v>
      </c>
      <c r="G2759" t="s">
        <v>45</v>
      </c>
      <c r="H2759" t="s">
        <v>55</v>
      </c>
      <c r="I2759" t="s">
        <v>34</v>
      </c>
      <c r="J2759" t="s">
        <v>79</v>
      </c>
      <c r="K2759" s="2">
        <v>22318</v>
      </c>
      <c r="L2759" t="s">
        <v>36</v>
      </c>
      <c r="M2759" t="s">
        <v>48</v>
      </c>
      <c r="N2759" t="s">
        <v>38</v>
      </c>
      <c r="O2759" t="s">
        <v>67</v>
      </c>
      <c r="P2759" t="s">
        <v>40</v>
      </c>
      <c r="Q2759">
        <v>3</v>
      </c>
      <c r="R2759" s="2">
        <v>45065</v>
      </c>
      <c r="S2759">
        <v>2</v>
      </c>
      <c r="T2759">
        <v>5</v>
      </c>
      <c r="U2759">
        <v>4</v>
      </c>
      <c r="V2759" s="1">
        <v>44891</v>
      </c>
      <c r="W2759" t="s">
        <v>68</v>
      </c>
      <c r="X2759" t="s">
        <v>42</v>
      </c>
      <c r="Y2759" t="s">
        <v>43</v>
      </c>
      <c r="Z2759">
        <v>1</v>
      </c>
      <c r="AA2759">
        <v>391.22</v>
      </c>
      <c r="AB2759">
        <v>59</v>
      </c>
    </row>
    <row r="2760" spans="1:28" x14ac:dyDescent="0.2">
      <c r="A2760">
        <v>3329</v>
      </c>
      <c r="B2760" s="1">
        <v>44128</v>
      </c>
      <c r="C2760" t="s">
        <v>28</v>
      </c>
      <c r="D2760" t="s">
        <v>54</v>
      </c>
      <c r="E2760" t="s">
        <v>30</v>
      </c>
      <c r="F2760" t="s">
        <v>46</v>
      </c>
      <c r="G2760" t="s">
        <v>56</v>
      </c>
      <c r="H2760" t="s">
        <v>55</v>
      </c>
      <c r="I2760" t="s">
        <v>34</v>
      </c>
      <c r="J2760" t="s">
        <v>58</v>
      </c>
      <c r="K2760" s="2">
        <v>28771</v>
      </c>
      <c r="L2760" t="s">
        <v>36</v>
      </c>
      <c r="M2760" t="s">
        <v>48</v>
      </c>
      <c r="N2760" t="s">
        <v>49</v>
      </c>
      <c r="O2760" t="s">
        <v>77</v>
      </c>
      <c r="P2760" t="s">
        <v>40</v>
      </c>
      <c r="Q2760">
        <v>4</v>
      </c>
      <c r="R2760" s="2">
        <v>44898</v>
      </c>
      <c r="S2760">
        <v>4</v>
      </c>
      <c r="T2760">
        <v>4</v>
      </c>
      <c r="U2760">
        <v>3</v>
      </c>
      <c r="V2760" s="1">
        <v>44916</v>
      </c>
      <c r="W2760" t="s">
        <v>50</v>
      </c>
      <c r="X2760" t="s">
        <v>51</v>
      </c>
      <c r="Y2760" t="s">
        <v>52</v>
      </c>
      <c r="Z2760">
        <v>3</v>
      </c>
      <c r="AA2760">
        <v>845.51</v>
      </c>
      <c r="AB2760">
        <v>42</v>
      </c>
    </row>
    <row r="2761" spans="1:28" x14ac:dyDescent="0.2">
      <c r="A2761">
        <v>3330</v>
      </c>
      <c r="B2761" s="1">
        <v>44052</v>
      </c>
      <c r="C2761" t="s">
        <v>28</v>
      </c>
      <c r="D2761" t="s">
        <v>69</v>
      </c>
      <c r="E2761" t="s">
        <v>30</v>
      </c>
      <c r="F2761" t="s">
        <v>46</v>
      </c>
      <c r="G2761" t="s">
        <v>32</v>
      </c>
      <c r="H2761" t="s">
        <v>46</v>
      </c>
      <c r="I2761" t="s">
        <v>34</v>
      </c>
      <c r="J2761" t="s">
        <v>97</v>
      </c>
      <c r="K2761" s="2">
        <v>27838</v>
      </c>
      <c r="L2761" t="s">
        <v>36</v>
      </c>
      <c r="M2761" t="s">
        <v>37</v>
      </c>
      <c r="N2761" t="s">
        <v>38</v>
      </c>
      <c r="O2761" t="s">
        <v>77</v>
      </c>
      <c r="P2761" t="s">
        <v>40</v>
      </c>
      <c r="Q2761">
        <v>4</v>
      </c>
      <c r="R2761" s="2">
        <v>45042</v>
      </c>
      <c r="S2761">
        <v>1</v>
      </c>
      <c r="T2761">
        <v>3</v>
      </c>
      <c r="U2761">
        <v>3</v>
      </c>
      <c r="V2761" s="1">
        <v>45038</v>
      </c>
      <c r="W2761" t="s">
        <v>62</v>
      </c>
      <c r="X2761" t="s">
        <v>51</v>
      </c>
      <c r="Y2761" t="s">
        <v>52</v>
      </c>
      <c r="Z2761">
        <v>2</v>
      </c>
      <c r="AA2761">
        <v>713.22</v>
      </c>
      <c r="AB2761">
        <v>44</v>
      </c>
    </row>
    <row r="2762" spans="1:28" x14ac:dyDescent="0.2">
      <c r="A2762">
        <v>3331</v>
      </c>
      <c r="B2762" s="1">
        <v>43548</v>
      </c>
      <c r="C2762" t="s">
        <v>28</v>
      </c>
      <c r="D2762" t="s">
        <v>29</v>
      </c>
      <c r="E2762" t="s">
        <v>30</v>
      </c>
      <c r="F2762" t="s">
        <v>55</v>
      </c>
      <c r="G2762" t="s">
        <v>45</v>
      </c>
      <c r="H2762" t="s">
        <v>46</v>
      </c>
      <c r="I2762" t="s">
        <v>34</v>
      </c>
      <c r="J2762" t="s">
        <v>70</v>
      </c>
      <c r="K2762" s="2">
        <v>23321</v>
      </c>
      <c r="L2762" t="s">
        <v>36</v>
      </c>
      <c r="M2762" t="s">
        <v>37</v>
      </c>
      <c r="N2762" t="s">
        <v>60</v>
      </c>
      <c r="O2762" t="s">
        <v>61</v>
      </c>
      <c r="P2762" t="s">
        <v>40</v>
      </c>
      <c r="Q2762">
        <v>2</v>
      </c>
      <c r="R2762" s="2">
        <v>44799</v>
      </c>
      <c r="S2762">
        <v>1</v>
      </c>
      <c r="T2762">
        <v>5</v>
      </c>
      <c r="U2762">
        <v>5</v>
      </c>
      <c r="V2762" s="1">
        <v>44784</v>
      </c>
      <c r="W2762" t="s">
        <v>92</v>
      </c>
      <c r="X2762" t="s">
        <v>42</v>
      </c>
      <c r="Y2762" t="s">
        <v>73</v>
      </c>
      <c r="Z2762">
        <v>2</v>
      </c>
      <c r="AA2762">
        <v>242.55</v>
      </c>
      <c r="AB2762">
        <v>56</v>
      </c>
    </row>
    <row r="2763" spans="1:28" x14ac:dyDescent="0.2">
      <c r="A2763">
        <v>3332</v>
      </c>
      <c r="B2763" s="1">
        <v>44863</v>
      </c>
      <c r="C2763" t="s">
        <v>28</v>
      </c>
      <c r="D2763" t="s">
        <v>85</v>
      </c>
      <c r="E2763" t="s">
        <v>30</v>
      </c>
      <c r="F2763" t="s">
        <v>46</v>
      </c>
      <c r="G2763" t="s">
        <v>56</v>
      </c>
      <c r="H2763" t="s">
        <v>33</v>
      </c>
      <c r="I2763" t="s">
        <v>34</v>
      </c>
      <c r="J2763" t="s">
        <v>101</v>
      </c>
      <c r="K2763" s="2">
        <v>22346</v>
      </c>
      <c r="L2763" t="s">
        <v>36</v>
      </c>
      <c r="M2763" t="s">
        <v>37</v>
      </c>
      <c r="N2763" t="s">
        <v>60</v>
      </c>
      <c r="O2763" t="s">
        <v>39</v>
      </c>
      <c r="P2763" t="s">
        <v>40</v>
      </c>
      <c r="Q2763">
        <v>3</v>
      </c>
      <c r="R2763" s="2">
        <v>45014</v>
      </c>
      <c r="S2763">
        <v>2</v>
      </c>
      <c r="T2763">
        <v>4</v>
      </c>
      <c r="U2763">
        <v>5</v>
      </c>
      <c r="V2763" s="1">
        <v>44966</v>
      </c>
      <c r="W2763" t="s">
        <v>68</v>
      </c>
      <c r="X2763" t="s">
        <v>42</v>
      </c>
      <c r="Y2763" t="s">
        <v>63</v>
      </c>
      <c r="Z2763">
        <v>5</v>
      </c>
      <c r="AA2763">
        <v>385.68</v>
      </c>
      <c r="AB2763">
        <v>61</v>
      </c>
    </row>
    <row r="2764" spans="1:28" x14ac:dyDescent="0.2">
      <c r="A2764">
        <v>3333</v>
      </c>
      <c r="B2764" s="1">
        <v>45062</v>
      </c>
      <c r="C2764" t="s">
        <v>28</v>
      </c>
      <c r="D2764" t="s">
        <v>44</v>
      </c>
      <c r="E2764" t="s">
        <v>30</v>
      </c>
      <c r="F2764" t="s">
        <v>31</v>
      </c>
      <c r="G2764" t="s">
        <v>56</v>
      </c>
      <c r="H2764" t="s">
        <v>33</v>
      </c>
      <c r="I2764" t="s">
        <v>34</v>
      </c>
      <c r="J2764" t="s">
        <v>70</v>
      </c>
      <c r="K2764" s="2">
        <v>33906</v>
      </c>
      <c r="L2764" t="s">
        <v>36</v>
      </c>
      <c r="M2764" t="s">
        <v>48</v>
      </c>
      <c r="N2764" t="s">
        <v>49</v>
      </c>
      <c r="O2764" t="s">
        <v>61</v>
      </c>
      <c r="P2764" t="s">
        <v>40</v>
      </c>
      <c r="Q2764">
        <v>3</v>
      </c>
      <c r="R2764" s="2">
        <v>44918</v>
      </c>
      <c r="S2764">
        <v>2</v>
      </c>
      <c r="T2764">
        <v>3</v>
      </c>
      <c r="U2764">
        <v>1</v>
      </c>
      <c r="V2764" s="1">
        <v>44931</v>
      </c>
      <c r="W2764" t="s">
        <v>50</v>
      </c>
      <c r="X2764" t="s">
        <v>42</v>
      </c>
      <c r="Y2764" t="s">
        <v>73</v>
      </c>
      <c r="Z2764">
        <v>4</v>
      </c>
      <c r="AA2764">
        <v>995.4</v>
      </c>
      <c r="AB2764">
        <v>31</v>
      </c>
    </row>
    <row r="2765" spans="1:28" x14ac:dyDescent="0.2">
      <c r="A2765">
        <v>3334</v>
      </c>
      <c r="B2765" s="1">
        <v>45076</v>
      </c>
      <c r="C2765" t="s">
        <v>28</v>
      </c>
      <c r="D2765" t="s">
        <v>87</v>
      </c>
      <c r="E2765" t="s">
        <v>30</v>
      </c>
      <c r="F2765" t="s">
        <v>46</v>
      </c>
      <c r="G2765" t="s">
        <v>56</v>
      </c>
      <c r="H2765" t="s">
        <v>46</v>
      </c>
      <c r="I2765" t="s">
        <v>34</v>
      </c>
      <c r="J2765" t="s">
        <v>96</v>
      </c>
      <c r="K2765" s="2">
        <v>32647</v>
      </c>
      <c r="L2765" t="s">
        <v>36</v>
      </c>
      <c r="M2765" t="s">
        <v>48</v>
      </c>
      <c r="N2765" t="s">
        <v>38</v>
      </c>
      <c r="O2765" t="s">
        <v>61</v>
      </c>
      <c r="P2765" t="s">
        <v>40</v>
      </c>
      <c r="Q2765">
        <v>3</v>
      </c>
      <c r="R2765" s="2">
        <v>44791</v>
      </c>
      <c r="S2765">
        <v>1</v>
      </c>
      <c r="T2765">
        <v>4</v>
      </c>
      <c r="U2765">
        <v>2</v>
      </c>
      <c r="V2765" s="1">
        <v>44857</v>
      </c>
      <c r="W2765" t="s">
        <v>62</v>
      </c>
      <c r="X2765" t="s">
        <v>51</v>
      </c>
      <c r="Y2765" t="s">
        <v>63</v>
      </c>
      <c r="Z2765">
        <v>5</v>
      </c>
      <c r="AA2765">
        <v>583.4</v>
      </c>
      <c r="AB2765">
        <v>34</v>
      </c>
    </row>
    <row r="2766" spans="1:28" x14ac:dyDescent="0.2">
      <c r="A2766">
        <v>3335</v>
      </c>
      <c r="B2766" s="1">
        <v>43644</v>
      </c>
      <c r="C2766" t="s">
        <v>28</v>
      </c>
      <c r="D2766" t="s">
        <v>64</v>
      </c>
      <c r="E2766" t="s">
        <v>108</v>
      </c>
      <c r="F2766" t="s">
        <v>46</v>
      </c>
      <c r="G2766" t="s">
        <v>56</v>
      </c>
      <c r="H2766" t="s">
        <v>33</v>
      </c>
      <c r="I2766" t="s">
        <v>34</v>
      </c>
      <c r="J2766" t="s">
        <v>70</v>
      </c>
      <c r="K2766" s="2">
        <v>33701</v>
      </c>
      <c r="L2766" t="s">
        <v>36</v>
      </c>
      <c r="M2766" t="s">
        <v>48</v>
      </c>
      <c r="N2766" t="s">
        <v>60</v>
      </c>
      <c r="O2766" t="s">
        <v>77</v>
      </c>
      <c r="P2766" t="s">
        <v>40</v>
      </c>
      <c r="Q2766">
        <v>3</v>
      </c>
      <c r="R2766" s="2">
        <v>44896</v>
      </c>
      <c r="S2766">
        <v>5</v>
      </c>
      <c r="T2766">
        <v>1</v>
      </c>
      <c r="U2766">
        <v>3</v>
      </c>
      <c r="V2766" s="1">
        <v>45002</v>
      </c>
      <c r="W2766" t="s">
        <v>62</v>
      </c>
      <c r="X2766" t="s">
        <v>42</v>
      </c>
      <c r="Y2766" t="s">
        <v>52</v>
      </c>
      <c r="Z2766">
        <v>5</v>
      </c>
      <c r="AA2766">
        <v>388.61</v>
      </c>
      <c r="AB2766">
        <v>27</v>
      </c>
    </row>
    <row r="2767" spans="1:28" x14ac:dyDescent="0.2">
      <c r="A2767">
        <v>3336</v>
      </c>
      <c r="B2767" s="1">
        <v>45010</v>
      </c>
      <c r="C2767" t="s">
        <v>28</v>
      </c>
      <c r="D2767" t="s">
        <v>94</v>
      </c>
      <c r="E2767" t="s">
        <v>108</v>
      </c>
      <c r="F2767" t="s">
        <v>31</v>
      </c>
      <c r="G2767" t="s">
        <v>45</v>
      </c>
      <c r="H2767" t="s">
        <v>46</v>
      </c>
      <c r="I2767" t="s">
        <v>34</v>
      </c>
      <c r="J2767" t="s">
        <v>65</v>
      </c>
      <c r="K2767" s="2">
        <v>29027</v>
      </c>
      <c r="L2767" t="s">
        <v>36</v>
      </c>
      <c r="M2767" t="s">
        <v>48</v>
      </c>
      <c r="N2767" t="s">
        <v>84</v>
      </c>
      <c r="O2767" t="s">
        <v>77</v>
      </c>
      <c r="P2767" t="s">
        <v>40</v>
      </c>
      <c r="Q2767">
        <v>3</v>
      </c>
      <c r="R2767" s="2">
        <v>44951</v>
      </c>
      <c r="S2767">
        <v>4</v>
      </c>
      <c r="T2767">
        <v>4</v>
      </c>
      <c r="U2767">
        <v>2</v>
      </c>
      <c r="V2767" s="1">
        <v>45018</v>
      </c>
      <c r="W2767" t="s">
        <v>41</v>
      </c>
      <c r="X2767" t="s">
        <v>42</v>
      </c>
      <c r="Y2767" t="s">
        <v>52</v>
      </c>
      <c r="Z2767">
        <v>4</v>
      </c>
      <c r="AA2767">
        <v>290.13</v>
      </c>
      <c r="AB2767">
        <v>44</v>
      </c>
    </row>
    <row r="2768" spans="1:28" x14ac:dyDescent="0.2">
      <c r="A2768">
        <v>3337</v>
      </c>
      <c r="B2768" s="1">
        <v>44799</v>
      </c>
      <c r="C2768" t="s">
        <v>28</v>
      </c>
      <c r="D2768" t="s">
        <v>74</v>
      </c>
      <c r="E2768" t="s">
        <v>30</v>
      </c>
      <c r="F2768" t="s">
        <v>55</v>
      </c>
      <c r="G2768" t="s">
        <v>45</v>
      </c>
      <c r="H2768" t="s">
        <v>46</v>
      </c>
      <c r="I2768" t="s">
        <v>34</v>
      </c>
      <c r="J2768" t="s">
        <v>79</v>
      </c>
      <c r="K2768" s="2">
        <v>26693</v>
      </c>
      <c r="L2768" t="s">
        <v>36</v>
      </c>
      <c r="M2768" t="s">
        <v>37</v>
      </c>
      <c r="N2768" t="s">
        <v>72</v>
      </c>
      <c r="O2768" t="s">
        <v>61</v>
      </c>
      <c r="P2768" t="s">
        <v>40</v>
      </c>
      <c r="Q2768">
        <v>3</v>
      </c>
      <c r="R2768" s="2">
        <v>44978</v>
      </c>
      <c r="S2768">
        <v>5</v>
      </c>
      <c r="T2768">
        <v>5</v>
      </c>
      <c r="U2768">
        <v>2</v>
      </c>
      <c r="V2768" s="1">
        <v>45044</v>
      </c>
      <c r="W2768" t="s">
        <v>50</v>
      </c>
      <c r="X2768" t="s">
        <v>42</v>
      </c>
      <c r="Y2768" t="s">
        <v>43</v>
      </c>
      <c r="Z2768">
        <v>3</v>
      </c>
      <c r="AA2768">
        <v>933.76</v>
      </c>
      <c r="AB2768">
        <v>49</v>
      </c>
    </row>
    <row r="2769" spans="1:28" x14ac:dyDescent="0.2">
      <c r="A2769">
        <v>3338</v>
      </c>
      <c r="B2769" s="1">
        <v>43784</v>
      </c>
      <c r="C2769" t="s">
        <v>28</v>
      </c>
      <c r="D2769" t="s">
        <v>81</v>
      </c>
      <c r="E2769" t="s">
        <v>30</v>
      </c>
      <c r="F2769" t="s">
        <v>31</v>
      </c>
      <c r="G2769" t="s">
        <v>32</v>
      </c>
      <c r="H2769" t="s">
        <v>33</v>
      </c>
      <c r="I2769" t="s">
        <v>34</v>
      </c>
      <c r="J2769" t="s">
        <v>65</v>
      </c>
      <c r="K2769" s="2">
        <v>18327</v>
      </c>
      <c r="L2769" t="s">
        <v>36</v>
      </c>
      <c r="M2769" t="s">
        <v>37</v>
      </c>
      <c r="N2769" t="s">
        <v>49</v>
      </c>
      <c r="O2769" t="s">
        <v>77</v>
      </c>
      <c r="P2769" t="s">
        <v>40</v>
      </c>
      <c r="Q2769">
        <v>3</v>
      </c>
      <c r="R2769" s="2">
        <v>45013</v>
      </c>
      <c r="S2769">
        <v>3</v>
      </c>
      <c r="T2769">
        <v>2</v>
      </c>
      <c r="U2769">
        <v>4</v>
      </c>
      <c r="V2769" s="1">
        <v>45100</v>
      </c>
      <c r="W2769" t="s">
        <v>62</v>
      </c>
      <c r="X2769" t="s">
        <v>51</v>
      </c>
      <c r="Y2769" t="s">
        <v>52</v>
      </c>
      <c r="Z2769">
        <v>3</v>
      </c>
      <c r="AA2769">
        <v>796.62</v>
      </c>
      <c r="AB2769">
        <v>69</v>
      </c>
    </row>
    <row r="2770" spans="1:28" x14ac:dyDescent="0.2">
      <c r="A2770">
        <v>3339</v>
      </c>
      <c r="B2770" s="1">
        <v>44430</v>
      </c>
      <c r="C2770" t="s">
        <v>28</v>
      </c>
      <c r="D2770" t="s">
        <v>54</v>
      </c>
      <c r="E2770" t="s">
        <v>30</v>
      </c>
      <c r="F2770" t="s">
        <v>46</v>
      </c>
      <c r="G2770" t="s">
        <v>32</v>
      </c>
      <c r="H2770" t="s">
        <v>46</v>
      </c>
      <c r="I2770" t="s">
        <v>34</v>
      </c>
      <c r="J2770" t="s">
        <v>110</v>
      </c>
      <c r="K2770" s="2">
        <v>18973</v>
      </c>
      <c r="L2770" t="s">
        <v>36</v>
      </c>
      <c r="M2770" t="s">
        <v>48</v>
      </c>
      <c r="N2770" t="s">
        <v>49</v>
      </c>
      <c r="O2770" t="s">
        <v>77</v>
      </c>
      <c r="P2770" t="s">
        <v>40</v>
      </c>
      <c r="Q2770">
        <v>5</v>
      </c>
      <c r="R2770" s="2">
        <v>45139</v>
      </c>
      <c r="S2770">
        <v>1</v>
      </c>
      <c r="T2770">
        <v>1</v>
      </c>
      <c r="U2770">
        <v>3</v>
      </c>
      <c r="V2770" s="1">
        <v>44959</v>
      </c>
      <c r="W2770" t="s">
        <v>50</v>
      </c>
      <c r="X2770" t="s">
        <v>51</v>
      </c>
      <c r="Y2770" t="s">
        <v>43</v>
      </c>
      <c r="Z2770">
        <v>4</v>
      </c>
      <c r="AA2770">
        <v>986.69</v>
      </c>
      <c r="AB2770">
        <v>70</v>
      </c>
    </row>
    <row r="2771" spans="1:28" x14ac:dyDescent="0.2">
      <c r="A2771">
        <v>3340</v>
      </c>
      <c r="B2771" s="1">
        <v>44894</v>
      </c>
      <c r="C2771" t="s">
        <v>28</v>
      </c>
      <c r="D2771" t="s">
        <v>69</v>
      </c>
      <c r="E2771" t="s">
        <v>30</v>
      </c>
      <c r="F2771" t="s">
        <v>46</v>
      </c>
      <c r="G2771" t="s">
        <v>45</v>
      </c>
      <c r="H2771" t="s">
        <v>55</v>
      </c>
      <c r="I2771" t="s">
        <v>34</v>
      </c>
      <c r="J2771" t="s">
        <v>65</v>
      </c>
      <c r="K2771" s="2">
        <v>22411</v>
      </c>
      <c r="L2771" t="s">
        <v>36</v>
      </c>
      <c r="M2771" t="s">
        <v>48</v>
      </c>
      <c r="N2771" t="s">
        <v>38</v>
      </c>
      <c r="O2771" t="s">
        <v>67</v>
      </c>
      <c r="P2771" t="s">
        <v>40</v>
      </c>
      <c r="Q2771">
        <v>3</v>
      </c>
      <c r="R2771" s="2">
        <v>44909</v>
      </c>
      <c r="S2771">
        <v>5</v>
      </c>
      <c r="T2771">
        <v>2</v>
      </c>
      <c r="U2771">
        <v>3</v>
      </c>
      <c r="V2771" s="1">
        <v>45116</v>
      </c>
      <c r="W2771" t="s">
        <v>68</v>
      </c>
      <c r="X2771" t="s">
        <v>51</v>
      </c>
      <c r="Y2771" t="s">
        <v>43</v>
      </c>
      <c r="Z2771">
        <v>4</v>
      </c>
      <c r="AA2771">
        <v>965.82</v>
      </c>
      <c r="AB2771">
        <v>61</v>
      </c>
    </row>
    <row r="2772" spans="1:28" x14ac:dyDescent="0.2">
      <c r="A2772">
        <v>3341</v>
      </c>
      <c r="B2772" s="1">
        <v>44849</v>
      </c>
      <c r="C2772" t="s">
        <v>106</v>
      </c>
      <c r="D2772" t="s">
        <v>74</v>
      </c>
      <c r="E2772" t="s">
        <v>30</v>
      </c>
      <c r="F2772" t="s">
        <v>55</v>
      </c>
      <c r="G2772" t="s">
        <v>32</v>
      </c>
      <c r="H2772" t="s">
        <v>33</v>
      </c>
      <c r="I2772" t="s">
        <v>34</v>
      </c>
      <c r="J2772" t="s">
        <v>65</v>
      </c>
      <c r="K2772" s="2">
        <v>20117</v>
      </c>
      <c r="L2772" t="s">
        <v>36</v>
      </c>
      <c r="M2772" t="s">
        <v>37</v>
      </c>
      <c r="N2772" t="s">
        <v>38</v>
      </c>
      <c r="O2772" t="s">
        <v>61</v>
      </c>
      <c r="P2772" t="s">
        <v>40</v>
      </c>
      <c r="Q2772">
        <v>1</v>
      </c>
      <c r="R2772" s="2">
        <v>45005</v>
      </c>
      <c r="S2772">
        <v>3</v>
      </c>
      <c r="T2772">
        <v>5</v>
      </c>
      <c r="U2772">
        <v>3</v>
      </c>
      <c r="V2772" s="1">
        <v>45126</v>
      </c>
      <c r="W2772" t="s">
        <v>68</v>
      </c>
      <c r="X2772" t="s">
        <v>42</v>
      </c>
      <c r="Y2772" t="s">
        <v>43</v>
      </c>
      <c r="Z2772">
        <v>1</v>
      </c>
      <c r="AA2772">
        <v>933.59</v>
      </c>
      <c r="AB2772">
        <v>67</v>
      </c>
    </row>
    <row r="2773" spans="1:28" x14ac:dyDescent="0.2">
      <c r="A2773">
        <v>3342</v>
      </c>
      <c r="B2773" s="1">
        <v>44408</v>
      </c>
      <c r="C2773" t="s">
        <v>106</v>
      </c>
      <c r="D2773" t="s">
        <v>81</v>
      </c>
      <c r="E2773" t="s">
        <v>30</v>
      </c>
      <c r="F2773" t="s">
        <v>55</v>
      </c>
      <c r="G2773" t="s">
        <v>32</v>
      </c>
      <c r="H2773" t="s">
        <v>46</v>
      </c>
      <c r="I2773" t="s">
        <v>34</v>
      </c>
      <c r="J2773" t="s">
        <v>47</v>
      </c>
      <c r="K2773" s="2">
        <v>36573</v>
      </c>
      <c r="L2773" t="s">
        <v>36</v>
      </c>
      <c r="M2773" t="s">
        <v>48</v>
      </c>
      <c r="N2773" t="s">
        <v>60</v>
      </c>
      <c r="O2773" t="s">
        <v>39</v>
      </c>
      <c r="P2773" t="s">
        <v>40</v>
      </c>
      <c r="Q2773">
        <v>2</v>
      </c>
      <c r="R2773" s="2">
        <v>44907</v>
      </c>
      <c r="S2773">
        <v>3</v>
      </c>
      <c r="T2773">
        <v>4</v>
      </c>
      <c r="U2773">
        <v>1</v>
      </c>
      <c r="V2773" s="1">
        <v>44880</v>
      </c>
      <c r="W2773" t="s">
        <v>41</v>
      </c>
      <c r="X2773" t="s">
        <v>42</v>
      </c>
      <c r="Y2773" t="s">
        <v>43</v>
      </c>
      <c r="Z2773">
        <v>4</v>
      </c>
      <c r="AA2773">
        <v>583.66</v>
      </c>
      <c r="AB2773">
        <v>21</v>
      </c>
    </row>
    <row r="2774" spans="1:28" x14ac:dyDescent="0.2">
      <c r="A2774">
        <v>3343</v>
      </c>
      <c r="B2774" s="1">
        <v>44613</v>
      </c>
      <c r="C2774" t="s">
        <v>106</v>
      </c>
      <c r="D2774" t="s">
        <v>54</v>
      </c>
      <c r="E2774" t="s">
        <v>30</v>
      </c>
      <c r="F2774" t="s">
        <v>46</v>
      </c>
      <c r="G2774" t="s">
        <v>45</v>
      </c>
      <c r="H2774" t="s">
        <v>55</v>
      </c>
      <c r="I2774" t="s">
        <v>34</v>
      </c>
      <c r="J2774" t="s">
        <v>70</v>
      </c>
      <c r="K2774" s="2">
        <v>24071</v>
      </c>
      <c r="L2774" t="s">
        <v>36</v>
      </c>
      <c r="M2774" t="s">
        <v>48</v>
      </c>
      <c r="N2774" t="s">
        <v>49</v>
      </c>
      <c r="O2774" t="s">
        <v>67</v>
      </c>
      <c r="P2774" t="s">
        <v>40</v>
      </c>
      <c r="Q2774">
        <v>4</v>
      </c>
      <c r="R2774" s="2">
        <v>45128</v>
      </c>
      <c r="S2774">
        <v>4</v>
      </c>
      <c r="T2774">
        <v>2</v>
      </c>
      <c r="U2774">
        <v>5</v>
      </c>
      <c r="V2774" s="1">
        <v>45112</v>
      </c>
      <c r="W2774" t="s">
        <v>68</v>
      </c>
      <c r="X2774" t="s">
        <v>51</v>
      </c>
      <c r="Y2774" t="s">
        <v>43</v>
      </c>
      <c r="Z2774">
        <v>2</v>
      </c>
      <c r="AA2774">
        <v>819.62</v>
      </c>
      <c r="AB2774">
        <v>57</v>
      </c>
    </row>
    <row r="2775" spans="1:28" x14ac:dyDescent="0.2">
      <c r="A2775">
        <v>3344</v>
      </c>
      <c r="B2775" s="1">
        <v>44437</v>
      </c>
      <c r="C2775" t="s">
        <v>106</v>
      </c>
      <c r="D2775" t="s">
        <v>69</v>
      </c>
      <c r="E2775" t="s">
        <v>30</v>
      </c>
      <c r="F2775" t="s">
        <v>31</v>
      </c>
      <c r="G2775" t="s">
        <v>56</v>
      </c>
      <c r="H2775" t="s">
        <v>33</v>
      </c>
      <c r="I2775" t="s">
        <v>34</v>
      </c>
      <c r="J2775" t="s">
        <v>65</v>
      </c>
      <c r="K2775" s="2">
        <v>21256</v>
      </c>
      <c r="L2775" t="s">
        <v>36</v>
      </c>
      <c r="M2775" t="s">
        <v>48</v>
      </c>
      <c r="N2775" t="s">
        <v>38</v>
      </c>
      <c r="O2775" t="s">
        <v>67</v>
      </c>
      <c r="P2775" t="s">
        <v>40</v>
      </c>
      <c r="Q2775">
        <v>3</v>
      </c>
      <c r="R2775" s="2">
        <v>45120</v>
      </c>
      <c r="S2775">
        <v>5</v>
      </c>
      <c r="T2775">
        <v>4</v>
      </c>
      <c r="U2775">
        <v>1</v>
      </c>
      <c r="V2775" s="1">
        <v>44885</v>
      </c>
      <c r="W2775" t="s">
        <v>92</v>
      </c>
      <c r="X2775" t="s">
        <v>42</v>
      </c>
      <c r="Y2775" t="s">
        <v>43</v>
      </c>
      <c r="Z2775">
        <v>5</v>
      </c>
      <c r="AA2775">
        <v>925</v>
      </c>
      <c r="AB2775">
        <v>63</v>
      </c>
    </row>
    <row r="2776" spans="1:28" x14ac:dyDescent="0.2">
      <c r="A2776">
        <v>3345</v>
      </c>
      <c r="B2776" s="1">
        <v>44543</v>
      </c>
      <c r="C2776" t="s">
        <v>106</v>
      </c>
      <c r="D2776" t="s">
        <v>29</v>
      </c>
      <c r="E2776" t="s">
        <v>108</v>
      </c>
      <c r="F2776" t="s">
        <v>55</v>
      </c>
      <c r="G2776" t="s">
        <v>32</v>
      </c>
      <c r="H2776" t="s">
        <v>46</v>
      </c>
      <c r="I2776" t="s">
        <v>34</v>
      </c>
      <c r="J2776" t="s">
        <v>96</v>
      </c>
      <c r="K2776" s="2">
        <v>29685</v>
      </c>
      <c r="L2776" t="s">
        <v>36</v>
      </c>
      <c r="M2776" t="s">
        <v>48</v>
      </c>
      <c r="N2776" t="s">
        <v>84</v>
      </c>
      <c r="O2776" t="s">
        <v>61</v>
      </c>
      <c r="P2776" t="s">
        <v>40</v>
      </c>
      <c r="Q2776">
        <v>4</v>
      </c>
      <c r="R2776" s="2">
        <v>44979</v>
      </c>
      <c r="S2776">
        <v>1</v>
      </c>
      <c r="T2776">
        <v>1</v>
      </c>
      <c r="U2776">
        <v>3</v>
      </c>
      <c r="V2776" s="1">
        <v>44923</v>
      </c>
      <c r="W2776" t="s">
        <v>62</v>
      </c>
      <c r="X2776" t="s">
        <v>51</v>
      </c>
      <c r="Y2776" t="s">
        <v>52</v>
      </c>
      <c r="Z2776">
        <v>5</v>
      </c>
      <c r="AA2776">
        <v>127.93</v>
      </c>
      <c r="AB2776">
        <v>40</v>
      </c>
    </row>
    <row r="2777" spans="1:28" x14ac:dyDescent="0.2">
      <c r="A2777">
        <v>3348</v>
      </c>
      <c r="B2777" s="1">
        <v>43769</v>
      </c>
      <c r="C2777" t="s">
        <v>106</v>
      </c>
      <c r="D2777" t="s">
        <v>87</v>
      </c>
      <c r="E2777" t="s">
        <v>30</v>
      </c>
      <c r="F2777" t="s">
        <v>46</v>
      </c>
      <c r="G2777" t="s">
        <v>45</v>
      </c>
      <c r="H2777" t="s">
        <v>46</v>
      </c>
      <c r="I2777" t="s">
        <v>34</v>
      </c>
      <c r="J2777" t="s">
        <v>65</v>
      </c>
      <c r="K2777" s="2">
        <v>32112</v>
      </c>
      <c r="L2777" t="s">
        <v>36</v>
      </c>
      <c r="M2777" t="s">
        <v>37</v>
      </c>
      <c r="N2777" t="s">
        <v>84</v>
      </c>
      <c r="O2777" t="s">
        <v>39</v>
      </c>
      <c r="P2777" t="s">
        <v>40</v>
      </c>
      <c r="Q2777">
        <v>2</v>
      </c>
      <c r="R2777" s="2">
        <v>44822</v>
      </c>
      <c r="S2777">
        <v>5</v>
      </c>
      <c r="T2777">
        <v>2</v>
      </c>
      <c r="U2777">
        <v>1</v>
      </c>
      <c r="V2777" s="1">
        <v>45045</v>
      </c>
      <c r="W2777" t="s">
        <v>62</v>
      </c>
      <c r="X2777" t="s">
        <v>42</v>
      </c>
      <c r="Y2777" t="s">
        <v>73</v>
      </c>
      <c r="Z2777">
        <v>2</v>
      </c>
      <c r="AA2777">
        <v>922.33</v>
      </c>
      <c r="AB2777">
        <v>32</v>
      </c>
    </row>
    <row r="2778" spans="1:28" x14ac:dyDescent="0.2">
      <c r="A2778">
        <v>3349</v>
      </c>
      <c r="B2778" s="1">
        <v>44872</v>
      </c>
      <c r="C2778" t="s">
        <v>28</v>
      </c>
      <c r="D2778" t="s">
        <v>74</v>
      </c>
      <c r="E2778" t="s">
        <v>30</v>
      </c>
      <c r="F2778" t="s">
        <v>31</v>
      </c>
      <c r="G2778" t="s">
        <v>45</v>
      </c>
      <c r="H2778" t="s">
        <v>55</v>
      </c>
      <c r="I2778" t="s">
        <v>34</v>
      </c>
      <c r="J2778" t="s">
        <v>75</v>
      </c>
      <c r="K2778" s="2">
        <v>21608</v>
      </c>
      <c r="L2778" t="s">
        <v>36</v>
      </c>
      <c r="M2778" t="s">
        <v>48</v>
      </c>
      <c r="N2778" t="s">
        <v>49</v>
      </c>
      <c r="O2778" t="s">
        <v>77</v>
      </c>
      <c r="P2778" t="s">
        <v>40</v>
      </c>
      <c r="Q2778">
        <v>3</v>
      </c>
      <c r="R2778" s="2">
        <v>44896</v>
      </c>
      <c r="S2778">
        <v>1</v>
      </c>
      <c r="T2778">
        <v>4</v>
      </c>
      <c r="U2778">
        <v>3</v>
      </c>
      <c r="V2778" s="1">
        <v>44804</v>
      </c>
      <c r="W2778" t="s">
        <v>62</v>
      </c>
      <c r="X2778" t="s">
        <v>42</v>
      </c>
      <c r="Y2778" t="s">
        <v>52</v>
      </c>
      <c r="Z2778">
        <v>5</v>
      </c>
      <c r="AA2778">
        <v>306.01</v>
      </c>
      <c r="AB2778">
        <v>63</v>
      </c>
    </row>
    <row r="2779" spans="1:28" x14ac:dyDescent="0.2">
      <c r="A2779">
        <v>3350</v>
      </c>
      <c r="B2779" s="1">
        <v>44885</v>
      </c>
      <c r="C2779" t="s">
        <v>28</v>
      </c>
      <c r="D2779" t="s">
        <v>69</v>
      </c>
      <c r="E2779" t="s">
        <v>30</v>
      </c>
      <c r="F2779" t="s">
        <v>55</v>
      </c>
      <c r="G2779" t="s">
        <v>56</v>
      </c>
      <c r="H2779" t="s">
        <v>46</v>
      </c>
      <c r="I2779" t="s">
        <v>34</v>
      </c>
      <c r="J2779" t="s">
        <v>96</v>
      </c>
      <c r="K2779" s="2">
        <v>26671</v>
      </c>
      <c r="L2779" t="s">
        <v>36</v>
      </c>
      <c r="M2779" t="s">
        <v>37</v>
      </c>
      <c r="N2779" t="s">
        <v>49</v>
      </c>
      <c r="O2779" t="s">
        <v>77</v>
      </c>
      <c r="P2779" t="s">
        <v>40</v>
      </c>
      <c r="Q2779">
        <v>5</v>
      </c>
      <c r="R2779" s="2">
        <v>44864</v>
      </c>
      <c r="S2779">
        <v>2</v>
      </c>
      <c r="T2779">
        <v>1</v>
      </c>
      <c r="U2779">
        <v>1</v>
      </c>
      <c r="V2779" s="1">
        <v>44834</v>
      </c>
      <c r="W2779" t="s">
        <v>62</v>
      </c>
      <c r="X2779" t="s">
        <v>42</v>
      </c>
      <c r="Y2779" t="s">
        <v>73</v>
      </c>
      <c r="Z2779">
        <v>2</v>
      </c>
      <c r="AA2779">
        <v>963.95</v>
      </c>
      <c r="AB2779">
        <v>49</v>
      </c>
    </row>
    <row r="2780" spans="1:28" x14ac:dyDescent="0.2">
      <c r="A2780">
        <v>3351</v>
      </c>
      <c r="B2780" s="1">
        <v>44545</v>
      </c>
      <c r="C2780" t="s">
        <v>28</v>
      </c>
      <c r="D2780" t="s">
        <v>29</v>
      </c>
      <c r="E2780" t="s">
        <v>108</v>
      </c>
      <c r="F2780" t="s">
        <v>31</v>
      </c>
      <c r="G2780" t="s">
        <v>32</v>
      </c>
      <c r="H2780" t="s">
        <v>46</v>
      </c>
      <c r="I2780" t="s">
        <v>34</v>
      </c>
      <c r="J2780" t="s">
        <v>100</v>
      </c>
      <c r="K2780" s="2">
        <v>27280</v>
      </c>
      <c r="L2780" t="s">
        <v>36</v>
      </c>
      <c r="M2780" t="s">
        <v>48</v>
      </c>
      <c r="N2780" t="s">
        <v>49</v>
      </c>
      <c r="O2780" t="s">
        <v>67</v>
      </c>
      <c r="P2780" t="s">
        <v>40</v>
      </c>
      <c r="Q2780">
        <v>2</v>
      </c>
      <c r="R2780" s="2">
        <v>44971</v>
      </c>
      <c r="S2780">
        <v>4</v>
      </c>
      <c r="T2780">
        <v>2</v>
      </c>
      <c r="U2780">
        <v>3</v>
      </c>
      <c r="V2780" s="1">
        <v>44974</v>
      </c>
      <c r="W2780" t="s">
        <v>92</v>
      </c>
      <c r="X2780" t="s">
        <v>51</v>
      </c>
      <c r="Y2780" t="s">
        <v>52</v>
      </c>
      <c r="Z2780">
        <v>1</v>
      </c>
      <c r="AA2780">
        <v>388.02</v>
      </c>
      <c r="AB2780">
        <v>47</v>
      </c>
    </row>
    <row r="2781" spans="1:28" x14ac:dyDescent="0.2">
      <c r="A2781">
        <v>3352</v>
      </c>
      <c r="B2781" s="1">
        <v>44979</v>
      </c>
      <c r="C2781" t="s">
        <v>28</v>
      </c>
      <c r="D2781" t="s">
        <v>44</v>
      </c>
      <c r="E2781" t="s">
        <v>30</v>
      </c>
      <c r="F2781" t="s">
        <v>46</v>
      </c>
      <c r="G2781" t="s">
        <v>56</v>
      </c>
      <c r="H2781" t="s">
        <v>55</v>
      </c>
      <c r="I2781" t="s">
        <v>34</v>
      </c>
      <c r="J2781" t="s">
        <v>70</v>
      </c>
      <c r="K2781" s="2">
        <v>31507</v>
      </c>
      <c r="L2781" t="s">
        <v>36</v>
      </c>
      <c r="M2781" t="s">
        <v>48</v>
      </c>
      <c r="N2781" t="s">
        <v>60</v>
      </c>
      <c r="O2781" t="s">
        <v>61</v>
      </c>
      <c r="P2781" t="s">
        <v>40</v>
      </c>
      <c r="Q2781">
        <v>3</v>
      </c>
      <c r="R2781" s="2">
        <v>44948</v>
      </c>
      <c r="S2781">
        <v>2</v>
      </c>
      <c r="T2781">
        <v>5</v>
      </c>
      <c r="U2781">
        <v>2</v>
      </c>
      <c r="V2781" s="1">
        <v>45042</v>
      </c>
      <c r="W2781" t="s">
        <v>62</v>
      </c>
      <c r="X2781" t="s">
        <v>42</v>
      </c>
      <c r="Y2781" t="s">
        <v>43</v>
      </c>
      <c r="Z2781">
        <v>1</v>
      </c>
      <c r="AA2781">
        <v>140.61000000000001</v>
      </c>
      <c r="AB2781">
        <v>37</v>
      </c>
    </row>
    <row r="2782" spans="1:28" x14ac:dyDescent="0.2">
      <c r="A2782">
        <v>3353</v>
      </c>
      <c r="B2782" s="1">
        <v>43919</v>
      </c>
      <c r="C2782" t="s">
        <v>28</v>
      </c>
      <c r="D2782" t="s">
        <v>87</v>
      </c>
      <c r="E2782" t="s">
        <v>30</v>
      </c>
      <c r="F2782" t="s">
        <v>31</v>
      </c>
      <c r="G2782" t="s">
        <v>56</v>
      </c>
      <c r="H2782" t="s">
        <v>46</v>
      </c>
      <c r="I2782" t="s">
        <v>34</v>
      </c>
      <c r="J2782" t="s">
        <v>65</v>
      </c>
      <c r="K2782" s="2">
        <v>28652</v>
      </c>
      <c r="L2782" t="s">
        <v>36</v>
      </c>
      <c r="M2782" t="s">
        <v>37</v>
      </c>
      <c r="N2782" t="s">
        <v>49</v>
      </c>
      <c r="O2782" t="s">
        <v>67</v>
      </c>
      <c r="P2782" t="s">
        <v>40</v>
      </c>
      <c r="Q2782">
        <v>3</v>
      </c>
      <c r="R2782" s="2">
        <v>44937</v>
      </c>
      <c r="S2782">
        <v>2</v>
      </c>
      <c r="T2782">
        <v>3</v>
      </c>
      <c r="U2782">
        <v>2</v>
      </c>
      <c r="V2782" s="1">
        <v>44999</v>
      </c>
      <c r="W2782" t="s">
        <v>62</v>
      </c>
      <c r="X2782" t="s">
        <v>51</v>
      </c>
      <c r="Y2782" t="s">
        <v>52</v>
      </c>
      <c r="Z2782">
        <v>3</v>
      </c>
      <c r="AA2782">
        <v>749.47</v>
      </c>
      <c r="AB2782">
        <v>42</v>
      </c>
    </row>
    <row r="2783" spans="1:28" x14ac:dyDescent="0.2">
      <c r="A2783">
        <v>3354</v>
      </c>
      <c r="B2783" s="1">
        <v>44417</v>
      </c>
      <c r="C2783" t="s">
        <v>28</v>
      </c>
      <c r="D2783" t="s">
        <v>81</v>
      </c>
      <c r="E2783" t="s">
        <v>30</v>
      </c>
      <c r="F2783" t="s">
        <v>46</v>
      </c>
      <c r="G2783" t="s">
        <v>45</v>
      </c>
      <c r="H2783" t="s">
        <v>33</v>
      </c>
      <c r="I2783" t="s">
        <v>34</v>
      </c>
      <c r="J2783" t="s">
        <v>70</v>
      </c>
      <c r="K2783" s="2">
        <v>22392</v>
      </c>
      <c r="L2783" t="s">
        <v>36</v>
      </c>
      <c r="M2783" t="s">
        <v>37</v>
      </c>
      <c r="N2783" t="s">
        <v>84</v>
      </c>
      <c r="O2783" t="s">
        <v>61</v>
      </c>
      <c r="P2783" t="s">
        <v>40</v>
      </c>
      <c r="Q2783">
        <v>3</v>
      </c>
      <c r="R2783" s="2">
        <v>44806</v>
      </c>
      <c r="S2783">
        <v>1</v>
      </c>
      <c r="T2783">
        <v>4</v>
      </c>
      <c r="U2783">
        <v>1</v>
      </c>
      <c r="V2783" s="1">
        <v>44884</v>
      </c>
      <c r="W2783" t="s">
        <v>92</v>
      </c>
      <c r="X2783" t="s">
        <v>42</v>
      </c>
      <c r="Y2783" t="s">
        <v>52</v>
      </c>
      <c r="Z2783">
        <v>5</v>
      </c>
      <c r="AA2783">
        <v>503.22</v>
      </c>
      <c r="AB2783">
        <v>60</v>
      </c>
    </row>
    <row r="2784" spans="1:28" x14ac:dyDescent="0.2">
      <c r="A2784">
        <v>3355</v>
      </c>
      <c r="B2784" s="1">
        <v>44928</v>
      </c>
      <c r="C2784" t="s">
        <v>28</v>
      </c>
      <c r="D2784" t="s">
        <v>54</v>
      </c>
      <c r="E2784" t="s">
        <v>30</v>
      </c>
      <c r="F2784" t="s">
        <v>31</v>
      </c>
      <c r="G2784" t="s">
        <v>56</v>
      </c>
      <c r="H2784" t="s">
        <v>46</v>
      </c>
      <c r="I2784" t="s">
        <v>34</v>
      </c>
      <c r="J2784" t="s">
        <v>47</v>
      </c>
      <c r="K2784" s="2">
        <v>33292</v>
      </c>
      <c r="L2784" t="s">
        <v>36</v>
      </c>
      <c r="M2784" t="s">
        <v>37</v>
      </c>
      <c r="N2784" t="s">
        <v>38</v>
      </c>
      <c r="O2784" t="s">
        <v>77</v>
      </c>
      <c r="P2784" t="s">
        <v>40</v>
      </c>
      <c r="Q2784">
        <v>5</v>
      </c>
      <c r="R2784" s="2">
        <v>45115</v>
      </c>
      <c r="S2784">
        <v>1</v>
      </c>
      <c r="T2784">
        <v>3</v>
      </c>
      <c r="U2784">
        <v>3</v>
      </c>
      <c r="V2784" s="1">
        <v>45091</v>
      </c>
      <c r="W2784" t="s">
        <v>41</v>
      </c>
      <c r="X2784" t="s">
        <v>42</v>
      </c>
      <c r="Y2784" t="s">
        <v>73</v>
      </c>
      <c r="Z2784">
        <v>4</v>
      </c>
      <c r="AA2784">
        <v>492.21</v>
      </c>
      <c r="AB2784">
        <v>32</v>
      </c>
    </row>
    <row r="2785" spans="1:28" x14ac:dyDescent="0.2">
      <c r="A2785">
        <v>3356</v>
      </c>
      <c r="B2785" s="1">
        <v>43414</v>
      </c>
      <c r="C2785" t="s">
        <v>28</v>
      </c>
      <c r="D2785" t="s">
        <v>94</v>
      </c>
      <c r="E2785" t="s">
        <v>30</v>
      </c>
      <c r="F2785" t="s">
        <v>55</v>
      </c>
      <c r="G2785" t="s">
        <v>32</v>
      </c>
      <c r="H2785" t="s">
        <v>46</v>
      </c>
      <c r="I2785" t="s">
        <v>34</v>
      </c>
      <c r="J2785" t="s">
        <v>75</v>
      </c>
      <c r="K2785" s="2">
        <v>33464</v>
      </c>
      <c r="L2785" t="s">
        <v>36</v>
      </c>
      <c r="M2785" t="s">
        <v>37</v>
      </c>
      <c r="N2785" t="s">
        <v>84</v>
      </c>
      <c r="O2785" t="s">
        <v>67</v>
      </c>
      <c r="P2785" t="s">
        <v>98</v>
      </c>
      <c r="Q2785">
        <v>3</v>
      </c>
      <c r="R2785" s="2">
        <v>44783</v>
      </c>
      <c r="S2785">
        <v>2</v>
      </c>
      <c r="T2785">
        <v>5</v>
      </c>
      <c r="U2785">
        <v>1</v>
      </c>
      <c r="V2785" s="1">
        <v>44781</v>
      </c>
      <c r="W2785" t="s">
        <v>41</v>
      </c>
      <c r="X2785" t="s">
        <v>51</v>
      </c>
      <c r="Y2785" t="s">
        <v>63</v>
      </c>
      <c r="Z2785">
        <v>5</v>
      </c>
      <c r="AA2785">
        <v>890.94</v>
      </c>
      <c r="AB2785">
        <v>27</v>
      </c>
    </row>
    <row r="2786" spans="1:28" x14ac:dyDescent="0.2">
      <c r="A2786">
        <v>3357</v>
      </c>
      <c r="B2786" s="1">
        <v>44803</v>
      </c>
      <c r="C2786" t="s">
        <v>28</v>
      </c>
      <c r="D2786" t="s">
        <v>85</v>
      </c>
      <c r="E2786" t="s">
        <v>30</v>
      </c>
      <c r="F2786" t="s">
        <v>55</v>
      </c>
      <c r="G2786" t="s">
        <v>56</v>
      </c>
      <c r="H2786" t="s">
        <v>33</v>
      </c>
      <c r="I2786" t="s">
        <v>34</v>
      </c>
      <c r="J2786" t="s">
        <v>79</v>
      </c>
      <c r="K2786" s="2">
        <v>15562</v>
      </c>
      <c r="L2786" t="s">
        <v>36</v>
      </c>
      <c r="M2786" t="s">
        <v>48</v>
      </c>
      <c r="N2786" t="s">
        <v>84</v>
      </c>
      <c r="O2786" t="s">
        <v>67</v>
      </c>
      <c r="P2786" t="s">
        <v>78</v>
      </c>
      <c r="Q2786">
        <v>1</v>
      </c>
      <c r="R2786" s="2">
        <v>44902</v>
      </c>
      <c r="S2786">
        <v>3</v>
      </c>
      <c r="T2786">
        <v>3</v>
      </c>
      <c r="U2786">
        <v>1</v>
      </c>
      <c r="V2786" s="1">
        <v>45119</v>
      </c>
      <c r="W2786" t="s">
        <v>68</v>
      </c>
      <c r="X2786" t="s">
        <v>42</v>
      </c>
      <c r="Y2786" t="s">
        <v>43</v>
      </c>
      <c r="Z2786">
        <v>2</v>
      </c>
      <c r="AA2786">
        <v>621.29999999999995</v>
      </c>
      <c r="AB2786">
        <v>80</v>
      </c>
    </row>
    <row r="2787" spans="1:28" x14ac:dyDescent="0.2">
      <c r="A2787">
        <v>3359</v>
      </c>
      <c r="B2787" s="1">
        <v>44164</v>
      </c>
      <c r="C2787" t="s">
        <v>28</v>
      </c>
      <c r="D2787" t="s">
        <v>74</v>
      </c>
      <c r="E2787" t="s">
        <v>30</v>
      </c>
      <c r="F2787" t="s">
        <v>55</v>
      </c>
      <c r="G2787" t="s">
        <v>32</v>
      </c>
      <c r="H2787" t="s">
        <v>33</v>
      </c>
      <c r="I2787" t="s">
        <v>34</v>
      </c>
      <c r="J2787" t="s">
        <v>70</v>
      </c>
      <c r="K2787" s="2">
        <v>29259</v>
      </c>
      <c r="L2787" t="s">
        <v>36</v>
      </c>
      <c r="M2787" t="s">
        <v>48</v>
      </c>
      <c r="N2787" t="s">
        <v>49</v>
      </c>
      <c r="O2787" t="s">
        <v>67</v>
      </c>
      <c r="P2787" t="s">
        <v>78</v>
      </c>
      <c r="Q2787">
        <v>3</v>
      </c>
      <c r="R2787" s="2">
        <v>45045</v>
      </c>
      <c r="S2787">
        <v>3</v>
      </c>
      <c r="T2787">
        <v>1</v>
      </c>
      <c r="U2787">
        <v>3</v>
      </c>
      <c r="V2787" s="1">
        <v>45029</v>
      </c>
      <c r="W2787" t="s">
        <v>62</v>
      </c>
      <c r="X2787" t="s">
        <v>51</v>
      </c>
      <c r="Y2787" t="s">
        <v>73</v>
      </c>
      <c r="Z2787">
        <v>5</v>
      </c>
      <c r="AA2787">
        <v>886.07</v>
      </c>
      <c r="AB2787">
        <v>40</v>
      </c>
    </row>
    <row r="2788" spans="1:28" x14ac:dyDescent="0.2">
      <c r="A2788">
        <v>3360</v>
      </c>
      <c r="B2788" s="1">
        <v>44279</v>
      </c>
      <c r="C2788" t="s">
        <v>28</v>
      </c>
      <c r="D2788" t="s">
        <v>69</v>
      </c>
      <c r="E2788" t="s">
        <v>30</v>
      </c>
      <c r="F2788" t="s">
        <v>46</v>
      </c>
      <c r="G2788" t="s">
        <v>45</v>
      </c>
      <c r="H2788" t="s">
        <v>46</v>
      </c>
      <c r="I2788" t="s">
        <v>34</v>
      </c>
      <c r="J2788" t="s">
        <v>65</v>
      </c>
      <c r="K2788" s="2">
        <v>27169</v>
      </c>
      <c r="L2788" t="s">
        <v>36</v>
      </c>
      <c r="M2788" t="s">
        <v>37</v>
      </c>
      <c r="N2788" t="s">
        <v>84</v>
      </c>
      <c r="O2788" t="s">
        <v>67</v>
      </c>
      <c r="P2788" t="s">
        <v>78</v>
      </c>
      <c r="Q2788">
        <v>2</v>
      </c>
      <c r="R2788" s="2">
        <v>45102</v>
      </c>
      <c r="S2788">
        <v>4</v>
      </c>
      <c r="T2788">
        <v>4</v>
      </c>
      <c r="U2788">
        <v>1</v>
      </c>
      <c r="V2788" s="1">
        <v>44909</v>
      </c>
      <c r="W2788" t="s">
        <v>50</v>
      </c>
      <c r="X2788" t="s">
        <v>51</v>
      </c>
      <c r="Y2788" t="s">
        <v>73</v>
      </c>
      <c r="Z2788">
        <v>3</v>
      </c>
      <c r="AA2788">
        <v>740.89</v>
      </c>
      <c r="AB2788">
        <v>47</v>
      </c>
    </row>
    <row r="2789" spans="1:28" x14ac:dyDescent="0.2">
      <c r="A2789">
        <v>3361</v>
      </c>
      <c r="B2789" s="1">
        <v>44194</v>
      </c>
      <c r="C2789" t="s">
        <v>28</v>
      </c>
      <c r="D2789" t="s">
        <v>29</v>
      </c>
      <c r="E2789" t="s">
        <v>108</v>
      </c>
      <c r="F2789" t="s">
        <v>46</v>
      </c>
      <c r="G2789" t="s">
        <v>56</v>
      </c>
      <c r="H2789" t="s">
        <v>33</v>
      </c>
      <c r="I2789" t="s">
        <v>34</v>
      </c>
      <c r="J2789" t="s">
        <v>65</v>
      </c>
      <c r="K2789" s="2">
        <v>15983</v>
      </c>
      <c r="L2789" t="s">
        <v>36</v>
      </c>
      <c r="M2789" t="s">
        <v>37</v>
      </c>
      <c r="N2789" t="s">
        <v>60</v>
      </c>
      <c r="O2789" t="s">
        <v>61</v>
      </c>
      <c r="P2789" t="s">
        <v>78</v>
      </c>
      <c r="Q2789">
        <v>3</v>
      </c>
      <c r="R2789" s="2">
        <v>45008</v>
      </c>
      <c r="S2789">
        <v>1</v>
      </c>
      <c r="T2789">
        <v>3</v>
      </c>
      <c r="U2789">
        <v>3</v>
      </c>
      <c r="V2789" s="1">
        <v>44879</v>
      </c>
      <c r="W2789" t="s">
        <v>92</v>
      </c>
      <c r="X2789" t="s">
        <v>51</v>
      </c>
      <c r="Y2789" t="s">
        <v>73</v>
      </c>
      <c r="Z2789">
        <v>1</v>
      </c>
      <c r="AA2789">
        <v>921.81</v>
      </c>
      <c r="AB2789">
        <v>77</v>
      </c>
    </row>
    <row r="2790" spans="1:28" x14ac:dyDescent="0.2">
      <c r="A2790">
        <v>3362</v>
      </c>
      <c r="B2790" s="1">
        <v>44410</v>
      </c>
      <c r="C2790" t="s">
        <v>28</v>
      </c>
      <c r="D2790" t="s">
        <v>44</v>
      </c>
      <c r="E2790" t="s">
        <v>30</v>
      </c>
      <c r="F2790" t="s">
        <v>55</v>
      </c>
      <c r="G2790" t="s">
        <v>32</v>
      </c>
      <c r="H2790" t="s">
        <v>33</v>
      </c>
      <c r="I2790" t="s">
        <v>34</v>
      </c>
      <c r="J2790" t="s">
        <v>70</v>
      </c>
      <c r="K2790" s="2">
        <v>24786</v>
      </c>
      <c r="L2790" t="s">
        <v>36</v>
      </c>
      <c r="M2790" t="s">
        <v>37</v>
      </c>
      <c r="N2790" t="s">
        <v>84</v>
      </c>
      <c r="O2790" t="s">
        <v>39</v>
      </c>
      <c r="P2790" t="s">
        <v>78</v>
      </c>
      <c r="Q2790">
        <v>1</v>
      </c>
      <c r="R2790" s="2">
        <v>45004</v>
      </c>
      <c r="S2790">
        <v>1</v>
      </c>
      <c r="T2790">
        <v>5</v>
      </c>
      <c r="U2790">
        <v>1</v>
      </c>
      <c r="V2790" s="1">
        <v>45138</v>
      </c>
      <c r="W2790" t="s">
        <v>50</v>
      </c>
      <c r="X2790" t="s">
        <v>42</v>
      </c>
      <c r="Y2790" t="s">
        <v>73</v>
      </c>
      <c r="Z2790">
        <v>2</v>
      </c>
      <c r="AA2790">
        <v>348.84</v>
      </c>
      <c r="AB2790">
        <v>54</v>
      </c>
    </row>
    <row r="2791" spans="1:28" x14ac:dyDescent="0.2">
      <c r="A2791">
        <v>3363</v>
      </c>
      <c r="B2791" s="1">
        <v>44650</v>
      </c>
      <c r="C2791" t="s">
        <v>28</v>
      </c>
      <c r="D2791" t="s">
        <v>87</v>
      </c>
      <c r="E2791" t="s">
        <v>30</v>
      </c>
      <c r="F2791" t="s">
        <v>46</v>
      </c>
      <c r="G2791" t="s">
        <v>45</v>
      </c>
      <c r="H2791" t="s">
        <v>33</v>
      </c>
      <c r="I2791" t="s">
        <v>34</v>
      </c>
      <c r="J2791" t="s">
        <v>70</v>
      </c>
      <c r="K2791" s="2">
        <v>21027</v>
      </c>
      <c r="L2791" t="s">
        <v>36</v>
      </c>
      <c r="M2791" t="s">
        <v>48</v>
      </c>
      <c r="N2791" t="s">
        <v>72</v>
      </c>
      <c r="O2791" t="s">
        <v>67</v>
      </c>
      <c r="P2791" t="s">
        <v>78</v>
      </c>
      <c r="Q2791">
        <v>5</v>
      </c>
      <c r="R2791" s="2">
        <v>45099</v>
      </c>
      <c r="S2791">
        <v>4</v>
      </c>
      <c r="T2791">
        <v>4</v>
      </c>
      <c r="U2791">
        <v>2</v>
      </c>
      <c r="V2791" s="1">
        <v>45068</v>
      </c>
      <c r="W2791" t="s">
        <v>50</v>
      </c>
      <c r="X2791" t="s">
        <v>51</v>
      </c>
      <c r="Y2791" t="s">
        <v>63</v>
      </c>
      <c r="Z2791">
        <v>2</v>
      </c>
      <c r="AA2791">
        <v>826.15</v>
      </c>
      <c r="AB2791">
        <v>65</v>
      </c>
    </row>
    <row r="2792" spans="1:28" x14ac:dyDescent="0.2">
      <c r="A2792">
        <v>3364</v>
      </c>
      <c r="B2792" s="1">
        <v>44260</v>
      </c>
      <c r="C2792" t="s">
        <v>106</v>
      </c>
      <c r="D2792" t="s">
        <v>74</v>
      </c>
      <c r="E2792" t="s">
        <v>30</v>
      </c>
      <c r="F2792" t="s">
        <v>46</v>
      </c>
      <c r="G2792" t="s">
        <v>45</v>
      </c>
      <c r="H2792" t="s">
        <v>33</v>
      </c>
      <c r="I2792" t="s">
        <v>34</v>
      </c>
      <c r="J2792" t="s">
        <v>79</v>
      </c>
      <c r="K2792" s="2">
        <v>22072</v>
      </c>
      <c r="L2792" t="s">
        <v>36</v>
      </c>
      <c r="M2792" t="s">
        <v>37</v>
      </c>
      <c r="N2792" t="s">
        <v>49</v>
      </c>
      <c r="O2792" t="s">
        <v>61</v>
      </c>
      <c r="P2792" t="s">
        <v>78</v>
      </c>
      <c r="Q2792">
        <v>3</v>
      </c>
      <c r="R2792" s="2">
        <v>45003</v>
      </c>
      <c r="S2792">
        <v>1</v>
      </c>
      <c r="T2792">
        <v>5</v>
      </c>
      <c r="U2792">
        <v>2</v>
      </c>
      <c r="V2792" s="1">
        <v>44896</v>
      </c>
      <c r="W2792" t="s">
        <v>41</v>
      </c>
      <c r="X2792" t="s">
        <v>42</v>
      </c>
      <c r="Y2792" t="s">
        <v>63</v>
      </c>
      <c r="Z2792">
        <v>1</v>
      </c>
      <c r="AA2792">
        <v>205.35</v>
      </c>
      <c r="AB2792">
        <v>61</v>
      </c>
    </row>
    <row r="2793" spans="1:28" x14ac:dyDescent="0.2">
      <c r="A2793">
        <v>3365</v>
      </c>
      <c r="B2793" s="1">
        <v>44167</v>
      </c>
      <c r="C2793" t="s">
        <v>106</v>
      </c>
      <c r="D2793" t="s">
        <v>81</v>
      </c>
      <c r="E2793" t="s">
        <v>30</v>
      </c>
      <c r="F2793" t="s">
        <v>31</v>
      </c>
      <c r="G2793" t="s">
        <v>56</v>
      </c>
      <c r="H2793" t="s">
        <v>33</v>
      </c>
      <c r="I2793" t="s">
        <v>34</v>
      </c>
      <c r="J2793" t="s">
        <v>96</v>
      </c>
      <c r="K2793" s="2">
        <v>17711</v>
      </c>
      <c r="L2793" t="s">
        <v>36</v>
      </c>
      <c r="M2793" t="s">
        <v>48</v>
      </c>
      <c r="N2793" t="s">
        <v>84</v>
      </c>
      <c r="O2793" t="s">
        <v>77</v>
      </c>
      <c r="P2793" t="s">
        <v>40</v>
      </c>
      <c r="Q2793">
        <v>3</v>
      </c>
      <c r="R2793" s="2">
        <v>45132</v>
      </c>
      <c r="S2793">
        <v>1</v>
      </c>
      <c r="T2793">
        <v>1</v>
      </c>
      <c r="U2793">
        <v>4</v>
      </c>
      <c r="V2793" s="1">
        <v>44796</v>
      </c>
      <c r="W2793" t="s">
        <v>92</v>
      </c>
      <c r="X2793" t="s">
        <v>51</v>
      </c>
      <c r="Y2793" t="s">
        <v>52</v>
      </c>
      <c r="Z2793">
        <v>1</v>
      </c>
      <c r="AA2793">
        <v>349.86</v>
      </c>
      <c r="AB2793">
        <v>72</v>
      </c>
    </row>
    <row r="2794" spans="1:28" x14ac:dyDescent="0.2">
      <c r="A2794">
        <v>3366</v>
      </c>
      <c r="B2794" s="1">
        <v>43485</v>
      </c>
      <c r="C2794" t="s">
        <v>106</v>
      </c>
      <c r="D2794" t="s">
        <v>54</v>
      </c>
      <c r="E2794" t="s">
        <v>108</v>
      </c>
      <c r="F2794" t="s">
        <v>31</v>
      </c>
      <c r="G2794" t="s">
        <v>32</v>
      </c>
      <c r="H2794" t="s">
        <v>55</v>
      </c>
      <c r="I2794" t="s">
        <v>34</v>
      </c>
      <c r="J2794" t="s">
        <v>65</v>
      </c>
      <c r="K2794" s="2">
        <v>27894</v>
      </c>
      <c r="L2794" t="s">
        <v>36</v>
      </c>
      <c r="M2794" t="s">
        <v>48</v>
      </c>
      <c r="N2794" t="s">
        <v>72</v>
      </c>
      <c r="O2794" t="s">
        <v>39</v>
      </c>
      <c r="P2794" t="s">
        <v>78</v>
      </c>
      <c r="Q2794">
        <v>4</v>
      </c>
      <c r="R2794" s="2">
        <v>44794</v>
      </c>
      <c r="S2794">
        <v>4</v>
      </c>
      <c r="T2794">
        <v>5</v>
      </c>
      <c r="U2794">
        <v>5</v>
      </c>
      <c r="V2794" s="1">
        <v>44824</v>
      </c>
      <c r="W2794" t="s">
        <v>62</v>
      </c>
      <c r="X2794" t="s">
        <v>51</v>
      </c>
      <c r="Y2794" t="s">
        <v>73</v>
      </c>
      <c r="Z2794">
        <v>1</v>
      </c>
      <c r="AA2794">
        <v>546.47</v>
      </c>
      <c r="AB2794">
        <v>43</v>
      </c>
    </row>
    <row r="2795" spans="1:28" x14ac:dyDescent="0.2">
      <c r="A2795">
        <v>3367</v>
      </c>
      <c r="B2795" s="1">
        <v>43981</v>
      </c>
      <c r="C2795" t="s">
        <v>106</v>
      </c>
      <c r="D2795" t="s">
        <v>69</v>
      </c>
      <c r="E2795" t="s">
        <v>108</v>
      </c>
      <c r="F2795" t="s">
        <v>55</v>
      </c>
      <c r="G2795" t="s">
        <v>56</v>
      </c>
      <c r="H2795" t="s">
        <v>55</v>
      </c>
      <c r="I2795" t="s">
        <v>34</v>
      </c>
      <c r="J2795" t="s">
        <v>70</v>
      </c>
      <c r="K2795" s="2">
        <v>22935</v>
      </c>
      <c r="L2795" t="s">
        <v>36</v>
      </c>
      <c r="M2795" t="s">
        <v>48</v>
      </c>
      <c r="N2795" t="s">
        <v>60</v>
      </c>
      <c r="O2795" t="s">
        <v>61</v>
      </c>
      <c r="P2795" t="s">
        <v>78</v>
      </c>
      <c r="Q2795">
        <v>2</v>
      </c>
      <c r="R2795" s="2">
        <v>44815</v>
      </c>
      <c r="S2795">
        <v>4</v>
      </c>
      <c r="T2795">
        <v>1</v>
      </c>
      <c r="U2795">
        <v>5</v>
      </c>
      <c r="V2795" s="1">
        <v>45086</v>
      </c>
      <c r="W2795" t="s">
        <v>41</v>
      </c>
      <c r="X2795" t="s">
        <v>42</v>
      </c>
      <c r="Y2795" t="s">
        <v>73</v>
      </c>
      <c r="Z2795">
        <v>2</v>
      </c>
      <c r="AA2795">
        <v>448.21</v>
      </c>
      <c r="AB2795">
        <v>58</v>
      </c>
    </row>
    <row r="2796" spans="1:28" x14ac:dyDescent="0.2">
      <c r="A2796">
        <v>3370</v>
      </c>
      <c r="B2796" s="1">
        <v>44732</v>
      </c>
      <c r="C2796" t="s">
        <v>106</v>
      </c>
      <c r="D2796" t="s">
        <v>44</v>
      </c>
      <c r="E2796" t="s">
        <v>30</v>
      </c>
      <c r="F2796" t="s">
        <v>31</v>
      </c>
      <c r="G2796" t="s">
        <v>32</v>
      </c>
      <c r="H2796" t="s">
        <v>33</v>
      </c>
      <c r="I2796" t="s">
        <v>34</v>
      </c>
      <c r="J2796" t="s">
        <v>65</v>
      </c>
      <c r="K2796" s="2">
        <v>21424</v>
      </c>
      <c r="L2796" t="s">
        <v>36</v>
      </c>
      <c r="M2796" t="s">
        <v>37</v>
      </c>
      <c r="N2796" t="s">
        <v>84</v>
      </c>
      <c r="O2796" t="s">
        <v>39</v>
      </c>
      <c r="P2796" t="s">
        <v>78</v>
      </c>
      <c r="Q2796">
        <v>3</v>
      </c>
      <c r="R2796" s="2">
        <v>45137</v>
      </c>
      <c r="S2796">
        <v>3</v>
      </c>
      <c r="T2796">
        <v>5</v>
      </c>
      <c r="U2796">
        <v>3</v>
      </c>
      <c r="V2796" s="1">
        <v>45083</v>
      </c>
      <c r="W2796" t="s">
        <v>50</v>
      </c>
      <c r="X2796" t="s">
        <v>51</v>
      </c>
      <c r="Y2796" t="s">
        <v>63</v>
      </c>
      <c r="Z2796">
        <v>2</v>
      </c>
      <c r="AA2796">
        <v>264.88</v>
      </c>
      <c r="AB2796">
        <v>64</v>
      </c>
    </row>
    <row r="2797" spans="1:28" x14ac:dyDescent="0.2">
      <c r="A2797">
        <v>3371</v>
      </c>
      <c r="B2797" s="1">
        <v>44915</v>
      </c>
      <c r="C2797" t="s">
        <v>106</v>
      </c>
      <c r="D2797" t="s">
        <v>87</v>
      </c>
      <c r="E2797" t="s">
        <v>108</v>
      </c>
      <c r="F2797" t="s">
        <v>55</v>
      </c>
      <c r="G2797" t="s">
        <v>45</v>
      </c>
      <c r="H2797" t="s">
        <v>55</v>
      </c>
      <c r="I2797" t="s">
        <v>34</v>
      </c>
      <c r="J2797" t="s">
        <v>103</v>
      </c>
      <c r="K2797" s="2">
        <v>25894</v>
      </c>
      <c r="L2797" t="s">
        <v>36</v>
      </c>
      <c r="M2797" t="s">
        <v>37</v>
      </c>
      <c r="N2797" t="s">
        <v>49</v>
      </c>
      <c r="O2797" t="s">
        <v>67</v>
      </c>
      <c r="P2797" t="s">
        <v>78</v>
      </c>
      <c r="Q2797">
        <v>3</v>
      </c>
      <c r="R2797" s="2">
        <v>44781</v>
      </c>
      <c r="S2797">
        <v>4</v>
      </c>
      <c r="T2797">
        <v>2</v>
      </c>
      <c r="U2797">
        <v>5</v>
      </c>
      <c r="V2797" s="1">
        <v>44896</v>
      </c>
      <c r="W2797" t="s">
        <v>92</v>
      </c>
      <c r="X2797" t="s">
        <v>42</v>
      </c>
      <c r="Y2797" t="s">
        <v>73</v>
      </c>
      <c r="Z2797">
        <v>2</v>
      </c>
      <c r="AA2797">
        <v>210.15</v>
      </c>
      <c r="AB2797">
        <v>52</v>
      </c>
    </row>
    <row r="2798" spans="1:28" x14ac:dyDescent="0.2">
      <c r="A2798">
        <v>3372</v>
      </c>
      <c r="B2798" s="1">
        <v>44940</v>
      </c>
      <c r="C2798" t="s">
        <v>28</v>
      </c>
      <c r="D2798" t="s">
        <v>64</v>
      </c>
      <c r="E2798" t="s">
        <v>108</v>
      </c>
      <c r="F2798" t="s">
        <v>31</v>
      </c>
      <c r="G2798" t="s">
        <v>32</v>
      </c>
      <c r="H2798" t="s">
        <v>46</v>
      </c>
      <c r="I2798" t="s">
        <v>34</v>
      </c>
      <c r="J2798" t="s">
        <v>96</v>
      </c>
      <c r="K2798" s="2">
        <v>33751</v>
      </c>
      <c r="L2798" t="s">
        <v>36</v>
      </c>
      <c r="M2798" t="s">
        <v>37</v>
      </c>
      <c r="N2798" t="s">
        <v>84</v>
      </c>
      <c r="O2798" t="s">
        <v>77</v>
      </c>
      <c r="P2798" t="s">
        <v>40</v>
      </c>
      <c r="Q2798">
        <v>4</v>
      </c>
      <c r="R2798" s="2">
        <v>45120</v>
      </c>
      <c r="S2798">
        <v>1</v>
      </c>
      <c r="T2798">
        <v>3</v>
      </c>
      <c r="U2798">
        <v>1</v>
      </c>
      <c r="V2798" s="1">
        <v>45051</v>
      </c>
      <c r="W2798" t="s">
        <v>68</v>
      </c>
      <c r="X2798" t="s">
        <v>51</v>
      </c>
      <c r="Y2798" t="s">
        <v>73</v>
      </c>
      <c r="Z2798">
        <v>4</v>
      </c>
      <c r="AA2798">
        <v>627.17999999999995</v>
      </c>
      <c r="AB2798">
        <v>31</v>
      </c>
    </row>
    <row r="2799" spans="1:28" x14ac:dyDescent="0.2">
      <c r="A2799">
        <v>3373</v>
      </c>
      <c r="B2799" s="1">
        <v>43365</v>
      </c>
      <c r="C2799" t="s">
        <v>28</v>
      </c>
      <c r="D2799" t="s">
        <v>94</v>
      </c>
      <c r="E2799" t="s">
        <v>30</v>
      </c>
      <c r="F2799" t="s">
        <v>31</v>
      </c>
      <c r="G2799" t="s">
        <v>45</v>
      </c>
      <c r="H2799" t="s">
        <v>33</v>
      </c>
      <c r="I2799" t="s">
        <v>34</v>
      </c>
      <c r="J2799" t="s">
        <v>47</v>
      </c>
      <c r="K2799" s="2">
        <v>32545</v>
      </c>
      <c r="L2799" t="s">
        <v>36</v>
      </c>
      <c r="M2799" t="s">
        <v>48</v>
      </c>
      <c r="N2799" t="s">
        <v>60</v>
      </c>
      <c r="O2799" t="s">
        <v>67</v>
      </c>
      <c r="P2799" t="s">
        <v>78</v>
      </c>
      <c r="Q2799">
        <v>2</v>
      </c>
      <c r="R2799" s="2">
        <v>45141</v>
      </c>
      <c r="S2799">
        <v>2</v>
      </c>
      <c r="T2799">
        <v>4</v>
      </c>
      <c r="U2799">
        <v>4</v>
      </c>
      <c r="V2799" s="1">
        <v>44924</v>
      </c>
      <c r="W2799" t="s">
        <v>50</v>
      </c>
      <c r="X2799" t="s">
        <v>51</v>
      </c>
      <c r="Y2799" t="s">
        <v>52</v>
      </c>
      <c r="Z2799">
        <v>1</v>
      </c>
      <c r="AA2799">
        <v>575.41999999999996</v>
      </c>
      <c r="AB2799">
        <v>29</v>
      </c>
    </row>
    <row r="2800" spans="1:28" x14ac:dyDescent="0.2">
      <c r="A2800">
        <v>3374</v>
      </c>
      <c r="B2800" s="1">
        <v>44828</v>
      </c>
      <c r="C2800" t="s">
        <v>28</v>
      </c>
      <c r="D2800" t="s">
        <v>74</v>
      </c>
      <c r="E2800" t="s">
        <v>108</v>
      </c>
      <c r="F2800" t="s">
        <v>46</v>
      </c>
      <c r="G2800" t="s">
        <v>45</v>
      </c>
      <c r="H2800" t="s">
        <v>33</v>
      </c>
      <c r="I2800" t="s">
        <v>34</v>
      </c>
      <c r="J2800" t="s">
        <v>70</v>
      </c>
      <c r="K2800" s="2">
        <v>36498</v>
      </c>
      <c r="L2800" t="s">
        <v>36</v>
      </c>
      <c r="M2800" t="s">
        <v>48</v>
      </c>
      <c r="N2800" t="s">
        <v>49</v>
      </c>
      <c r="O2800" t="s">
        <v>77</v>
      </c>
      <c r="P2800" t="s">
        <v>78</v>
      </c>
      <c r="Q2800">
        <v>4</v>
      </c>
      <c r="R2800" s="2">
        <v>45002</v>
      </c>
      <c r="S2800">
        <v>1</v>
      </c>
      <c r="T2800">
        <v>3</v>
      </c>
      <c r="U2800">
        <v>3</v>
      </c>
      <c r="V2800" s="1">
        <v>44892</v>
      </c>
      <c r="W2800" t="s">
        <v>92</v>
      </c>
      <c r="X2800" t="s">
        <v>42</v>
      </c>
      <c r="Y2800" t="s">
        <v>63</v>
      </c>
      <c r="Z2800">
        <v>4</v>
      </c>
      <c r="AA2800">
        <v>123.64</v>
      </c>
      <c r="AB2800">
        <v>23</v>
      </c>
    </row>
    <row r="2801" spans="1:28" x14ac:dyDescent="0.2">
      <c r="A2801">
        <v>3375</v>
      </c>
      <c r="B2801" s="1">
        <v>43990</v>
      </c>
      <c r="C2801" t="s">
        <v>28</v>
      </c>
      <c r="D2801" t="s">
        <v>81</v>
      </c>
      <c r="E2801" t="s">
        <v>108</v>
      </c>
      <c r="F2801" t="s">
        <v>55</v>
      </c>
      <c r="G2801" t="s">
        <v>56</v>
      </c>
      <c r="H2801" t="s">
        <v>55</v>
      </c>
      <c r="I2801" t="s">
        <v>34</v>
      </c>
      <c r="J2801" t="s">
        <v>79</v>
      </c>
      <c r="K2801" s="2">
        <v>36423</v>
      </c>
      <c r="L2801" t="s">
        <v>36</v>
      </c>
      <c r="M2801" t="s">
        <v>37</v>
      </c>
      <c r="N2801" t="s">
        <v>72</v>
      </c>
      <c r="O2801" t="s">
        <v>77</v>
      </c>
      <c r="P2801" t="s">
        <v>78</v>
      </c>
      <c r="Q2801">
        <v>3</v>
      </c>
      <c r="R2801" s="2">
        <v>44950</v>
      </c>
      <c r="S2801">
        <v>2</v>
      </c>
      <c r="T2801">
        <v>4</v>
      </c>
      <c r="U2801">
        <v>3</v>
      </c>
      <c r="V2801" s="1">
        <v>45107</v>
      </c>
      <c r="W2801" t="s">
        <v>68</v>
      </c>
      <c r="X2801" t="s">
        <v>42</v>
      </c>
      <c r="Y2801" t="s">
        <v>43</v>
      </c>
      <c r="Z2801">
        <v>1</v>
      </c>
      <c r="AA2801">
        <v>655.61</v>
      </c>
      <c r="AB2801">
        <v>21</v>
      </c>
    </row>
    <row r="2802" spans="1:28" x14ac:dyDescent="0.2">
      <c r="A2802">
        <v>3376</v>
      </c>
      <c r="B2802" s="1">
        <v>45113</v>
      </c>
      <c r="C2802" t="s">
        <v>28</v>
      </c>
      <c r="D2802" t="s">
        <v>54</v>
      </c>
      <c r="E2802" t="s">
        <v>30</v>
      </c>
      <c r="F2802" t="s">
        <v>46</v>
      </c>
      <c r="G2802" t="s">
        <v>56</v>
      </c>
      <c r="H2802" t="s">
        <v>33</v>
      </c>
      <c r="I2802" t="s">
        <v>34</v>
      </c>
      <c r="J2802" t="s">
        <v>70</v>
      </c>
      <c r="K2802" s="2">
        <v>31727</v>
      </c>
      <c r="L2802" t="s">
        <v>36</v>
      </c>
      <c r="M2802" t="s">
        <v>37</v>
      </c>
      <c r="N2802" t="s">
        <v>84</v>
      </c>
      <c r="O2802" t="s">
        <v>61</v>
      </c>
      <c r="P2802" t="s">
        <v>78</v>
      </c>
      <c r="Q2802">
        <v>5</v>
      </c>
      <c r="R2802" s="2">
        <v>44792</v>
      </c>
      <c r="S2802">
        <v>4</v>
      </c>
      <c r="T2802">
        <v>1</v>
      </c>
      <c r="U2802">
        <v>2</v>
      </c>
      <c r="V2802" s="1">
        <v>44977</v>
      </c>
      <c r="W2802" t="s">
        <v>62</v>
      </c>
      <c r="X2802" t="s">
        <v>51</v>
      </c>
      <c r="Y2802" t="s">
        <v>52</v>
      </c>
      <c r="Z2802">
        <v>4</v>
      </c>
      <c r="AA2802">
        <v>410.54</v>
      </c>
      <c r="AB2802">
        <v>37</v>
      </c>
    </row>
    <row r="2803" spans="1:28" x14ac:dyDescent="0.2">
      <c r="A2803">
        <v>3377</v>
      </c>
      <c r="B2803" s="1">
        <v>43885</v>
      </c>
      <c r="C2803" t="s">
        <v>28</v>
      </c>
      <c r="D2803" t="s">
        <v>69</v>
      </c>
      <c r="E2803" t="s">
        <v>30</v>
      </c>
      <c r="F2803" t="s">
        <v>46</v>
      </c>
      <c r="G2803" t="s">
        <v>45</v>
      </c>
      <c r="H2803" t="s">
        <v>33</v>
      </c>
      <c r="I2803" t="s">
        <v>34</v>
      </c>
      <c r="J2803" t="s">
        <v>89</v>
      </c>
      <c r="K2803" s="2">
        <v>32757</v>
      </c>
      <c r="L2803" t="s">
        <v>36</v>
      </c>
      <c r="M2803" t="s">
        <v>37</v>
      </c>
      <c r="N2803" t="s">
        <v>84</v>
      </c>
      <c r="O2803" t="s">
        <v>39</v>
      </c>
      <c r="P2803" t="s">
        <v>78</v>
      </c>
      <c r="Q2803">
        <v>4</v>
      </c>
      <c r="R2803" s="2">
        <v>44914</v>
      </c>
      <c r="S2803">
        <v>3</v>
      </c>
      <c r="T2803">
        <v>5</v>
      </c>
      <c r="U2803">
        <v>3</v>
      </c>
      <c r="V2803" s="1">
        <v>44858</v>
      </c>
      <c r="W2803" t="s">
        <v>92</v>
      </c>
      <c r="X2803" t="s">
        <v>42</v>
      </c>
      <c r="Y2803" t="s">
        <v>63</v>
      </c>
      <c r="Z2803">
        <v>2</v>
      </c>
      <c r="AA2803">
        <v>485.17</v>
      </c>
      <c r="AB2803">
        <v>31</v>
      </c>
    </row>
    <row r="2804" spans="1:28" x14ac:dyDescent="0.2">
      <c r="A2804">
        <v>3378</v>
      </c>
      <c r="B2804" s="1">
        <v>44342</v>
      </c>
      <c r="C2804" t="s">
        <v>28</v>
      </c>
      <c r="D2804" t="s">
        <v>29</v>
      </c>
      <c r="E2804" t="s">
        <v>30</v>
      </c>
      <c r="F2804" t="s">
        <v>31</v>
      </c>
      <c r="G2804" t="s">
        <v>56</v>
      </c>
      <c r="H2804" t="s">
        <v>33</v>
      </c>
      <c r="I2804" t="s">
        <v>34</v>
      </c>
      <c r="J2804" t="s">
        <v>65</v>
      </c>
      <c r="K2804" s="2">
        <v>34216</v>
      </c>
      <c r="L2804" t="s">
        <v>36</v>
      </c>
      <c r="M2804" t="s">
        <v>37</v>
      </c>
      <c r="N2804" t="s">
        <v>38</v>
      </c>
      <c r="O2804" t="s">
        <v>61</v>
      </c>
      <c r="P2804" t="s">
        <v>78</v>
      </c>
      <c r="Q2804">
        <v>3</v>
      </c>
      <c r="R2804" s="2">
        <v>45028</v>
      </c>
      <c r="S2804">
        <v>5</v>
      </c>
      <c r="T2804">
        <v>1</v>
      </c>
      <c r="U2804">
        <v>4</v>
      </c>
      <c r="V2804" s="1">
        <v>45115</v>
      </c>
      <c r="W2804" t="s">
        <v>68</v>
      </c>
      <c r="X2804" t="s">
        <v>51</v>
      </c>
      <c r="Y2804" t="s">
        <v>73</v>
      </c>
      <c r="Z2804">
        <v>1</v>
      </c>
      <c r="AA2804">
        <v>731.18</v>
      </c>
      <c r="AB2804">
        <v>28</v>
      </c>
    </row>
    <row r="2805" spans="1:28" x14ac:dyDescent="0.2">
      <c r="A2805">
        <v>3380</v>
      </c>
      <c r="B2805" s="1">
        <v>45104</v>
      </c>
      <c r="C2805" t="s">
        <v>28</v>
      </c>
      <c r="D2805" t="s">
        <v>44</v>
      </c>
      <c r="E2805" t="s">
        <v>30</v>
      </c>
      <c r="F2805" t="s">
        <v>55</v>
      </c>
      <c r="G2805" t="s">
        <v>32</v>
      </c>
      <c r="H2805" t="s">
        <v>33</v>
      </c>
      <c r="I2805" t="s">
        <v>34</v>
      </c>
      <c r="J2805" t="s">
        <v>70</v>
      </c>
      <c r="K2805" s="2">
        <v>31035</v>
      </c>
      <c r="L2805" t="s">
        <v>36</v>
      </c>
      <c r="M2805" t="s">
        <v>48</v>
      </c>
      <c r="N2805" t="s">
        <v>72</v>
      </c>
      <c r="O2805" t="s">
        <v>39</v>
      </c>
      <c r="P2805" t="s">
        <v>78</v>
      </c>
      <c r="Q2805">
        <v>1</v>
      </c>
      <c r="R2805" s="2">
        <v>44809</v>
      </c>
      <c r="S2805">
        <v>4</v>
      </c>
      <c r="T2805">
        <v>3</v>
      </c>
      <c r="U2805">
        <v>2</v>
      </c>
      <c r="V2805" s="1">
        <v>44860</v>
      </c>
      <c r="W2805" t="s">
        <v>68</v>
      </c>
      <c r="X2805" t="s">
        <v>42</v>
      </c>
      <c r="Y2805" t="s">
        <v>52</v>
      </c>
      <c r="Z2805">
        <v>1</v>
      </c>
      <c r="AA2805">
        <v>399.81</v>
      </c>
      <c r="AB2805">
        <v>39</v>
      </c>
    </row>
    <row r="2806" spans="1:28" x14ac:dyDescent="0.2">
      <c r="A2806">
        <v>3381</v>
      </c>
      <c r="B2806" s="1">
        <v>44915</v>
      </c>
      <c r="C2806" t="s">
        <v>28</v>
      </c>
      <c r="D2806" t="s">
        <v>87</v>
      </c>
      <c r="E2806" t="s">
        <v>30</v>
      </c>
      <c r="F2806" t="s">
        <v>31</v>
      </c>
      <c r="G2806" t="s">
        <v>32</v>
      </c>
      <c r="H2806" t="s">
        <v>46</v>
      </c>
      <c r="I2806" t="s">
        <v>34</v>
      </c>
      <c r="J2806" t="s">
        <v>70</v>
      </c>
      <c r="K2806" s="2">
        <v>20057</v>
      </c>
      <c r="L2806" t="s">
        <v>36</v>
      </c>
      <c r="M2806" t="s">
        <v>48</v>
      </c>
      <c r="N2806" t="s">
        <v>38</v>
      </c>
      <c r="O2806" t="s">
        <v>61</v>
      </c>
      <c r="P2806" t="s">
        <v>78</v>
      </c>
      <c r="Q2806">
        <v>3</v>
      </c>
      <c r="R2806" s="2">
        <v>44837</v>
      </c>
      <c r="S2806">
        <v>1</v>
      </c>
      <c r="T2806">
        <v>5</v>
      </c>
      <c r="U2806">
        <v>2</v>
      </c>
      <c r="V2806" s="1">
        <v>44803</v>
      </c>
      <c r="W2806" t="s">
        <v>50</v>
      </c>
      <c r="X2806" t="s">
        <v>42</v>
      </c>
      <c r="Y2806" t="s">
        <v>52</v>
      </c>
      <c r="Z2806">
        <v>4</v>
      </c>
      <c r="AA2806">
        <v>604.05999999999995</v>
      </c>
      <c r="AB2806">
        <v>68</v>
      </c>
    </row>
    <row r="2807" spans="1:28" x14ac:dyDescent="0.2">
      <c r="A2807">
        <v>3382</v>
      </c>
      <c r="B2807" s="1">
        <v>43414</v>
      </c>
      <c r="C2807" t="s">
        <v>28</v>
      </c>
      <c r="D2807" t="s">
        <v>64</v>
      </c>
      <c r="E2807" t="s">
        <v>30</v>
      </c>
      <c r="F2807" t="s">
        <v>46</v>
      </c>
      <c r="G2807" t="s">
        <v>32</v>
      </c>
      <c r="H2807" t="s">
        <v>33</v>
      </c>
      <c r="I2807" t="s">
        <v>34</v>
      </c>
      <c r="J2807" t="s">
        <v>70</v>
      </c>
      <c r="K2807" s="2">
        <v>25708</v>
      </c>
      <c r="L2807" t="s">
        <v>36</v>
      </c>
      <c r="M2807" t="s">
        <v>48</v>
      </c>
      <c r="N2807" t="s">
        <v>60</v>
      </c>
      <c r="O2807" t="s">
        <v>77</v>
      </c>
      <c r="P2807" t="s">
        <v>78</v>
      </c>
      <c r="Q2807">
        <v>5</v>
      </c>
      <c r="R2807" s="2">
        <v>44875</v>
      </c>
      <c r="S2807">
        <v>3</v>
      </c>
      <c r="T2807">
        <v>5</v>
      </c>
      <c r="U2807">
        <v>5</v>
      </c>
      <c r="V2807" s="1">
        <v>45030</v>
      </c>
      <c r="W2807" t="s">
        <v>62</v>
      </c>
      <c r="X2807" t="s">
        <v>42</v>
      </c>
      <c r="Y2807" t="s">
        <v>43</v>
      </c>
      <c r="Z2807">
        <v>2</v>
      </c>
      <c r="AA2807">
        <v>815.35</v>
      </c>
      <c r="AB2807">
        <v>48</v>
      </c>
    </row>
    <row r="2808" spans="1:28" x14ac:dyDescent="0.2">
      <c r="A2808">
        <v>3383</v>
      </c>
      <c r="B2808" s="1">
        <v>44056</v>
      </c>
      <c r="C2808" t="s">
        <v>28</v>
      </c>
      <c r="D2808" t="s">
        <v>94</v>
      </c>
      <c r="E2808" t="s">
        <v>108</v>
      </c>
      <c r="F2808" t="s">
        <v>46</v>
      </c>
      <c r="G2808" t="s">
        <v>32</v>
      </c>
      <c r="H2808" t="s">
        <v>46</v>
      </c>
      <c r="I2808" t="s">
        <v>34</v>
      </c>
      <c r="J2808" t="s">
        <v>65</v>
      </c>
      <c r="K2808" s="2">
        <v>31138</v>
      </c>
      <c r="L2808" t="s">
        <v>36</v>
      </c>
      <c r="M2808" t="s">
        <v>37</v>
      </c>
      <c r="N2808" t="s">
        <v>49</v>
      </c>
      <c r="O2808" t="s">
        <v>77</v>
      </c>
      <c r="P2808" t="s">
        <v>78</v>
      </c>
      <c r="Q2808">
        <v>2</v>
      </c>
      <c r="R2808" s="2">
        <v>44877</v>
      </c>
      <c r="S2808">
        <v>3</v>
      </c>
      <c r="T2808">
        <v>2</v>
      </c>
      <c r="U2808">
        <v>3</v>
      </c>
      <c r="V2808" s="1">
        <v>44881</v>
      </c>
      <c r="W2808" t="s">
        <v>41</v>
      </c>
      <c r="X2808" t="s">
        <v>42</v>
      </c>
      <c r="Y2808" t="s">
        <v>43</v>
      </c>
      <c r="Z2808">
        <v>4</v>
      </c>
      <c r="AA2808">
        <v>750.79</v>
      </c>
      <c r="AB2808">
        <v>35</v>
      </c>
    </row>
    <row r="2809" spans="1:28" x14ac:dyDescent="0.2">
      <c r="A2809">
        <v>3384</v>
      </c>
      <c r="B2809" s="1">
        <v>43531</v>
      </c>
      <c r="C2809" t="s">
        <v>28</v>
      </c>
      <c r="D2809" t="s">
        <v>74</v>
      </c>
      <c r="E2809" t="s">
        <v>30</v>
      </c>
      <c r="F2809" t="s">
        <v>55</v>
      </c>
      <c r="G2809" t="s">
        <v>32</v>
      </c>
      <c r="H2809" t="s">
        <v>55</v>
      </c>
      <c r="I2809" t="s">
        <v>34</v>
      </c>
      <c r="J2809" t="s">
        <v>70</v>
      </c>
      <c r="K2809" s="2">
        <v>33437</v>
      </c>
      <c r="L2809" t="s">
        <v>36</v>
      </c>
      <c r="M2809" t="s">
        <v>37</v>
      </c>
      <c r="N2809" t="s">
        <v>49</v>
      </c>
      <c r="O2809" t="s">
        <v>67</v>
      </c>
      <c r="P2809" t="s">
        <v>40</v>
      </c>
      <c r="Q2809">
        <v>3</v>
      </c>
      <c r="R2809" s="2">
        <v>45104</v>
      </c>
      <c r="S2809">
        <v>2</v>
      </c>
      <c r="T2809">
        <v>1</v>
      </c>
      <c r="U2809">
        <v>2</v>
      </c>
      <c r="V2809" s="1">
        <v>44884</v>
      </c>
      <c r="W2809" t="s">
        <v>41</v>
      </c>
      <c r="X2809" t="s">
        <v>42</v>
      </c>
      <c r="Y2809" t="s">
        <v>73</v>
      </c>
      <c r="Z2809">
        <v>1</v>
      </c>
      <c r="AA2809">
        <v>981.44</v>
      </c>
      <c r="AB2809">
        <v>28</v>
      </c>
    </row>
    <row r="2810" spans="1:28" x14ac:dyDescent="0.2">
      <c r="A2810">
        <v>3385</v>
      </c>
      <c r="B2810" s="1">
        <v>44633</v>
      </c>
      <c r="C2810" t="s">
        <v>28</v>
      </c>
      <c r="D2810" t="s">
        <v>81</v>
      </c>
      <c r="E2810" t="s">
        <v>30</v>
      </c>
      <c r="F2810" t="s">
        <v>46</v>
      </c>
      <c r="G2810" t="s">
        <v>45</v>
      </c>
      <c r="H2810" t="s">
        <v>55</v>
      </c>
      <c r="I2810" t="s">
        <v>34</v>
      </c>
      <c r="J2810" t="s">
        <v>65</v>
      </c>
      <c r="K2810" s="2">
        <v>28681</v>
      </c>
      <c r="L2810" t="s">
        <v>36</v>
      </c>
      <c r="M2810" t="s">
        <v>37</v>
      </c>
      <c r="N2810" t="s">
        <v>60</v>
      </c>
      <c r="O2810" t="s">
        <v>77</v>
      </c>
      <c r="P2810" t="s">
        <v>40</v>
      </c>
      <c r="Q2810">
        <v>3</v>
      </c>
      <c r="R2810" s="2">
        <v>44916</v>
      </c>
      <c r="S2810">
        <v>2</v>
      </c>
      <c r="T2810">
        <v>1</v>
      </c>
      <c r="U2810">
        <v>4</v>
      </c>
      <c r="V2810" s="1">
        <v>44967</v>
      </c>
      <c r="W2810" t="s">
        <v>68</v>
      </c>
      <c r="X2810" t="s">
        <v>51</v>
      </c>
      <c r="Y2810" t="s">
        <v>43</v>
      </c>
      <c r="Z2810">
        <v>5</v>
      </c>
      <c r="AA2810">
        <v>553.4</v>
      </c>
      <c r="AB2810">
        <v>44</v>
      </c>
    </row>
    <row r="2811" spans="1:28" x14ac:dyDescent="0.2">
      <c r="A2811">
        <v>3386</v>
      </c>
      <c r="B2811" s="1">
        <v>43794</v>
      </c>
      <c r="C2811" t="s">
        <v>106</v>
      </c>
      <c r="D2811" t="s">
        <v>74</v>
      </c>
      <c r="E2811" t="s">
        <v>30</v>
      </c>
      <c r="F2811" t="s">
        <v>31</v>
      </c>
      <c r="G2811" t="s">
        <v>32</v>
      </c>
      <c r="H2811" t="s">
        <v>33</v>
      </c>
      <c r="I2811" t="s">
        <v>34</v>
      </c>
      <c r="J2811" t="s">
        <v>65</v>
      </c>
      <c r="K2811" s="2">
        <v>34748</v>
      </c>
      <c r="L2811" t="s">
        <v>36</v>
      </c>
      <c r="M2811" t="s">
        <v>37</v>
      </c>
      <c r="N2811" t="s">
        <v>49</v>
      </c>
      <c r="O2811" t="s">
        <v>39</v>
      </c>
      <c r="P2811" t="s">
        <v>40</v>
      </c>
      <c r="Q2811">
        <v>2</v>
      </c>
      <c r="R2811" s="2">
        <v>44927</v>
      </c>
      <c r="S2811">
        <v>2</v>
      </c>
      <c r="T2811">
        <v>1</v>
      </c>
      <c r="U2811">
        <v>5</v>
      </c>
      <c r="V2811" s="1">
        <v>44799</v>
      </c>
      <c r="W2811" t="s">
        <v>41</v>
      </c>
      <c r="X2811" t="s">
        <v>51</v>
      </c>
      <c r="Y2811" t="s">
        <v>52</v>
      </c>
      <c r="Z2811">
        <v>1</v>
      </c>
      <c r="AA2811">
        <v>348.3</v>
      </c>
      <c r="AB2811">
        <v>24</v>
      </c>
    </row>
    <row r="2812" spans="1:28" x14ac:dyDescent="0.2">
      <c r="A2812">
        <v>3387</v>
      </c>
      <c r="B2812" s="1">
        <v>43530</v>
      </c>
      <c r="C2812" t="s">
        <v>106</v>
      </c>
      <c r="D2812" t="s">
        <v>81</v>
      </c>
      <c r="E2812" t="s">
        <v>30</v>
      </c>
      <c r="F2812" t="s">
        <v>55</v>
      </c>
      <c r="G2812" t="s">
        <v>32</v>
      </c>
      <c r="H2812" t="s">
        <v>55</v>
      </c>
      <c r="I2812" t="s">
        <v>34</v>
      </c>
      <c r="J2812" t="s">
        <v>58</v>
      </c>
      <c r="K2812" s="2">
        <v>23942</v>
      </c>
      <c r="L2812" t="s">
        <v>36</v>
      </c>
      <c r="M2812" t="s">
        <v>48</v>
      </c>
      <c r="N2812" t="s">
        <v>60</v>
      </c>
      <c r="O2812" t="s">
        <v>39</v>
      </c>
      <c r="P2812" t="s">
        <v>40</v>
      </c>
      <c r="Q2812">
        <v>3</v>
      </c>
      <c r="R2812" s="2">
        <v>45035</v>
      </c>
      <c r="S2812">
        <v>1</v>
      </c>
      <c r="T2812">
        <v>3</v>
      </c>
      <c r="U2812">
        <v>4</v>
      </c>
      <c r="V2812" s="1">
        <v>44850</v>
      </c>
      <c r="W2812" t="s">
        <v>68</v>
      </c>
      <c r="X2812" t="s">
        <v>42</v>
      </c>
      <c r="Y2812" t="s">
        <v>63</v>
      </c>
      <c r="Z2812">
        <v>3</v>
      </c>
      <c r="AA2812">
        <v>912.09</v>
      </c>
      <c r="AB2812">
        <v>54</v>
      </c>
    </row>
    <row r="2813" spans="1:28" x14ac:dyDescent="0.2">
      <c r="A2813">
        <v>3388</v>
      </c>
      <c r="B2813" s="1">
        <v>43574</v>
      </c>
      <c r="C2813" t="s">
        <v>106</v>
      </c>
      <c r="D2813" t="s">
        <v>54</v>
      </c>
      <c r="E2813" t="s">
        <v>30</v>
      </c>
      <c r="F2813" t="s">
        <v>46</v>
      </c>
      <c r="G2813" t="s">
        <v>45</v>
      </c>
      <c r="H2813" t="s">
        <v>33</v>
      </c>
      <c r="I2813" t="s">
        <v>34</v>
      </c>
      <c r="J2813" t="s">
        <v>97</v>
      </c>
      <c r="K2813" s="2">
        <v>33133</v>
      </c>
      <c r="L2813" t="s">
        <v>36</v>
      </c>
      <c r="M2813" t="s">
        <v>48</v>
      </c>
      <c r="N2813" t="s">
        <v>72</v>
      </c>
      <c r="O2813" t="s">
        <v>77</v>
      </c>
      <c r="P2813" t="s">
        <v>40</v>
      </c>
      <c r="Q2813">
        <v>1</v>
      </c>
      <c r="R2813" s="2">
        <v>44843</v>
      </c>
      <c r="S2813">
        <v>3</v>
      </c>
      <c r="T2813">
        <v>1</v>
      </c>
      <c r="U2813">
        <v>3</v>
      </c>
      <c r="V2813" s="1">
        <v>44868</v>
      </c>
      <c r="W2813" t="s">
        <v>41</v>
      </c>
      <c r="X2813" t="s">
        <v>51</v>
      </c>
      <c r="Y2813" t="s">
        <v>43</v>
      </c>
      <c r="Z2813">
        <v>2</v>
      </c>
      <c r="AA2813">
        <v>278.04000000000002</v>
      </c>
      <c r="AB2813">
        <v>29</v>
      </c>
    </row>
    <row r="2814" spans="1:28" x14ac:dyDescent="0.2">
      <c r="A2814">
        <v>3389</v>
      </c>
      <c r="B2814" s="1">
        <v>44055</v>
      </c>
      <c r="C2814" t="s">
        <v>106</v>
      </c>
      <c r="D2814" t="s">
        <v>69</v>
      </c>
      <c r="E2814" t="s">
        <v>30</v>
      </c>
      <c r="F2814" t="s">
        <v>55</v>
      </c>
      <c r="G2814" t="s">
        <v>32</v>
      </c>
      <c r="H2814" t="s">
        <v>33</v>
      </c>
      <c r="I2814" t="s">
        <v>34</v>
      </c>
      <c r="J2814" t="s">
        <v>70</v>
      </c>
      <c r="K2814" s="2">
        <v>15882</v>
      </c>
      <c r="L2814" t="s">
        <v>36</v>
      </c>
      <c r="M2814" t="s">
        <v>48</v>
      </c>
      <c r="N2814" t="s">
        <v>84</v>
      </c>
      <c r="O2814" t="s">
        <v>67</v>
      </c>
      <c r="P2814" t="s">
        <v>40</v>
      </c>
      <c r="Q2814">
        <v>1</v>
      </c>
      <c r="R2814" s="2">
        <v>44968</v>
      </c>
      <c r="S2814">
        <v>2</v>
      </c>
      <c r="T2814">
        <v>3</v>
      </c>
      <c r="U2814">
        <v>1</v>
      </c>
      <c r="V2814" s="1">
        <v>44852</v>
      </c>
      <c r="W2814" t="s">
        <v>62</v>
      </c>
      <c r="X2814" t="s">
        <v>51</v>
      </c>
      <c r="Y2814" t="s">
        <v>63</v>
      </c>
      <c r="Z2814">
        <v>5</v>
      </c>
      <c r="AA2814">
        <v>812.22</v>
      </c>
      <c r="AB2814">
        <v>77</v>
      </c>
    </row>
    <row r="2815" spans="1:28" x14ac:dyDescent="0.2">
      <c r="A2815">
        <v>3391</v>
      </c>
      <c r="B2815" s="1">
        <v>43843</v>
      </c>
      <c r="C2815" t="s">
        <v>106</v>
      </c>
      <c r="D2815" t="s">
        <v>85</v>
      </c>
      <c r="E2815" t="s">
        <v>30</v>
      </c>
      <c r="F2815" t="s">
        <v>46</v>
      </c>
      <c r="G2815" t="s">
        <v>32</v>
      </c>
      <c r="H2815" t="s">
        <v>55</v>
      </c>
      <c r="I2815" t="s">
        <v>34</v>
      </c>
      <c r="J2815" t="s">
        <v>58</v>
      </c>
      <c r="K2815" s="2">
        <v>33546</v>
      </c>
      <c r="L2815" t="s">
        <v>36</v>
      </c>
      <c r="M2815" t="s">
        <v>37</v>
      </c>
      <c r="N2815" t="s">
        <v>72</v>
      </c>
      <c r="O2815" t="s">
        <v>77</v>
      </c>
      <c r="P2815" t="s">
        <v>40</v>
      </c>
      <c r="Q2815">
        <v>3</v>
      </c>
      <c r="R2815" s="2">
        <v>45112</v>
      </c>
      <c r="S2815">
        <v>4</v>
      </c>
      <c r="T2815">
        <v>3</v>
      </c>
      <c r="U2815">
        <v>1</v>
      </c>
      <c r="V2815" s="1">
        <v>45017</v>
      </c>
      <c r="W2815" t="s">
        <v>92</v>
      </c>
      <c r="X2815" t="s">
        <v>42</v>
      </c>
      <c r="Y2815" t="s">
        <v>52</v>
      </c>
      <c r="Z2815">
        <v>2</v>
      </c>
      <c r="AA2815">
        <v>374.13</v>
      </c>
      <c r="AB2815">
        <v>29</v>
      </c>
    </row>
    <row r="2816" spans="1:28" x14ac:dyDescent="0.2">
      <c r="A2816">
        <v>3392</v>
      </c>
      <c r="B2816" s="1">
        <v>43787</v>
      </c>
      <c r="C2816" t="s">
        <v>106</v>
      </c>
      <c r="D2816" t="s">
        <v>44</v>
      </c>
      <c r="E2816" t="s">
        <v>108</v>
      </c>
      <c r="F2816" t="s">
        <v>55</v>
      </c>
      <c r="G2816" t="s">
        <v>56</v>
      </c>
      <c r="H2816" t="s">
        <v>55</v>
      </c>
      <c r="I2816" t="s">
        <v>34</v>
      </c>
      <c r="J2816" t="s">
        <v>65</v>
      </c>
      <c r="K2816" s="2">
        <v>32202</v>
      </c>
      <c r="L2816" t="s">
        <v>36</v>
      </c>
      <c r="M2816" t="s">
        <v>37</v>
      </c>
      <c r="N2816" t="s">
        <v>60</v>
      </c>
      <c r="O2816" t="s">
        <v>61</v>
      </c>
      <c r="P2816" t="s">
        <v>40</v>
      </c>
      <c r="Q2816">
        <v>2</v>
      </c>
      <c r="R2816" s="2">
        <v>44836</v>
      </c>
      <c r="S2816">
        <v>3</v>
      </c>
      <c r="T2816">
        <v>4</v>
      </c>
      <c r="U2816">
        <v>2</v>
      </c>
      <c r="V2816" s="1">
        <v>44949</v>
      </c>
      <c r="W2816" t="s">
        <v>68</v>
      </c>
      <c r="X2816" t="s">
        <v>51</v>
      </c>
      <c r="Y2816" t="s">
        <v>63</v>
      </c>
      <c r="Z2816">
        <v>3</v>
      </c>
      <c r="AA2816">
        <v>319.39</v>
      </c>
      <c r="AB2816">
        <v>31</v>
      </c>
    </row>
    <row r="2817" spans="1:28" x14ac:dyDescent="0.2">
      <c r="A2817">
        <v>3393</v>
      </c>
      <c r="B2817" s="1">
        <v>43337</v>
      </c>
      <c r="C2817" t="s">
        <v>28</v>
      </c>
      <c r="D2817" t="s">
        <v>69</v>
      </c>
      <c r="E2817" t="s">
        <v>30</v>
      </c>
      <c r="F2817" t="s">
        <v>31</v>
      </c>
      <c r="G2817" t="s">
        <v>56</v>
      </c>
      <c r="H2817" t="s">
        <v>55</v>
      </c>
      <c r="I2817" t="s">
        <v>34</v>
      </c>
      <c r="J2817" t="s">
        <v>65</v>
      </c>
      <c r="K2817" s="2">
        <v>15496</v>
      </c>
      <c r="L2817" t="s">
        <v>36</v>
      </c>
      <c r="M2817" t="s">
        <v>37</v>
      </c>
      <c r="N2817" t="s">
        <v>49</v>
      </c>
      <c r="O2817" t="s">
        <v>67</v>
      </c>
      <c r="P2817" t="s">
        <v>98</v>
      </c>
      <c r="Q2817">
        <v>3</v>
      </c>
      <c r="R2817" s="2">
        <v>45067</v>
      </c>
      <c r="S2817">
        <v>3</v>
      </c>
      <c r="T2817">
        <v>4</v>
      </c>
      <c r="U2817">
        <v>4</v>
      </c>
      <c r="V2817" s="1">
        <v>45137</v>
      </c>
      <c r="W2817" t="s">
        <v>41</v>
      </c>
      <c r="X2817" t="s">
        <v>51</v>
      </c>
      <c r="Y2817" t="s">
        <v>73</v>
      </c>
      <c r="Z2817">
        <v>5</v>
      </c>
      <c r="AA2817">
        <v>538.79999999999995</v>
      </c>
      <c r="AB2817">
        <v>76</v>
      </c>
    </row>
    <row r="2818" spans="1:28" x14ac:dyDescent="0.2">
      <c r="A2818">
        <v>3394</v>
      </c>
      <c r="B2818" s="1">
        <v>44340</v>
      </c>
      <c r="C2818" t="s">
        <v>28</v>
      </c>
      <c r="D2818" t="s">
        <v>74</v>
      </c>
      <c r="E2818" t="s">
        <v>30</v>
      </c>
      <c r="F2818" t="s">
        <v>31</v>
      </c>
      <c r="G2818" t="s">
        <v>56</v>
      </c>
      <c r="H2818" t="s">
        <v>33</v>
      </c>
      <c r="I2818" t="s">
        <v>34</v>
      </c>
      <c r="J2818" t="s">
        <v>70</v>
      </c>
      <c r="K2818" s="2">
        <v>18052</v>
      </c>
      <c r="L2818" t="s">
        <v>36</v>
      </c>
      <c r="M2818" t="s">
        <v>48</v>
      </c>
      <c r="N2818" t="s">
        <v>72</v>
      </c>
      <c r="O2818" t="s">
        <v>77</v>
      </c>
      <c r="P2818" t="s">
        <v>40</v>
      </c>
      <c r="Q2818">
        <v>2</v>
      </c>
      <c r="R2818" s="2">
        <v>45022</v>
      </c>
      <c r="S2818">
        <v>1</v>
      </c>
      <c r="T2818">
        <v>5</v>
      </c>
      <c r="U2818">
        <v>5</v>
      </c>
      <c r="V2818" s="1">
        <v>44816</v>
      </c>
      <c r="W2818" t="s">
        <v>41</v>
      </c>
      <c r="X2818" t="s">
        <v>51</v>
      </c>
      <c r="Y2818" t="s">
        <v>52</v>
      </c>
      <c r="Z2818">
        <v>3</v>
      </c>
      <c r="AA2818">
        <v>845.75</v>
      </c>
      <c r="AB2818">
        <v>72</v>
      </c>
    </row>
    <row r="2819" spans="1:28" x14ac:dyDescent="0.2">
      <c r="A2819">
        <v>3395</v>
      </c>
      <c r="B2819" s="1">
        <v>44356</v>
      </c>
      <c r="C2819" t="s">
        <v>28</v>
      </c>
      <c r="D2819" t="s">
        <v>64</v>
      </c>
      <c r="E2819" t="s">
        <v>108</v>
      </c>
      <c r="F2819" t="s">
        <v>46</v>
      </c>
      <c r="G2819" t="s">
        <v>45</v>
      </c>
      <c r="H2819" t="s">
        <v>46</v>
      </c>
      <c r="I2819" t="s">
        <v>34</v>
      </c>
      <c r="J2819" t="s">
        <v>70</v>
      </c>
      <c r="K2819" s="2">
        <v>27434</v>
      </c>
      <c r="L2819" t="s">
        <v>36</v>
      </c>
      <c r="M2819" t="s">
        <v>37</v>
      </c>
      <c r="N2819" t="s">
        <v>60</v>
      </c>
      <c r="O2819" t="s">
        <v>39</v>
      </c>
      <c r="P2819" t="s">
        <v>98</v>
      </c>
      <c r="Q2819">
        <v>3</v>
      </c>
      <c r="R2819" s="2">
        <v>45076</v>
      </c>
      <c r="S2819">
        <v>4</v>
      </c>
      <c r="T2819">
        <v>4</v>
      </c>
      <c r="U2819">
        <v>3</v>
      </c>
      <c r="V2819" s="1">
        <v>44797</v>
      </c>
      <c r="W2819" t="s">
        <v>92</v>
      </c>
      <c r="X2819" t="s">
        <v>42</v>
      </c>
      <c r="Y2819" t="s">
        <v>43</v>
      </c>
      <c r="Z2819">
        <v>3</v>
      </c>
      <c r="AA2819">
        <v>745.69</v>
      </c>
      <c r="AB2819">
        <v>46</v>
      </c>
    </row>
    <row r="2820" spans="1:28" x14ac:dyDescent="0.2">
      <c r="A2820">
        <v>3396</v>
      </c>
      <c r="B2820" s="1">
        <v>44291</v>
      </c>
      <c r="C2820" t="s">
        <v>28</v>
      </c>
      <c r="D2820" t="s">
        <v>85</v>
      </c>
      <c r="E2820" t="s">
        <v>108</v>
      </c>
      <c r="F2820" t="s">
        <v>46</v>
      </c>
      <c r="G2820" t="s">
        <v>56</v>
      </c>
      <c r="H2820" t="s">
        <v>55</v>
      </c>
      <c r="I2820" t="s">
        <v>34</v>
      </c>
      <c r="J2820" t="s">
        <v>65</v>
      </c>
      <c r="K2820" s="2">
        <v>18232</v>
      </c>
      <c r="L2820" t="s">
        <v>36</v>
      </c>
      <c r="M2820" t="s">
        <v>37</v>
      </c>
      <c r="N2820" t="s">
        <v>84</v>
      </c>
      <c r="O2820" t="s">
        <v>67</v>
      </c>
      <c r="P2820" t="s">
        <v>40</v>
      </c>
      <c r="Q2820">
        <v>4</v>
      </c>
      <c r="R2820" s="2">
        <v>44817</v>
      </c>
      <c r="S2820">
        <v>4</v>
      </c>
      <c r="T2820">
        <v>3</v>
      </c>
      <c r="U2820">
        <v>3</v>
      </c>
      <c r="V2820" s="1">
        <v>45031</v>
      </c>
      <c r="W2820" t="s">
        <v>41</v>
      </c>
      <c r="X2820" t="s">
        <v>51</v>
      </c>
      <c r="Y2820" t="s">
        <v>73</v>
      </c>
      <c r="Z2820">
        <v>4</v>
      </c>
      <c r="AA2820">
        <v>743.92</v>
      </c>
      <c r="AB2820">
        <v>72</v>
      </c>
    </row>
    <row r="2821" spans="1:28" x14ac:dyDescent="0.2">
      <c r="A2821">
        <v>3397</v>
      </c>
      <c r="B2821" s="1">
        <v>44870</v>
      </c>
      <c r="C2821" t="s">
        <v>28</v>
      </c>
      <c r="D2821" t="s">
        <v>94</v>
      </c>
      <c r="E2821" t="s">
        <v>30</v>
      </c>
      <c r="F2821" t="s">
        <v>46</v>
      </c>
      <c r="G2821" t="s">
        <v>45</v>
      </c>
      <c r="H2821" t="s">
        <v>46</v>
      </c>
      <c r="I2821" t="s">
        <v>34</v>
      </c>
      <c r="J2821" t="s">
        <v>70</v>
      </c>
      <c r="K2821" s="2">
        <v>18168</v>
      </c>
      <c r="L2821" t="s">
        <v>36</v>
      </c>
      <c r="M2821" t="s">
        <v>37</v>
      </c>
      <c r="N2821" t="s">
        <v>84</v>
      </c>
      <c r="O2821" t="s">
        <v>61</v>
      </c>
      <c r="P2821" t="s">
        <v>40</v>
      </c>
      <c r="Q2821">
        <v>3</v>
      </c>
      <c r="R2821" s="2">
        <v>45007</v>
      </c>
      <c r="S2821">
        <v>3</v>
      </c>
      <c r="T2821">
        <v>3</v>
      </c>
      <c r="U2821">
        <v>2</v>
      </c>
      <c r="V2821" s="1">
        <v>44839</v>
      </c>
      <c r="W2821" t="s">
        <v>62</v>
      </c>
      <c r="X2821" t="s">
        <v>42</v>
      </c>
      <c r="Y2821" t="s">
        <v>52</v>
      </c>
      <c r="Z2821">
        <v>2</v>
      </c>
      <c r="AA2821">
        <v>826.58</v>
      </c>
      <c r="AB2821">
        <v>73</v>
      </c>
    </row>
    <row r="2822" spans="1:28" x14ac:dyDescent="0.2">
      <c r="A2822">
        <v>3398</v>
      </c>
      <c r="B2822" s="1">
        <v>43778</v>
      </c>
      <c r="C2822" t="s">
        <v>28</v>
      </c>
      <c r="D2822" t="s">
        <v>54</v>
      </c>
      <c r="E2822" t="s">
        <v>30</v>
      </c>
      <c r="F2822" t="s">
        <v>46</v>
      </c>
      <c r="G2822" t="s">
        <v>45</v>
      </c>
      <c r="H2822" t="s">
        <v>55</v>
      </c>
      <c r="I2822" t="s">
        <v>34</v>
      </c>
      <c r="J2822" t="s">
        <v>65</v>
      </c>
      <c r="K2822" s="2">
        <v>20800</v>
      </c>
      <c r="L2822" t="s">
        <v>36</v>
      </c>
      <c r="M2822" t="s">
        <v>37</v>
      </c>
      <c r="N2822" t="s">
        <v>60</v>
      </c>
      <c r="O2822" t="s">
        <v>61</v>
      </c>
      <c r="P2822" t="s">
        <v>40</v>
      </c>
      <c r="Q2822">
        <v>3</v>
      </c>
      <c r="R2822" s="2">
        <v>44788</v>
      </c>
      <c r="S2822">
        <v>5</v>
      </c>
      <c r="T2822">
        <v>2</v>
      </c>
      <c r="U2822">
        <v>1</v>
      </c>
      <c r="V2822" s="1">
        <v>44797</v>
      </c>
      <c r="W2822" t="s">
        <v>62</v>
      </c>
      <c r="X2822" t="s">
        <v>51</v>
      </c>
      <c r="Y2822" t="s">
        <v>73</v>
      </c>
      <c r="Z2822">
        <v>2</v>
      </c>
      <c r="AA2822">
        <v>155.61000000000001</v>
      </c>
      <c r="AB2822">
        <v>63</v>
      </c>
    </row>
    <row r="2823" spans="1:28" x14ac:dyDescent="0.2">
      <c r="A2823">
        <v>3399</v>
      </c>
      <c r="B2823" s="1">
        <v>44717</v>
      </c>
      <c r="C2823" t="s">
        <v>28</v>
      </c>
      <c r="D2823" t="s">
        <v>81</v>
      </c>
      <c r="E2823" t="s">
        <v>30</v>
      </c>
      <c r="F2823" t="s">
        <v>55</v>
      </c>
      <c r="G2823" t="s">
        <v>56</v>
      </c>
      <c r="H2823" t="s">
        <v>55</v>
      </c>
      <c r="I2823" t="s">
        <v>34</v>
      </c>
      <c r="J2823" t="s">
        <v>47</v>
      </c>
      <c r="K2823" s="2">
        <v>30737</v>
      </c>
      <c r="L2823" t="s">
        <v>36</v>
      </c>
      <c r="M2823" t="s">
        <v>37</v>
      </c>
      <c r="N2823" t="s">
        <v>38</v>
      </c>
      <c r="O2823" t="s">
        <v>39</v>
      </c>
      <c r="P2823" t="s">
        <v>40</v>
      </c>
      <c r="Q2823">
        <v>2</v>
      </c>
      <c r="R2823" s="2">
        <v>45069</v>
      </c>
      <c r="S2823">
        <v>4</v>
      </c>
      <c r="T2823">
        <v>4</v>
      </c>
      <c r="U2823">
        <v>5</v>
      </c>
      <c r="V2823" s="1">
        <v>44896</v>
      </c>
      <c r="W2823" t="s">
        <v>41</v>
      </c>
      <c r="X2823" t="s">
        <v>51</v>
      </c>
      <c r="Y2823" t="s">
        <v>43</v>
      </c>
      <c r="Z2823">
        <v>3</v>
      </c>
      <c r="AA2823">
        <v>898.26</v>
      </c>
      <c r="AB2823">
        <v>38</v>
      </c>
    </row>
    <row r="2824" spans="1:28" x14ac:dyDescent="0.2">
      <c r="A2824">
        <v>3400</v>
      </c>
      <c r="B2824" s="1">
        <v>44460</v>
      </c>
      <c r="C2824" t="s">
        <v>28</v>
      </c>
      <c r="D2824" t="s">
        <v>87</v>
      </c>
      <c r="E2824" t="s">
        <v>30</v>
      </c>
      <c r="F2824" t="s">
        <v>55</v>
      </c>
      <c r="G2824" t="s">
        <v>32</v>
      </c>
      <c r="H2824" t="s">
        <v>33</v>
      </c>
      <c r="I2824" t="s">
        <v>34</v>
      </c>
      <c r="J2824" t="s">
        <v>100</v>
      </c>
      <c r="K2824" s="2">
        <v>25723</v>
      </c>
      <c r="L2824" t="s">
        <v>36</v>
      </c>
      <c r="M2824" t="s">
        <v>37</v>
      </c>
      <c r="N2824" t="s">
        <v>72</v>
      </c>
      <c r="O2824" t="s">
        <v>77</v>
      </c>
      <c r="P2824" t="s">
        <v>40</v>
      </c>
      <c r="Q2824">
        <v>1</v>
      </c>
      <c r="R2824" s="2">
        <v>44925</v>
      </c>
      <c r="S2824">
        <v>2</v>
      </c>
      <c r="T2824">
        <v>5</v>
      </c>
      <c r="U2824">
        <v>3</v>
      </c>
      <c r="V2824" s="1">
        <v>45128</v>
      </c>
      <c r="W2824" t="s">
        <v>41</v>
      </c>
      <c r="X2824" t="s">
        <v>51</v>
      </c>
      <c r="Y2824" t="s">
        <v>73</v>
      </c>
      <c r="Z2824">
        <v>1</v>
      </c>
      <c r="AA2824">
        <v>639.05999999999995</v>
      </c>
      <c r="AB2824">
        <v>51</v>
      </c>
    </row>
    <row r="2825" spans="1:28" x14ac:dyDescent="0.2">
      <c r="A2825">
        <v>3402</v>
      </c>
      <c r="B2825" s="1">
        <v>44258</v>
      </c>
      <c r="C2825" t="s">
        <v>28</v>
      </c>
      <c r="D2825" t="s">
        <v>29</v>
      </c>
      <c r="E2825" t="s">
        <v>108</v>
      </c>
      <c r="F2825" t="s">
        <v>46</v>
      </c>
      <c r="G2825" t="s">
        <v>32</v>
      </c>
      <c r="H2825" t="s">
        <v>55</v>
      </c>
      <c r="I2825" t="s">
        <v>34</v>
      </c>
      <c r="J2825" t="s">
        <v>70</v>
      </c>
      <c r="K2825" s="2">
        <v>26267</v>
      </c>
      <c r="L2825" t="s">
        <v>36</v>
      </c>
      <c r="M2825" t="s">
        <v>48</v>
      </c>
      <c r="N2825" t="s">
        <v>72</v>
      </c>
      <c r="O2825" t="s">
        <v>61</v>
      </c>
      <c r="P2825" t="s">
        <v>40</v>
      </c>
      <c r="Q2825">
        <v>3</v>
      </c>
      <c r="R2825" s="2">
        <v>45039</v>
      </c>
      <c r="S2825">
        <v>1</v>
      </c>
      <c r="T2825">
        <v>4</v>
      </c>
      <c r="U2825">
        <v>4</v>
      </c>
      <c r="V2825" s="1">
        <v>45112</v>
      </c>
      <c r="W2825" t="s">
        <v>50</v>
      </c>
      <c r="X2825" t="s">
        <v>51</v>
      </c>
      <c r="Y2825" t="s">
        <v>52</v>
      </c>
      <c r="Z2825">
        <v>2</v>
      </c>
      <c r="AA2825">
        <v>783.25</v>
      </c>
      <c r="AB2825">
        <v>50</v>
      </c>
    </row>
    <row r="2826" spans="1:28" x14ac:dyDescent="0.2">
      <c r="A2826">
        <v>3403</v>
      </c>
      <c r="B2826" s="1">
        <v>44246</v>
      </c>
      <c r="C2826" t="s">
        <v>28</v>
      </c>
      <c r="D2826" t="s">
        <v>69</v>
      </c>
      <c r="E2826" t="s">
        <v>108</v>
      </c>
      <c r="F2826" t="s">
        <v>31</v>
      </c>
      <c r="G2826" t="s">
        <v>45</v>
      </c>
      <c r="H2826" t="s">
        <v>55</v>
      </c>
      <c r="I2826" t="s">
        <v>34</v>
      </c>
      <c r="J2826" t="s">
        <v>70</v>
      </c>
      <c r="K2826" s="2">
        <v>27640</v>
      </c>
      <c r="L2826" t="s">
        <v>36</v>
      </c>
      <c r="M2826" t="s">
        <v>37</v>
      </c>
      <c r="N2826" t="s">
        <v>84</v>
      </c>
      <c r="O2826" t="s">
        <v>67</v>
      </c>
      <c r="P2826" t="s">
        <v>78</v>
      </c>
      <c r="Q2826">
        <v>3</v>
      </c>
      <c r="R2826" s="2">
        <v>44991</v>
      </c>
      <c r="S2826">
        <v>4</v>
      </c>
      <c r="T2826">
        <v>4</v>
      </c>
      <c r="U2826">
        <v>3</v>
      </c>
      <c r="V2826" s="1">
        <v>45085</v>
      </c>
      <c r="W2826" t="s">
        <v>92</v>
      </c>
      <c r="X2826" t="s">
        <v>51</v>
      </c>
      <c r="Y2826" t="s">
        <v>63</v>
      </c>
      <c r="Z2826">
        <v>5</v>
      </c>
      <c r="AA2826">
        <v>406.68</v>
      </c>
      <c r="AB2826">
        <v>46</v>
      </c>
    </row>
    <row r="2827" spans="1:28" x14ac:dyDescent="0.2">
      <c r="A2827">
        <v>3406</v>
      </c>
      <c r="B2827" s="1">
        <v>43915</v>
      </c>
      <c r="C2827" t="s">
        <v>28</v>
      </c>
      <c r="D2827" t="s">
        <v>81</v>
      </c>
      <c r="E2827" t="s">
        <v>108</v>
      </c>
      <c r="F2827" t="s">
        <v>31</v>
      </c>
      <c r="G2827" t="s">
        <v>32</v>
      </c>
      <c r="H2827" t="s">
        <v>33</v>
      </c>
      <c r="I2827" t="s">
        <v>34</v>
      </c>
      <c r="J2827" t="s">
        <v>35</v>
      </c>
      <c r="K2827" s="2">
        <v>20226</v>
      </c>
      <c r="L2827" t="s">
        <v>36</v>
      </c>
      <c r="M2827" t="s">
        <v>37</v>
      </c>
      <c r="N2827" t="s">
        <v>60</v>
      </c>
      <c r="O2827" t="s">
        <v>61</v>
      </c>
      <c r="P2827" t="s">
        <v>40</v>
      </c>
      <c r="Q2827">
        <v>5</v>
      </c>
      <c r="R2827" s="2">
        <v>45123</v>
      </c>
      <c r="S2827">
        <v>5</v>
      </c>
      <c r="T2827">
        <v>5</v>
      </c>
      <c r="U2827">
        <v>4</v>
      </c>
      <c r="V2827" s="1">
        <v>45043</v>
      </c>
      <c r="W2827" t="s">
        <v>50</v>
      </c>
      <c r="X2827" t="s">
        <v>42</v>
      </c>
      <c r="Y2827" t="s">
        <v>52</v>
      </c>
      <c r="Z2827">
        <v>1</v>
      </c>
      <c r="AA2827">
        <v>538.94000000000005</v>
      </c>
      <c r="AB2827">
        <v>65</v>
      </c>
    </row>
    <row r="2828" spans="1:28" x14ac:dyDescent="0.2">
      <c r="A2828">
        <v>3407</v>
      </c>
      <c r="B2828" s="1">
        <v>44301</v>
      </c>
      <c r="C2828" t="s">
        <v>106</v>
      </c>
      <c r="D2828" t="s">
        <v>74</v>
      </c>
      <c r="E2828" t="s">
        <v>30</v>
      </c>
      <c r="F2828" t="s">
        <v>46</v>
      </c>
      <c r="G2828" t="s">
        <v>32</v>
      </c>
      <c r="H2828" t="s">
        <v>33</v>
      </c>
      <c r="I2828" t="s">
        <v>34</v>
      </c>
      <c r="J2828" t="s">
        <v>70</v>
      </c>
      <c r="K2828" s="2">
        <v>19416</v>
      </c>
      <c r="L2828" t="s">
        <v>36</v>
      </c>
      <c r="M2828" t="s">
        <v>37</v>
      </c>
      <c r="N2828" t="s">
        <v>84</v>
      </c>
      <c r="O2828" t="s">
        <v>61</v>
      </c>
      <c r="P2828" t="s">
        <v>40</v>
      </c>
      <c r="Q2828">
        <v>5</v>
      </c>
      <c r="R2828" s="2">
        <v>45055</v>
      </c>
      <c r="S2828">
        <v>1</v>
      </c>
      <c r="T2828">
        <v>3</v>
      </c>
      <c r="U2828">
        <v>5</v>
      </c>
      <c r="V2828" s="1">
        <v>44963</v>
      </c>
      <c r="W2828" t="s">
        <v>41</v>
      </c>
      <c r="X2828" t="s">
        <v>51</v>
      </c>
      <c r="Y2828" t="s">
        <v>52</v>
      </c>
      <c r="Z2828">
        <v>1</v>
      </c>
      <c r="AA2828">
        <v>501.87</v>
      </c>
      <c r="AB2828">
        <v>68</v>
      </c>
    </row>
    <row r="2829" spans="1:28" x14ac:dyDescent="0.2">
      <c r="A2829">
        <v>3408</v>
      </c>
      <c r="B2829" s="1">
        <v>44910</v>
      </c>
      <c r="C2829" t="s">
        <v>106</v>
      </c>
      <c r="D2829" t="s">
        <v>81</v>
      </c>
      <c r="E2829" t="s">
        <v>108</v>
      </c>
      <c r="F2829" t="s">
        <v>31</v>
      </c>
      <c r="G2829" t="s">
        <v>56</v>
      </c>
      <c r="H2829" t="s">
        <v>55</v>
      </c>
      <c r="I2829" t="s">
        <v>34</v>
      </c>
      <c r="J2829" t="s">
        <v>70</v>
      </c>
      <c r="K2829" s="2">
        <v>23749</v>
      </c>
      <c r="L2829" t="s">
        <v>36</v>
      </c>
      <c r="M2829" t="s">
        <v>48</v>
      </c>
      <c r="N2829" t="s">
        <v>84</v>
      </c>
      <c r="O2829" t="s">
        <v>77</v>
      </c>
      <c r="P2829" t="s">
        <v>40</v>
      </c>
      <c r="Q2829">
        <v>3</v>
      </c>
      <c r="R2829" s="2">
        <v>45079</v>
      </c>
      <c r="S2829">
        <v>2</v>
      </c>
      <c r="T2829">
        <v>2</v>
      </c>
      <c r="U2829">
        <v>4</v>
      </c>
      <c r="V2829" s="1">
        <v>44786</v>
      </c>
      <c r="W2829" t="s">
        <v>41</v>
      </c>
      <c r="X2829" t="s">
        <v>51</v>
      </c>
      <c r="Y2829" t="s">
        <v>43</v>
      </c>
      <c r="Z2829">
        <v>5</v>
      </c>
      <c r="AA2829">
        <v>877.62</v>
      </c>
      <c r="AB2829">
        <v>57</v>
      </c>
    </row>
    <row r="2830" spans="1:28" x14ac:dyDescent="0.2">
      <c r="A2830">
        <v>3409</v>
      </c>
      <c r="B2830" s="1">
        <v>44842</v>
      </c>
      <c r="C2830" t="s">
        <v>106</v>
      </c>
      <c r="D2830" t="s">
        <v>54</v>
      </c>
      <c r="E2830" t="s">
        <v>30</v>
      </c>
      <c r="F2830" t="s">
        <v>31</v>
      </c>
      <c r="G2830" t="s">
        <v>56</v>
      </c>
      <c r="H2830" t="s">
        <v>55</v>
      </c>
      <c r="I2830" t="s">
        <v>34</v>
      </c>
      <c r="J2830" t="s">
        <v>105</v>
      </c>
      <c r="K2830" s="2">
        <v>15780</v>
      </c>
      <c r="L2830" t="s">
        <v>36</v>
      </c>
      <c r="M2830" t="s">
        <v>48</v>
      </c>
      <c r="N2830" t="s">
        <v>84</v>
      </c>
      <c r="O2830" t="s">
        <v>77</v>
      </c>
      <c r="P2830" t="s">
        <v>40</v>
      </c>
      <c r="Q2830">
        <v>4</v>
      </c>
      <c r="R2830" s="2">
        <v>44837</v>
      </c>
      <c r="S2830">
        <v>5</v>
      </c>
      <c r="T2830">
        <v>5</v>
      </c>
      <c r="U2830">
        <v>4</v>
      </c>
      <c r="V2830" s="1">
        <v>45134</v>
      </c>
      <c r="W2830" t="s">
        <v>68</v>
      </c>
      <c r="X2830" t="s">
        <v>42</v>
      </c>
      <c r="Y2830" t="s">
        <v>43</v>
      </c>
      <c r="Z2830">
        <v>2</v>
      </c>
      <c r="AA2830">
        <v>575.11</v>
      </c>
      <c r="AB2830">
        <v>79</v>
      </c>
    </row>
    <row r="2831" spans="1:28" x14ac:dyDescent="0.2">
      <c r="A2831">
        <v>3410</v>
      </c>
      <c r="B2831" s="1">
        <v>43452</v>
      </c>
      <c r="C2831" t="s">
        <v>106</v>
      </c>
      <c r="D2831" t="s">
        <v>69</v>
      </c>
      <c r="E2831" t="s">
        <v>30</v>
      </c>
      <c r="F2831" t="s">
        <v>31</v>
      </c>
      <c r="G2831" t="s">
        <v>32</v>
      </c>
      <c r="H2831" t="s">
        <v>33</v>
      </c>
      <c r="I2831" t="s">
        <v>34</v>
      </c>
      <c r="J2831" t="s">
        <v>104</v>
      </c>
      <c r="K2831" s="2">
        <v>29409</v>
      </c>
      <c r="L2831" t="s">
        <v>36</v>
      </c>
      <c r="M2831" t="s">
        <v>48</v>
      </c>
      <c r="N2831" t="s">
        <v>49</v>
      </c>
      <c r="O2831" t="s">
        <v>39</v>
      </c>
      <c r="P2831" t="s">
        <v>40</v>
      </c>
      <c r="Q2831">
        <v>3</v>
      </c>
      <c r="R2831" s="2">
        <v>44808</v>
      </c>
      <c r="S2831">
        <v>4</v>
      </c>
      <c r="T2831">
        <v>3</v>
      </c>
      <c r="U2831">
        <v>4</v>
      </c>
      <c r="V2831" s="1">
        <v>44990</v>
      </c>
      <c r="W2831" t="s">
        <v>41</v>
      </c>
      <c r="X2831" t="s">
        <v>51</v>
      </c>
      <c r="Y2831" t="s">
        <v>43</v>
      </c>
      <c r="Z2831">
        <v>2</v>
      </c>
      <c r="AA2831">
        <v>729.76</v>
      </c>
      <c r="AB2831">
        <v>38</v>
      </c>
    </row>
    <row r="2832" spans="1:28" x14ac:dyDescent="0.2">
      <c r="A2832">
        <v>3411</v>
      </c>
      <c r="B2832" s="1">
        <v>44840</v>
      </c>
      <c r="C2832" t="s">
        <v>106</v>
      </c>
      <c r="D2832" t="s">
        <v>29</v>
      </c>
      <c r="E2832" t="s">
        <v>30</v>
      </c>
      <c r="F2832" t="s">
        <v>55</v>
      </c>
      <c r="G2832" t="s">
        <v>56</v>
      </c>
      <c r="H2832" t="s">
        <v>46</v>
      </c>
      <c r="I2832" t="s">
        <v>34</v>
      </c>
      <c r="J2832" t="s">
        <v>75</v>
      </c>
      <c r="K2832" s="2">
        <v>17977</v>
      </c>
      <c r="L2832" t="s">
        <v>36</v>
      </c>
      <c r="M2832" t="s">
        <v>37</v>
      </c>
      <c r="N2832" t="s">
        <v>84</v>
      </c>
      <c r="O2832" t="s">
        <v>61</v>
      </c>
      <c r="P2832" t="s">
        <v>40</v>
      </c>
      <c r="Q2832">
        <v>2</v>
      </c>
      <c r="R2832" s="2">
        <v>44864</v>
      </c>
      <c r="S2832">
        <v>2</v>
      </c>
      <c r="T2832">
        <v>3</v>
      </c>
      <c r="U2832">
        <v>2</v>
      </c>
      <c r="V2832" s="1">
        <v>45077</v>
      </c>
      <c r="W2832" t="s">
        <v>50</v>
      </c>
      <c r="X2832" t="s">
        <v>42</v>
      </c>
      <c r="Y2832" t="s">
        <v>52</v>
      </c>
      <c r="Z2832">
        <v>5</v>
      </c>
      <c r="AA2832">
        <v>961.53</v>
      </c>
      <c r="AB2832">
        <v>73</v>
      </c>
    </row>
    <row r="2833" spans="1:28" x14ac:dyDescent="0.2">
      <c r="A2833">
        <v>3412</v>
      </c>
      <c r="B2833" s="1">
        <v>43827</v>
      </c>
      <c r="C2833" t="s">
        <v>106</v>
      </c>
      <c r="D2833" t="s">
        <v>85</v>
      </c>
      <c r="E2833" t="s">
        <v>30</v>
      </c>
      <c r="F2833" t="s">
        <v>46</v>
      </c>
      <c r="G2833" t="s">
        <v>45</v>
      </c>
      <c r="H2833" t="s">
        <v>55</v>
      </c>
      <c r="I2833" t="s">
        <v>34</v>
      </c>
      <c r="J2833" t="s">
        <v>100</v>
      </c>
      <c r="K2833" s="2">
        <v>33317</v>
      </c>
      <c r="L2833" t="s">
        <v>36</v>
      </c>
      <c r="M2833" t="s">
        <v>37</v>
      </c>
      <c r="N2833" t="s">
        <v>38</v>
      </c>
      <c r="O2833" t="s">
        <v>77</v>
      </c>
      <c r="P2833" t="s">
        <v>78</v>
      </c>
      <c r="Q2833">
        <v>3</v>
      </c>
      <c r="R2833" s="2">
        <v>44828</v>
      </c>
      <c r="S2833">
        <v>5</v>
      </c>
      <c r="T2833">
        <v>4</v>
      </c>
      <c r="U2833">
        <v>4</v>
      </c>
      <c r="V2833" s="1">
        <v>44841</v>
      </c>
      <c r="W2833" t="s">
        <v>41</v>
      </c>
      <c r="X2833" t="s">
        <v>51</v>
      </c>
      <c r="Y2833" t="s">
        <v>52</v>
      </c>
      <c r="Z2833">
        <v>2</v>
      </c>
      <c r="AA2833">
        <v>966.67</v>
      </c>
      <c r="AB2833">
        <v>28</v>
      </c>
    </row>
    <row r="2834" spans="1:28" x14ac:dyDescent="0.2">
      <c r="A2834">
        <v>3413</v>
      </c>
      <c r="B2834" s="1">
        <v>43794</v>
      </c>
      <c r="C2834" t="s">
        <v>106</v>
      </c>
      <c r="D2834" t="s">
        <v>44</v>
      </c>
      <c r="E2834" t="s">
        <v>30</v>
      </c>
      <c r="F2834" t="s">
        <v>31</v>
      </c>
      <c r="G2834" t="s">
        <v>56</v>
      </c>
      <c r="H2834" t="s">
        <v>33</v>
      </c>
      <c r="I2834" t="s">
        <v>34</v>
      </c>
      <c r="J2834" t="s">
        <v>70</v>
      </c>
      <c r="K2834" s="2">
        <v>22995</v>
      </c>
      <c r="L2834" t="s">
        <v>36</v>
      </c>
      <c r="M2834" t="s">
        <v>37</v>
      </c>
      <c r="N2834" t="s">
        <v>38</v>
      </c>
      <c r="O2834" t="s">
        <v>61</v>
      </c>
      <c r="P2834" t="s">
        <v>40</v>
      </c>
      <c r="Q2834">
        <v>5</v>
      </c>
      <c r="R2834" s="2">
        <v>44917</v>
      </c>
      <c r="S2834">
        <v>1</v>
      </c>
      <c r="T2834">
        <v>2</v>
      </c>
      <c r="U2834">
        <v>5</v>
      </c>
      <c r="V2834" s="1">
        <v>45005</v>
      </c>
      <c r="W2834" t="s">
        <v>50</v>
      </c>
      <c r="X2834" t="s">
        <v>51</v>
      </c>
      <c r="Y2834" t="s">
        <v>73</v>
      </c>
      <c r="Z2834">
        <v>5</v>
      </c>
      <c r="AA2834">
        <v>394.1</v>
      </c>
      <c r="AB2834">
        <v>57</v>
      </c>
    </row>
    <row r="2835" spans="1:28" x14ac:dyDescent="0.2">
      <c r="A2835">
        <v>3414</v>
      </c>
      <c r="B2835" s="1">
        <v>44715</v>
      </c>
      <c r="C2835" t="s">
        <v>28</v>
      </c>
      <c r="D2835" t="s">
        <v>87</v>
      </c>
      <c r="E2835" t="s">
        <v>30</v>
      </c>
      <c r="F2835" t="s">
        <v>31</v>
      </c>
      <c r="G2835" t="s">
        <v>32</v>
      </c>
      <c r="H2835" t="s">
        <v>33</v>
      </c>
      <c r="I2835" t="s">
        <v>34</v>
      </c>
      <c r="J2835" t="s">
        <v>65</v>
      </c>
      <c r="K2835" s="2">
        <v>35919</v>
      </c>
      <c r="L2835" t="s">
        <v>36</v>
      </c>
      <c r="M2835" t="s">
        <v>37</v>
      </c>
      <c r="N2835" t="s">
        <v>49</v>
      </c>
      <c r="O2835" t="s">
        <v>67</v>
      </c>
      <c r="P2835" t="s">
        <v>78</v>
      </c>
      <c r="Q2835">
        <v>3</v>
      </c>
      <c r="R2835" s="2">
        <v>44963</v>
      </c>
      <c r="S2835">
        <v>5</v>
      </c>
      <c r="T2835">
        <v>2</v>
      </c>
      <c r="U2835">
        <v>4</v>
      </c>
      <c r="V2835" s="1">
        <v>45130</v>
      </c>
      <c r="W2835" t="s">
        <v>62</v>
      </c>
      <c r="X2835" t="s">
        <v>51</v>
      </c>
      <c r="Y2835" t="s">
        <v>52</v>
      </c>
      <c r="Z2835">
        <v>2</v>
      </c>
      <c r="AA2835">
        <v>616.09</v>
      </c>
      <c r="AB2835">
        <v>24</v>
      </c>
    </row>
    <row r="2836" spans="1:28" x14ac:dyDescent="0.2">
      <c r="A2836">
        <v>3415</v>
      </c>
      <c r="B2836" s="1">
        <v>44813</v>
      </c>
      <c r="C2836" t="s">
        <v>28</v>
      </c>
      <c r="D2836" t="s">
        <v>64</v>
      </c>
      <c r="E2836" t="s">
        <v>108</v>
      </c>
      <c r="F2836" t="s">
        <v>55</v>
      </c>
      <c r="G2836" t="s">
        <v>45</v>
      </c>
      <c r="H2836" t="s">
        <v>46</v>
      </c>
      <c r="I2836" t="s">
        <v>34</v>
      </c>
      <c r="J2836" t="s">
        <v>89</v>
      </c>
      <c r="K2836" s="2">
        <v>27316</v>
      </c>
      <c r="L2836" t="s">
        <v>36</v>
      </c>
      <c r="M2836" t="s">
        <v>48</v>
      </c>
      <c r="N2836" t="s">
        <v>49</v>
      </c>
      <c r="O2836" t="s">
        <v>39</v>
      </c>
      <c r="P2836" t="s">
        <v>40</v>
      </c>
      <c r="Q2836">
        <v>3</v>
      </c>
      <c r="R2836" s="2">
        <v>45085</v>
      </c>
      <c r="S2836">
        <v>2</v>
      </c>
      <c r="T2836">
        <v>5</v>
      </c>
      <c r="U2836">
        <v>1</v>
      </c>
      <c r="V2836" s="1">
        <v>44820</v>
      </c>
      <c r="W2836" t="s">
        <v>41</v>
      </c>
      <c r="X2836" t="s">
        <v>42</v>
      </c>
      <c r="Y2836" t="s">
        <v>63</v>
      </c>
      <c r="Z2836">
        <v>4</v>
      </c>
      <c r="AA2836">
        <v>103.35</v>
      </c>
      <c r="AB2836">
        <v>48</v>
      </c>
    </row>
    <row r="2837" spans="1:28" x14ac:dyDescent="0.2">
      <c r="A2837">
        <v>3416</v>
      </c>
      <c r="B2837" s="1">
        <v>44106</v>
      </c>
      <c r="C2837" t="s">
        <v>28</v>
      </c>
      <c r="D2837" t="s">
        <v>69</v>
      </c>
      <c r="E2837" t="s">
        <v>30</v>
      </c>
      <c r="F2837" t="s">
        <v>55</v>
      </c>
      <c r="G2837" t="s">
        <v>56</v>
      </c>
      <c r="H2837" t="s">
        <v>46</v>
      </c>
      <c r="I2837" t="s">
        <v>34</v>
      </c>
      <c r="J2837" t="s">
        <v>35</v>
      </c>
      <c r="K2837" s="2">
        <v>33956</v>
      </c>
      <c r="L2837" t="s">
        <v>36</v>
      </c>
      <c r="M2837" t="s">
        <v>48</v>
      </c>
      <c r="N2837" t="s">
        <v>84</v>
      </c>
      <c r="O2837" t="s">
        <v>67</v>
      </c>
      <c r="P2837" t="s">
        <v>40</v>
      </c>
      <c r="Q2837">
        <v>2</v>
      </c>
      <c r="R2837" s="2">
        <v>44799</v>
      </c>
      <c r="S2837">
        <v>1</v>
      </c>
      <c r="T2837">
        <v>2</v>
      </c>
      <c r="U2837">
        <v>1</v>
      </c>
      <c r="V2837" s="1">
        <v>44975</v>
      </c>
      <c r="W2837" t="s">
        <v>41</v>
      </c>
      <c r="X2837" t="s">
        <v>51</v>
      </c>
      <c r="Y2837" t="s">
        <v>52</v>
      </c>
      <c r="Z2837">
        <v>5</v>
      </c>
      <c r="AA2837">
        <v>488.05</v>
      </c>
      <c r="AB2837">
        <v>28</v>
      </c>
    </row>
    <row r="2838" spans="1:28" x14ac:dyDescent="0.2">
      <c r="A2838">
        <v>3417</v>
      </c>
      <c r="B2838" s="1">
        <v>44599</v>
      </c>
      <c r="C2838" t="s">
        <v>28</v>
      </c>
      <c r="D2838" t="s">
        <v>29</v>
      </c>
      <c r="E2838" t="s">
        <v>30</v>
      </c>
      <c r="F2838" t="s">
        <v>46</v>
      </c>
      <c r="G2838" t="s">
        <v>45</v>
      </c>
      <c r="H2838" t="s">
        <v>46</v>
      </c>
      <c r="I2838" t="s">
        <v>34</v>
      </c>
      <c r="J2838" t="s">
        <v>89</v>
      </c>
      <c r="K2838" s="2">
        <v>36795</v>
      </c>
      <c r="L2838" t="s">
        <v>36</v>
      </c>
      <c r="M2838" t="s">
        <v>37</v>
      </c>
      <c r="N2838" t="s">
        <v>60</v>
      </c>
      <c r="O2838" t="s">
        <v>39</v>
      </c>
      <c r="P2838" t="s">
        <v>40</v>
      </c>
      <c r="Q2838">
        <v>1</v>
      </c>
      <c r="R2838" s="2">
        <v>45067</v>
      </c>
      <c r="S2838">
        <v>2</v>
      </c>
      <c r="T2838">
        <v>5</v>
      </c>
      <c r="U2838">
        <v>5</v>
      </c>
      <c r="V2838" s="1">
        <v>44995</v>
      </c>
      <c r="W2838" t="s">
        <v>62</v>
      </c>
      <c r="X2838" t="s">
        <v>51</v>
      </c>
      <c r="Y2838" t="s">
        <v>52</v>
      </c>
      <c r="Z2838">
        <v>5</v>
      </c>
      <c r="AA2838">
        <v>906.21</v>
      </c>
      <c r="AB2838">
        <v>22</v>
      </c>
    </row>
    <row r="2839" spans="1:28" x14ac:dyDescent="0.2">
      <c r="A2839">
        <v>3418</v>
      </c>
      <c r="B2839" s="1">
        <v>44848</v>
      </c>
      <c r="C2839" t="s">
        <v>28</v>
      </c>
      <c r="D2839" t="s">
        <v>44</v>
      </c>
      <c r="E2839" t="s">
        <v>30</v>
      </c>
      <c r="F2839" t="s">
        <v>46</v>
      </c>
      <c r="G2839" t="s">
        <v>56</v>
      </c>
      <c r="H2839" t="s">
        <v>33</v>
      </c>
      <c r="I2839" t="s">
        <v>34</v>
      </c>
      <c r="J2839" t="s">
        <v>65</v>
      </c>
      <c r="K2839" s="2">
        <v>35289</v>
      </c>
      <c r="L2839" t="s">
        <v>36</v>
      </c>
      <c r="M2839" t="s">
        <v>37</v>
      </c>
      <c r="N2839" t="s">
        <v>84</v>
      </c>
      <c r="O2839" t="s">
        <v>39</v>
      </c>
      <c r="P2839" t="s">
        <v>40</v>
      </c>
      <c r="Q2839">
        <v>4</v>
      </c>
      <c r="R2839" s="2">
        <v>45103</v>
      </c>
      <c r="S2839">
        <v>5</v>
      </c>
      <c r="T2839">
        <v>3</v>
      </c>
      <c r="U2839">
        <v>4</v>
      </c>
      <c r="V2839" s="1">
        <v>45092</v>
      </c>
      <c r="W2839" t="s">
        <v>68</v>
      </c>
      <c r="X2839" t="s">
        <v>42</v>
      </c>
      <c r="Y2839" t="s">
        <v>63</v>
      </c>
      <c r="Z2839">
        <v>4</v>
      </c>
      <c r="AA2839">
        <v>397.08</v>
      </c>
      <c r="AB2839">
        <v>26</v>
      </c>
    </row>
    <row r="2840" spans="1:28" x14ac:dyDescent="0.2">
      <c r="A2840">
        <v>3419</v>
      </c>
      <c r="B2840" s="1">
        <v>43752</v>
      </c>
      <c r="C2840" t="s">
        <v>28</v>
      </c>
      <c r="D2840" t="s">
        <v>87</v>
      </c>
      <c r="E2840" t="s">
        <v>30</v>
      </c>
      <c r="F2840" t="s">
        <v>31</v>
      </c>
      <c r="G2840" t="s">
        <v>32</v>
      </c>
      <c r="H2840" t="s">
        <v>33</v>
      </c>
      <c r="I2840" t="s">
        <v>34</v>
      </c>
      <c r="J2840" t="s">
        <v>65</v>
      </c>
      <c r="K2840" s="2">
        <v>19333</v>
      </c>
      <c r="L2840" t="s">
        <v>36</v>
      </c>
      <c r="M2840" t="s">
        <v>37</v>
      </c>
      <c r="N2840" t="s">
        <v>72</v>
      </c>
      <c r="O2840" t="s">
        <v>77</v>
      </c>
      <c r="P2840" t="s">
        <v>40</v>
      </c>
      <c r="Q2840">
        <v>2</v>
      </c>
      <c r="R2840" s="2">
        <v>44890</v>
      </c>
      <c r="S2840">
        <v>2</v>
      </c>
      <c r="T2840">
        <v>5</v>
      </c>
      <c r="U2840">
        <v>2</v>
      </c>
      <c r="V2840" s="1">
        <v>45064</v>
      </c>
      <c r="W2840" t="s">
        <v>62</v>
      </c>
      <c r="X2840" t="s">
        <v>51</v>
      </c>
      <c r="Y2840" t="s">
        <v>73</v>
      </c>
      <c r="Z2840">
        <v>3</v>
      </c>
      <c r="AA2840">
        <v>999.72</v>
      </c>
      <c r="AB2840">
        <v>67</v>
      </c>
    </row>
    <row r="2841" spans="1:28" x14ac:dyDescent="0.2">
      <c r="A2841">
        <v>3420</v>
      </c>
      <c r="B2841" s="1">
        <v>44114</v>
      </c>
      <c r="C2841" t="s">
        <v>28</v>
      </c>
      <c r="D2841" t="s">
        <v>81</v>
      </c>
      <c r="E2841" t="s">
        <v>30</v>
      </c>
      <c r="F2841" t="s">
        <v>31</v>
      </c>
      <c r="G2841" t="s">
        <v>45</v>
      </c>
      <c r="H2841" t="s">
        <v>55</v>
      </c>
      <c r="I2841" t="s">
        <v>34</v>
      </c>
      <c r="J2841" t="s">
        <v>70</v>
      </c>
      <c r="K2841" s="2">
        <v>16294</v>
      </c>
      <c r="L2841" t="s">
        <v>36</v>
      </c>
      <c r="M2841" t="s">
        <v>37</v>
      </c>
      <c r="N2841" t="s">
        <v>60</v>
      </c>
      <c r="O2841" t="s">
        <v>67</v>
      </c>
      <c r="P2841" t="s">
        <v>40</v>
      </c>
      <c r="Q2841">
        <v>2</v>
      </c>
      <c r="R2841" s="2">
        <v>44993</v>
      </c>
      <c r="S2841">
        <v>2</v>
      </c>
      <c r="T2841">
        <v>3</v>
      </c>
      <c r="U2841">
        <v>3</v>
      </c>
      <c r="V2841" s="1">
        <v>44910</v>
      </c>
      <c r="W2841" t="s">
        <v>62</v>
      </c>
      <c r="X2841" t="s">
        <v>51</v>
      </c>
      <c r="Y2841" t="s">
        <v>73</v>
      </c>
      <c r="Z2841">
        <v>2</v>
      </c>
      <c r="AA2841">
        <v>489.02</v>
      </c>
      <c r="AB2841">
        <v>76</v>
      </c>
    </row>
    <row r="2842" spans="1:28" x14ac:dyDescent="0.2">
      <c r="A2842">
        <v>3421</v>
      </c>
      <c r="B2842" s="1">
        <v>44690</v>
      </c>
      <c r="C2842" t="s">
        <v>28</v>
      </c>
      <c r="D2842" t="s">
        <v>54</v>
      </c>
      <c r="E2842" t="s">
        <v>30</v>
      </c>
      <c r="F2842" t="s">
        <v>46</v>
      </c>
      <c r="G2842" t="s">
        <v>45</v>
      </c>
      <c r="H2842" t="s">
        <v>46</v>
      </c>
      <c r="I2842" t="s">
        <v>34</v>
      </c>
      <c r="J2842" t="s">
        <v>103</v>
      </c>
      <c r="K2842" s="2">
        <v>21712</v>
      </c>
      <c r="L2842" t="s">
        <v>36</v>
      </c>
      <c r="M2842" t="s">
        <v>37</v>
      </c>
      <c r="N2842" t="s">
        <v>60</v>
      </c>
      <c r="O2842" t="s">
        <v>77</v>
      </c>
      <c r="P2842" t="s">
        <v>40</v>
      </c>
      <c r="Q2842">
        <v>1</v>
      </c>
      <c r="R2842" s="2">
        <v>44972</v>
      </c>
      <c r="S2842">
        <v>5</v>
      </c>
      <c r="T2842">
        <v>4</v>
      </c>
      <c r="U2842">
        <v>2</v>
      </c>
      <c r="V2842" s="1">
        <v>44948</v>
      </c>
      <c r="W2842" t="s">
        <v>50</v>
      </c>
      <c r="X2842" t="s">
        <v>51</v>
      </c>
      <c r="Y2842" t="s">
        <v>73</v>
      </c>
      <c r="Z2842">
        <v>1</v>
      </c>
      <c r="AA2842">
        <v>786.71</v>
      </c>
      <c r="AB2842">
        <v>63</v>
      </c>
    </row>
    <row r="2843" spans="1:28" x14ac:dyDescent="0.2">
      <c r="A2843">
        <v>3423</v>
      </c>
      <c r="B2843" s="1">
        <v>44193</v>
      </c>
      <c r="C2843" t="s">
        <v>28</v>
      </c>
      <c r="D2843" t="s">
        <v>85</v>
      </c>
      <c r="E2843" t="s">
        <v>30</v>
      </c>
      <c r="F2843" t="s">
        <v>46</v>
      </c>
      <c r="G2843" t="s">
        <v>45</v>
      </c>
      <c r="H2843" t="s">
        <v>55</v>
      </c>
      <c r="I2843" t="s">
        <v>34</v>
      </c>
      <c r="J2843" t="s">
        <v>79</v>
      </c>
      <c r="K2843" s="2">
        <v>37052</v>
      </c>
      <c r="L2843" t="s">
        <v>36</v>
      </c>
      <c r="M2843" t="s">
        <v>48</v>
      </c>
      <c r="N2843" t="s">
        <v>72</v>
      </c>
      <c r="O2843" t="s">
        <v>39</v>
      </c>
      <c r="P2843" t="s">
        <v>40</v>
      </c>
      <c r="Q2843">
        <v>3</v>
      </c>
      <c r="R2843" s="2">
        <v>44823</v>
      </c>
      <c r="S2843">
        <v>4</v>
      </c>
      <c r="T2843">
        <v>5</v>
      </c>
      <c r="U2843">
        <v>3</v>
      </c>
      <c r="V2843" s="1">
        <v>44848</v>
      </c>
      <c r="W2843" t="s">
        <v>68</v>
      </c>
      <c r="X2843" t="s">
        <v>51</v>
      </c>
      <c r="Y2843" t="s">
        <v>63</v>
      </c>
      <c r="Z2843">
        <v>1</v>
      </c>
      <c r="AA2843">
        <v>439.65</v>
      </c>
      <c r="AB2843">
        <v>19</v>
      </c>
    </row>
    <row r="2844" spans="1:28" x14ac:dyDescent="0.2">
      <c r="A2844">
        <v>3424</v>
      </c>
      <c r="B2844" s="1">
        <v>44174</v>
      </c>
      <c r="C2844" t="s">
        <v>28</v>
      </c>
      <c r="D2844" t="s">
        <v>64</v>
      </c>
      <c r="E2844" t="s">
        <v>108</v>
      </c>
      <c r="F2844" t="s">
        <v>31</v>
      </c>
      <c r="G2844" t="s">
        <v>56</v>
      </c>
      <c r="H2844" t="s">
        <v>33</v>
      </c>
      <c r="I2844" t="s">
        <v>34</v>
      </c>
      <c r="J2844" t="s">
        <v>101</v>
      </c>
      <c r="K2844" s="2">
        <v>35457</v>
      </c>
      <c r="L2844" t="s">
        <v>36</v>
      </c>
      <c r="M2844" t="s">
        <v>48</v>
      </c>
      <c r="N2844" t="s">
        <v>38</v>
      </c>
      <c r="O2844" t="s">
        <v>61</v>
      </c>
      <c r="P2844" t="s">
        <v>40</v>
      </c>
      <c r="Q2844">
        <v>2</v>
      </c>
      <c r="R2844" s="2">
        <v>44999</v>
      </c>
      <c r="S2844">
        <v>2</v>
      </c>
      <c r="T2844">
        <v>4</v>
      </c>
      <c r="U2844">
        <v>5</v>
      </c>
      <c r="V2844" s="1">
        <v>44791</v>
      </c>
      <c r="W2844" t="s">
        <v>62</v>
      </c>
      <c r="X2844" t="s">
        <v>42</v>
      </c>
      <c r="Y2844" t="s">
        <v>63</v>
      </c>
      <c r="Z2844">
        <v>5</v>
      </c>
      <c r="AA2844">
        <v>981.13</v>
      </c>
      <c r="AB2844">
        <v>23</v>
      </c>
    </row>
    <row r="2845" spans="1:28" x14ac:dyDescent="0.2">
      <c r="A2845">
        <v>3425</v>
      </c>
      <c r="B2845" s="1">
        <v>43613</v>
      </c>
      <c r="C2845" t="s">
        <v>28</v>
      </c>
      <c r="D2845" t="s">
        <v>74</v>
      </c>
      <c r="E2845" t="s">
        <v>108</v>
      </c>
      <c r="F2845" t="s">
        <v>31</v>
      </c>
      <c r="G2845" t="s">
        <v>56</v>
      </c>
      <c r="H2845" t="s">
        <v>55</v>
      </c>
      <c r="I2845" t="s">
        <v>34</v>
      </c>
      <c r="J2845" t="s">
        <v>47</v>
      </c>
      <c r="K2845" s="2">
        <v>19872</v>
      </c>
      <c r="L2845" t="s">
        <v>36</v>
      </c>
      <c r="M2845" t="s">
        <v>37</v>
      </c>
      <c r="N2845" t="s">
        <v>49</v>
      </c>
      <c r="O2845" t="s">
        <v>77</v>
      </c>
      <c r="P2845" t="s">
        <v>40</v>
      </c>
      <c r="Q2845">
        <v>2</v>
      </c>
      <c r="R2845" s="2">
        <v>44920</v>
      </c>
      <c r="S2845">
        <v>5</v>
      </c>
      <c r="T2845">
        <v>2</v>
      </c>
      <c r="U2845">
        <v>3</v>
      </c>
      <c r="V2845" s="1">
        <v>45065</v>
      </c>
      <c r="W2845" t="s">
        <v>68</v>
      </c>
      <c r="X2845" t="s">
        <v>51</v>
      </c>
      <c r="Y2845" t="s">
        <v>63</v>
      </c>
      <c r="Z2845">
        <v>3</v>
      </c>
      <c r="AA2845">
        <v>184.27</v>
      </c>
      <c r="AB2845">
        <v>65</v>
      </c>
    </row>
    <row r="2846" spans="1:28" x14ac:dyDescent="0.2">
      <c r="A2846">
        <v>3426</v>
      </c>
      <c r="B2846" s="1">
        <v>44678</v>
      </c>
      <c r="C2846" t="s">
        <v>28</v>
      </c>
      <c r="D2846" t="s">
        <v>69</v>
      </c>
      <c r="E2846" t="s">
        <v>30</v>
      </c>
      <c r="F2846" t="s">
        <v>55</v>
      </c>
      <c r="G2846" t="s">
        <v>56</v>
      </c>
      <c r="H2846" t="s">
        <v>33</v>
      </c>
      <c r="I2846" t="s">
        <v>34</v>
      </c>
      <c r="J2846" t="s">
        <v>70</v>
      </c>
      <c r="K2846" s="2">
        <v>33127</v>
      </c>
      <c r="L2846" t="s">
        <v>36</v>
      </c>
      <c r="M2846" t="s">
        <v>37</v>
      </c>
      <c r="N2846" t="s">
        <v>38</v>
      </c>
      <c r="O2846" t="s">
        <v>67</v>
      </c>
      <c r="P2846" t="s">
        <v>40</v>
      </c>
      <c r="Q2846">
        <v>2</v>
      </c>
      <c r="R2846" s="2">
        <v>44797</v>
      </c>
      <c r="S2846">
        <v>1</v>
      </c>
      <c r="T2846">
        <v>3</v>
      </c>
      <c r="U2846">
        <v>2</v>
      </c>
      <c r="V2846" s="1">
        <v>45048</v>
      </c>
      <c r="W2846" t="s">
        <v>41</v>
      </c>
      <c r="X2846" t="s">
        <v>42</v>
      </c>
      <c r="Y2846" t="s">
        <v>43</v>
      </c>
      <c r="Z2846">
        <v>5</v>
      </c>
      <c r="AA2846">
        <v>675.37</v>
      </c>
      <c r="AB2846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EA90E-9F03-1F43-8E63-1BB379003B34}">
  <dimension ref="A1:D33"/>
  <sheetViews>
    <sheetView workbookViewId="0">
      <selection sqref="A1:D33"/>
    </sheetView>
  </sheetViews>
  <sheetFormatPr baseColWidth="10" defaultRowHeight="16" x14ac:dyDescent="0.2"/>
  <cols>
    <col min="1" max="1" width="19.33203125" customWidth="1"/>
    <col min="2" max="2" width="17.6640625" customWidth="1"/>
    <col min="3" max="3" width="17.33203125" customWidth="1"/>
    <col min="4" max="4" width="20" customWidth="1"/>
  </cols>
  <sheetData>
    <row r="1" spans="1:4" x14ac:dyDescent="0.2">
      <c r="A1" t="s">
        <v>167</v>
      </c>
    </row>
    <row r="2" spans="1:4" x14ac:dyDescent="0.2">
      <c r="A2" t="s">
        <v>165</v>
      </c>
      <c r="B2" t="s">
        <v>166</v>
      </c>
    </row>
    <row r="3" spans="1:4" x14ac:dyDescent="0.2">
      <c r="A3" t="s">
        <v>164</v>
      </c>
      <c r="B3">
        <f>COUNTIF(Cleaned_HR_Data_Analysis!I:I,"Production       ")</f>
        <v>1910</v>
      </c>
    </row>
    <row r="4" spans="1:4" x14ac:dyDescent="0.2">
      <c r="A4" t="s">
        <v>57</v>
      </c>
      <c r="B4">
        <f>COUNTIF(Cleaned_HR_Data_Analysis!I:I,"Sales")</f>
        <v>311</v>
      </c>
    </row>
    <row r="5" spans="1:4" x14ac:dyDescent="0.2">
      <c r="A5" t="s">
        <v>95</v>
      </c>
      <c r="B5">
        <f>COUNTIF(Cleaned_HR_Data_Analysis!I:I,"IT/IS")</f>
        <v>409</v>
      </c>
    </row>
    <row r="8" spans="1:4" x14ac:dyDescent="0.2">
      <c r="A8" t="s">
        <v>168</v>
      </c>
    </row>
    <row r="9" spans="1:4" x14ac:dyDescent="0.2">
      <c r="A9" t="s">
        <v>170</v>
      </c>
      <c r="B9" t="s">
        <v>171</v>
      </c>
    </row>
    <row r="10" spans="1:4" x14ac:dyDescent="0.2">
      <c r="A10" t="s">
        <v>30</v>
      </c>
      <c r="B10">
        <f>COUNTIF(Cleaned_HR_Data_Analysis!E:E,"Active")</f>
        <v>2458</v>
      </c>
    </row>
    <row r="11" spans="1:4" x14ac:dyDescent="0.2">
      <c r="A11" t="s">
        <v>108</v>
      </c>
      <c r="B11">
        <f>COUNTIF(Cleaned_HR_Data_Analysis!E:E,"Terminated")</f>
        <v>387</v>
      </c>
    </row>
    <row r="14" spans="1:4" x14ac:dyDescent="0.2">
      <c r="A14" t="s">
        <v>169</v>
      </c>
    </row>
    <row r="15" spans="1:4" x14ac:dyDescent="0.2">
      <c r="A15" t="s">
        <v>165</v>
      </c>
      <c r="B15" t="s">
        <v>172</v>
      </c>
      <c r="C15" t="s">
        <v>173</v>
      </c>
      <c r="D15" t="s">
        <v>174</v>
      </c>
    </row>
    <row r="16" spans="1:4" x14ac:dyDescent="0.2">
      <c r="A16" t="s">
        <v>164</v>
      </c>
      <c r="B16" s="3">
        <f>AVERAGEIF(Cleaned_HR_Data_Analysis!I:I,"Production       ",Cleaned_HR_Data_Analysis!S:S)</f>
        <v>2.9104712041884815</v>
      </c>
      <c r="C16" s="3">
        <f>AVERAGEIF(Cleaned_HR_Data_Analysis!I:I,"Production       ",Cleaned_HR_Data_Analysis!T:T)</f>
        <v>3.0314136125654452</v>
      </c>
      <c r="D16" s="3">
        <f>AVERAGEIF(Cleaned_HR_Data_Analysis!I:I,"Production       ",Cleaned_HR_Data_Analysis!U:U)</f>
        <v>2.9717277486910993</v>
      </c>
    </row>
    <row r="17" spans="1:4" x14ac:dyDescent="0.2">
      <c r="A17" t="s">
        <v>57</v>
      </c>
      <c r="B17" s="3">
        <f>AVERAGEIF(Cleaned_HR_Data_Analysis!I:I,"Sales",Cleaned_HR_Data_Analysis!S:S)</f>
        <v>2.9839228295819935</v>
      </c>
      <c r="C17" s="3">
        <f>AVERAGEIF(Cleaned_HR_Data_Analysis!I:I,"Sales",Cleaned_HR_Data_Analysis!T:T)</f>
        <v>3.135048231511254</v>
      </c>
      <c r="D17" s="3">
        <f>AVERAGEIF(Cleaned_HR_Data_Analysis!I:I,"Sales",Cleaned_HR_Data_Analysis!U:U)</f>
        <v>3.0289389067524115</v>
      </c>
    </row>
    <row r="18" spans="1:4" x14ac:dyDescent="0.2">
      <c r="A18" t="s">
        <v>95</v>
      </c>
      <c r="B18" s="3">
        <f>AVERAGEIF(Cleaned_HR_Data_Analysis!I:I,"IT/IS",Cleaned_HR_Data_Analysis!S:S)</f>
        <v>3.024449877750611</v>
      </c>
      <c r="C18" s="3">
        <f>AVERAGEIF(Cleaned_HR_Data_Analysis!I:I,"IT/IS",Cleaned_HR_Data_Analysis!T:T)</f>
        <v>3.0122249388753057</v>
      </c>
      <c r="D18" s="3">
        <f>AVERAGEIF(Cleaned_HR_Data_Analysis!I:I,"IT/IS",Cleaned_HR_Data_Analysis!U:U)</f>
        <v>2.9804400977995109</v>
      </c>
    </row>
    <row r="21" spans="1:4" x14ac:dyDescent="0.2">
      <c r="A21" t="s">
        <v>178</v>
      </c>
    </row>
    <row r="22" spans="1:4" x14ac:dyDescent="0.2">
      <c r="A22" t="s">
        <v>175</v>
      </c>
      <c r="B22" t="s">
        <v>171</v>
      </c>
    </row>
    <row r="23" spans="1:4" x14ac:dyDescent="0.2">
      <c r="A23" t="s">
        <v>98</v>
      </c>
      <c r="B23">
        <f>COUNTIF(Cleaned_HR_Data_Analysis!P:P,"Needs Improvement")</f>
        <v>162</v>
      </c>
    </row>
    <row r="24" spans="1:4" x14ac:dyDescent="0.2">
      <c r="A24" t="s">
        <v>40</v>
      </c>
      <c r="B24">
        <f>COUNTIF(Cleaned_HR_Data_Analysis!P:P,"Fully Meets")</f>
        <v>2251</v>
      </c>
    </row>
    <row r="25" spans="1:4" x14ac:dyDescent="0.2">
      <c r="A25" t="s">
        <v>78</v>
      </c>
      <c r="B25">
        <f>COUNTIF(Cleaned_HR_Data_Analysis!P:P,"Exceeds")</f>
        <v>346</v>
      </c>
    </row>
    <row r="28" spans="1:4" x14ac:dyDescent="0.2">
      <c r="A28" t="s">
        <v>177</v>
      </c>
    </row>
    <row r="29" spans="1:4" x14ac:dyDescent="0.2">
      <c r="A29" t="s">
        <v>176</v>
      </c>
      <c r="B29" t="s">
        <v>171</v>
      </c>
    </row>
    <row r="30" spans="1:4" x14ac:dyDescent="0.2">
      <c r="A30" t="s">
        <v>55</v>
      </c>
      <c r="B30">
        <f>COUNTIF(Cleaned_HR_Data_Analysis!F:F,"Full-Time")</f>
        <v>997</v>
      </c>
    </row>
    <row r="31" spans="1:4" x14ac:dyDescent="0.2">
      <c r="A31" t="s">
        <v>31</v>
      </c>
      <c r="B31">
        <f>COUNTIF(Cleaned_HR_Data_Analysis!F:F,"Contract")</f>
        <v>951</v>
      </c>
    </row>
    <row r="32" spans="1:4" x14ac:dyDescent="0.2">
      <c r="A32" t="s">
        <v>46</v>
      </c>
      <c r="B32">
        <f>COUNTIF(Cleaned_HR_Data_Analysis!F:F,"Part-Time")</f>
        <v>897</v>
      </c>
    </row>
    <row r="33" spans="1:2" x14ac:dyDescent="0.2">
      <c r="A33" t="s">
        <v>33</v>
      </c>
      <c r="B33">
        <f>COUNTIF(Cleaned_HR_Data_Analysis!F:F,"Temporary")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7DF6E-8A55-534D-B70F-1E46F24E5669}">
  <dimension ref="A1:B26"/>
  <sheetViews>
    <sheetView tabSelected="1" topLeftCell="A2" workbookViewId="0">
      <selection activeCell="D5" sqref="D5"/>
    </sheetView>
  </sheetViews>
  <sheetFormatPr baseColWidth="10" defaultRowHeight="16" x14ac:dyDescent="0.2"/>
  <sheetData>
    <row r="1" spans="1:1" ht="19" x14ac:dyDescent="0.25">
      <c r="A1" s="4" t="s">
        <v>179</v>
      </c>
    </row>
    <row r="2" spans="1:1" x14ac:dyDescent="0.2">
      <c r="A2" s="5" t="s">
        <v>180</v>
      </c>
    </row>
    <row r="3" spans="1:1" x14ac:dyDescent="0.2">
      <c r="A3" s="5"/>
    </row>
    <row r="4" spans="1:1" x14ac:dyDescent="0.2">
      <c r="A4" s="5" t="s">
        <v>181</v>
      </c>
    </row>
    <row r="5" spans="1:1" x14ac:dyDescent="0.2">
      <c r="A5" t="s">
        <v>182</v>
      </c>
    </row>
    <row r="7" spans="1:1" x14ac:dyDescent="0.2">
      <c r="A7" s="5" t="s">
        <v>183</v>
      </c>
    </row>
    <row r="8" spans="1:1" x14ac:dyDescent="0.2">
      <c r="A8" t="s">
        <v>184</v>
      </c>
    </row>
    <row r="10" spans="1:1" x14ac:dyDescent="0.2">
      <c r="A10" s="5" t="s">
        <v>185</v>
      </c>
    </row>
    <row r="11" spans="1:1" x14ac:dyDescent="0.2">
      <c r="A11" t="s">
        <v>186</v>
      </c>
    </row>
    <row r="13" spans="1:1" x14ac:dyDescent="0.2">
      <c r="A13" s="5" t="s">
        <v>187</v>
      </c>
    </row>
    <row r="14" spans="1:1" x14ac:dyDescent="0.2">
      <c r="A14" t="s">
        <v>188</v>
      </c>
    </row>
    <row r="16" spans="1:1" x14ac:dyDescent="0.2">
      <c r="A16" s="5" t="s">
        <v>189</v>
      </c>
    </row>
    <row r="17" spans="1:2" x14ac:dyDescent="0.2">
      <c r="A17" t="s">
        <v>190</v>
      </c>
    </row>
    <row r="21" spans="1:2" x14ac:dyDescent="0.2">
      <c r="A21" s="5" t="s">
        <v>191</v>
      </c>
    </row>
    <row r="22" spans="1:2" x14ac:dyDescent="0.2">
      <c r="A22" s="6">
        <v>1</v>
      </c>
      <c r="B22" t="s">
        <v>192</v>
      </c>
    </row>
    <row r="23" spans="1:2" x14ac:dyDescent="0.2">
      <c r="A23" s="6">
        <v>2</v>
      </c>
      <c r="B23" t="s">
        <v>193</v>
      </c>
    </row>
    <row r="24" spans="1:2" x14ac:dyDescent="0.2">
      <c r="A24" s="6">
        <v>3</v>
      </c>
      <c r="B24" t="s">
        <v>194</v>
      </c>
    </row>
    <row r="25" spans="1:2" x14ac:dyDescent="0.2">
      <c r="A25" s="6">
        <v>4</v>
      </c>
      <c r="B25" t="s">
        <v>195</v>
      </c>
    </row>
    <row r="26" spans="1:2" x14ac:dyDescent="0.2">
      <c r="A26" s="6">
        <v>5</v>
      </c>
      <c r="B26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Cleaned_HR_Data_Analysis</vt:lpstr>
      <vt:lpstr>Dashboards</vt:lpstr>
      <vt:lpstr>Insights &amp; 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Xaviera Xu xx2462</dc:creator>
  <cp:lastModifiedBy>Xaviera Xu xx2462</cp:lastModifiedBy>
  <dcterms:created xsi:type="dcterms:W3CDTF">2026-06-21T00:12:02Z</dcterms:created>
  <dcterms:modified xsi:type="dcterms:W3CDTF">2026-06-21T00:29:30Z</dcterms:modified>
</cp:coreProperties>
</file>